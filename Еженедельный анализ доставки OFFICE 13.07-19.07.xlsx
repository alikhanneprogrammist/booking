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LPM\Downloads\"/>
    </mc:Choice>
  </mc:AlternateContent>
  <xr:revisionPtr revIDLastSave="0" documentId="13_ncr:1_{C435F391-A1FD-447F-AB06-3E2730F069FB}" xr6:coauthVersionLast="47" xr6:coauthVersionMax="47" xr10:uidLastSave="{00000000-0000-0000-0000-000000000000}"/>
  <bookViews>
    <workbookView xWindow="-120" yWindow="-120" windowWidth="29040" windowHeight="15840" xr2:uid="{00000000-000D-0000-FFFF-FFFF00000000}"/>
  </bookViews>
  <sheets>
    <sheet name="13.07-19.07" sheetId="21" r:id="rId1"/>
    <sheet name="06.07-12.06" sheetId="20" r:id="rId2"/>
    <sheet name="29.06-05.07" sheetId="19" r:id="rId3"/>
    <sheet name="22.06 - 28.06" sheetId="18" r:id="rId4"/>
    <sheet name="15.06-21.06" sheetId="17" r:id="rId5"/>
    <sheet name="08.06-14.06" sheetId="1" r:id="rId6"/>
    <sheet name="01.06-07.06" sheetId="2" r:id="rId7"/>
    <sheet name="25.05-31.05" sheetId="3" r:id="rId8"/>
    <sheet name="18.05-24.05" sheetId="4" r:id="rId9"/>
    <sheet name="11.05-17.05" sheetId="5" r:id="rId10"/>
    <sheet name="04.05-10.05" sheetId="6" r:id="rId11"/>
    <sheet name="27.04-03.05" sheetId="7" r:id="rId12"/>
    <sheet name="20.04-26.04" sheetId="8" r:id="rId13"/>
    <sheet name="13.04-19.04" sheetId="9" r:id="rId14"/>
    <sheet name="06.04-12.04" sheetId="10" r:id="rId15"/>
    <sheet name="30.03-05.04" sheetId="11" r:id="rId16"/>
    <sheet name="23.03-29.03" sheetId="12" r:id="rId17"/>
    <sheet name="16.03-22.03" sheetId="13" r:id="rId18"/>
    <sheet name="09.03-15.03" sheetId="14" r:id="rId19"/>
    <sheet name="02.03-08.03" sheetId="15" r:id="rId20"/>
    <sheet name="24.02-01.03" sheetId="16"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9" i="1" l="1"/>
  <c r="F41" i="11"/>
  <c r="E41" i="11"/>
  <c r="D41" i="11"/>
  <c r="C41" i="11"/>
  <c r="B41" i="11"/>
  <c r="F41" i="10"/>
  <c r="E41" i="10"/>
  <c r="D41" i="10"/>
  <c r="C41" i="10"/>
  <c r="B41" i="10"/>
  <c r="F41" i="9"/>
  <c r="E41" i="9"/>
  <c r="D41" i="9"/>
  <c r="C41" i="9"/>
  <c r="F41" i="8"/>
  <c r="E41" i="8"/>
  <c r="C41" i="8"/>
  <c r="D23" i="8"/>
  <c r="D41" i="8" s="1"/>
  <c r="E41" i="7"/>
  <c r="D41" i="7"/>
  <c r="C41" i="7"/>
  <c r="E30" i="6"/>
  <c r="D30" i="6"/>
  <c r="C30" i="6"/>
  <c r="E30" i="5"/>
  <c r="D30" i="5"/>
  <c r="C30" i="5"/>
  <c r="E30" i="4"/>
  <c r="D30" i="4"/>
  <c r="C30" i="4"/>
  <c r="E30" i="3"/>
  <c r="D30" i="3"/>
  <c r="C30" i="3"/>
  <c r="H24" i="3"/>
  <c r="E30" i="2"/>
  <c r="D30" i="2"/>
  <c r="C3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CLV_</author>
  </authors>
  <commentList>
    <comment ref="A18" authorId="0" shapeId="0" xr:uid="{00000000-0006-0000-0000-000001000000}">
      <text>
        <r>
          <rPr>
            <b/>
            <sz val="9"/>
            <color indexed="81"/>
            <rFont val="Tahoma"/>
            <family val="2"/>
            <charset val="204"/>
          </rPr>
          <t>CLV_:</t>
        </r>
        <r>
          <rPr>
            <sz val="9"/>
            <color indexed="81"/>
            <rFont val="Tahoma"/>
            <family val="2"/>
            <charset val="204"/>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CLV_</author>
  </authors>
  <commentList>
    <comment ref="A36" authorId="0" shapeId="0" xr:uid="{00000000-0006-0000-0100-000001000000}">
      <text>
        <r>
          <rPr>
            <b/>
            <sz val="9"/>
            <color indexed="81"/>
            <rFont val="Tahoma"/>
            <family val="2"/>
            <charset val="204"/>
          </rPr>
          <t>CLV_:</t>
        </r>
        <r>
          <rPr>
            <sz val="9"/>
            <color indexed="81"/>
            <rFont val="Tahoma"/>
            <family val="2"/>
            <charset val="204"/>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CLV_</author>
  </authors>
  <commentList>
    <comment ref="A36" authorId="0" shapeId="0" xr:uid="{00000000-0006-0000-0200-000001000000}">
      <text>
        <r>
          <rPr>
            <b/>
            <sz val="9"/>
            <color indexed="81"/>
            <rFont val="Tahoma"/>
            <family val="2"/>
            <charset val="204"/>
          </rPr>
          <t>CLV_:</t>
        </r>
        <r>
          <rPr>
            <sz val="9"/>
            <color indexed="81"/>
            <rFont val="Tahoma"/>
            <family val="2"/>
            <charset val="204"/>
          </rPr>
          <t xml:space="preserve">
</t>
        </r>
      </text>
    </comment>
  </commentList>
</comments>
</file>

<file path=xl/sharedStrings.xml><?xml version="1.0" encoding="utf-8"?>
<sst xmlns="http://schemas.openxmlformats.org/spreadsheetml/2006/main" count="1450" uniqueCount="462">
  <si>
    <t>№</t>
  </si>
  <si>
    <t>Анализ доставки OFFICE2020</t>
  </si>
  <si>
    <t>Наименование</t>
  </si>
  <si>
    <t xml:space="preserve"> Период</t>
  </si>
  <si>
    <t>Яндекс(-30%)</t>
  </si>
  <si>
    <t>Wolt (-30%)</t>
  </si>
  <si>
    <t>Примечание</t>
  </si>
  <si>
    <t>Всего продаж</t>
  </si>
  <si>
    <t>08.06-14.06</t>
  </si>
  <si>
    <t>32 000</t>
  </si>
  <si>
    <t xml:space="preserve">Общий вывод
За отчетный период wolt показал положительную динамику: выросли выручка, количество заказов и средний чек. Акция со скидкой 30% эффективно привлекла новых клиентов и увеличила продажи. Основная задача — удержание новых гостей и рост повторных заказов.
Яндекс еда, наоборот, показал снижение активности и выручки. Для улучшения результатов рекомендуется усилить рекламу, обновить меню и увеличить количество акционных предложений.
</t>
  </si>
  <si>
    <t>Всего заказов</t>
  </si>
  <si>
    <t>Средний чек корзины</t>
  </si>
  <si>
    <t xml:space="preserve">Отмененные заказы </t>
  </si>
  <si>
    <t>Штраф за время ожидания</t>
  </si>
  <si>
    <t>Соотношение выручки, выполненных заказов и среднего чека за прошлую неделю</t>
  </si>
  <si>
    <t>Выручка                    +9 170тг                  - Рост                                                                                                                                                                                                                                                                                              Кол-во заказов        +1 шт.                     - Рост                                                                                                                                                                                                                                                                                                  Средний чек            +366 тг                    - Рост</t>
  </si>
  <si>
    <t>Выручка                   + 13 730тг   - Рост                                                                                                                                                                                                                                                                                           Кол-во заказов       +1                 - Рост                                                                                                                                                                                                                                                                Средний чек           +1833 тг      - Рост</t>
  </si>
  <si>
    <t>Негативные отзывы</t>
  </si>
  <si>
    <t>Возврат доставки/блюда</t>
  </si>
  <si>
    <t>ИТОГО за период прошлого месяца</t>
  </si>
  <si>
    <t>01.05-31.05</t>
  </si>
  <si>
    <t>Выручка за май 2026: 361.150                                                                                                                                                                                                                                                      Выполненные заказы за май:  42                                                                                                                                                                                                                                                                                                Средний чек за май: 8399</t>
  </si>
  <si>
    <t xml:space="preserve">Выручка за май 2026: 92.067                                                                                                                                                                                                                                                                  Выполненные заказы за май:  11                                                                                                                                                                                                                                                                                                Средний чек за май: 8 369 </t>
  </si>
  <si>
    <t>ИТОГО за период прошлой недели</t>
  </si>
  <si>
    <t>По итогам периода зафиксирована положительная динамика основных показателей. Выручка увеличилась на 9170 тг благодаря росту количества заказов на 1 шт. и увеличению среднего чека на 366тг. Рост данных показателей оказал положительное влияние на общий финансовый результат периода.</t>
  </si>
  <si>
    <t>По итогам периода зафиксирована положительная динамика основных показателей. Выручка увеличилась на 13 730 тг благодаря росту количества заказов на 1 шт. и увеличению среднего чека на 1833 тг. Рост данных показателей оказал положительное влияние на общий финансовый результат периода.</t>
  </si>
  <si>
    <t>Количество постоянных гостей/Новых гостей</t>
  </si>
  <si>
    <t>всего пользователей: 7                                                                                                                                                                                                                                                                                                   новых пользователей: 5
постоянных пользователей: 2
Доля выручки от пост.пользователей: 0% / 0тг
Доля выручки от новых пользователей: 100% / 44 030</t>
  </si>
  <si>
    <t xml:space="preserve">всего пользователей: 5                                                                                                                                                                                                                                                                                                    новых пользователей: 4
постоянных пользователей: 1 </t>
  </si>
  <si>
    <t>Рейтинг и доступность на сервисе</t>
  </si>
  <si>
    <t>4.4/ 100%</t>
  </si>
  <si>
    <t>Топ блюд</t>
  </si>
  <si>
    <t>мини чебуреки ; том ям ; баранина</t>
  </si>
  <si>
    <t>крылышки, картофель шато</t>
  </si>
  <si>
    <t>Рекомендации</t>
  </si>
  <si>
    <t>Добвить бизнес-ланч и сеты на семью</t>
  </si>
  <si>
    <t>добавить скидки и акции для увеличения заказов на основные вторые блюда</t>
  </si>
  <si>
    <t>Анализ акций -30% скидка на некоторые позиции</t>
  </si>
  <si>
    <t>Количество заказов по акции: 6
Выручка заказов по акции:  44 030тг
Новые пользователи - 5
Доля от общей выручки: 100%.</t>
  </si>
  <si>
    <t xml:space="preserve">увеличить недельный бюджет для внутренней рекламы </t>
  </si>
  <si>
    <t>Лояльность и снижение %</t>
  </si>
  <si>
    <t>выручка 5 200 ,затраты на продвижение 948 тг</t>
  </si>
  <si>
    <t>Свод недельной Внутренней   Доставки</t>
  </si>
  <si>
    <t xml:space="preserve">Дата </t>
  </si>
  <si>
    <t xml:space="preserve">Дни недели </t>
  </si>
  <si>
    <t>Количество заказов</t>
  </si>
  <si>
    <t>Сумма внутренней доставки</t>
  </si>
  <si>
    <t>Сумма затрат на курьера</t>
  </si>
  <si>
    <t xml:space="preserve">Примечание </t>
  </si>
  <si>
    <t>Адреса</t>
  </si>
  <si>
    <t xml:space="preserve">Номер телефона </t>
  </si>
  <si>
    <t>Акций</t>
  </si>
  <si>
    <t xml:space="preserve">понедельник </t>
  </si>
  <si>
    <t>35 900</t>
  </si>
  <si>
    <t>Бектурова 9, мухамедханова 4а</t>
  </si>
  <si>
    <t>87021662083, 87777466888</t>
  </si>
  <si>
    <t>бесплатная доставка свыше 11.000</t>
  </si>
  <si>
    <t>вторник</t>
  </si>
  <si>
    <t>13 600</t>
  </si>
  <si>
    <t xml:space="preserve">              Мухамедханова 21/2, самовывоз</t>
  </si>
  <si>
    <t>77766362260, 77753722727</t>
  </si>
  <si>
    <t>среда</t>
  </si>
  <si>
    <t>53 500</t>
  </si>
  <si>
    <t xml:space="preserve">Шевченко 8\2, Куйши Дина 46, ЖК Акбулак 3 </t>
  </si>
  <si>
    <t>87011119811, 87075720341</t>
  </si>
  <si>
    <t>четверг</t>
  </si>
  <si>
    <t>14 600</t>
  </si>
  <si>
    <t xml:space="preserve">                  Айнаколь 56</t>
  </si>
  <si>
    <t>пятница</t>
  </si>
  <si>
    <t>суббота</t>
  </si>
  <si>
    <t>воскресенье</t>
  </si>
  <si>
    <t xml:space="preserve">Свод Ежемесячной Внутренней доставки </t>
  </si>
  <si>
    <t>кол-во заказов</t>
  </si>
  <si>
    <t>общая сумма заказов</t>
  </si>
  <si>
    <t>сумма потраченная на курьера</t>
  </si>
  <si>
    <t>17.03-30.03</t>
  </si>
  <si>
    <t>01.04-30.04</t>
  </si>
  <si>
    <t>348 500</t>
  </si>
  <si>
    <t>41 560</t>
  </si>
  <si>
    <t>474 250</t>
  </si>
  <si>
    <t>55 140</t>
  </si>
  <si>
    <t>01.06-07.06</t>
  </si>
  <si>
    <t>34 860</t>
  </si>
  <si>
    <t xml:space="preserve">Общий вывод
За отчетный период Яндекс Еда показал положительную динамику: выросли выручка, количество заказов и средний чек. Акция со скидкой 30% эффективно привлекла новых клиентов и увеличила продажи. Основная задача — удержание новых гостей и рост повторных заказов.
Wolt, наоборот, показал снижение активности и выручки. Для улучшения результатов рекомендуется усилить рекламу, обновить меню и увеличить количество акционных предложений.
</t>
  </si>
  <si>
    <t>Выручка                    -79 170 тг              - Спад                                                                                                                                                                                                                                                                                                Кол-во заказов        -9 шт.                     - Спад                                                                                                                                                                                                                                                                                                  Средний чек            -1 173тг                  - Спад</t>
  </si>
  <si>
    <t>Выручка                   + 10667 тг   - Рост                                                                                                                                                                                                                                                                                           Кол-во заказов       +2                 - Рост                                                                                                                                                                                                                                                                Средний чек           +766 тг         - Рост</t>
  </si>
  <si>
    <t>По итогам периода наблюдается снижение ключевых показателей деятельности. Выручка сократилась на 79 170 тг, что связано как с уменьшением количества заказов на 9 шт., так и со снижением среднего чека на 1 173 тг. Одновременное падение данных показателей оказало негативное влияние на общий финансовый результат периода.</t>
  </si>
  <si>
    <t>По итогам периода зафиксирована положительная динамика основных показателей. Выручка увеличилась на 10 667 тг благодаря росту количества заказов на 2 шт. и увеличению среднего чека на 766 тг. Рост данных показателей оказал положительное влияние на общий финансовый результат периода.</t>
  </si>
  <si>
    <t>всего пользователей: 6                                                                                                                                                                                                                                                                                                   новых пользователей: 5
постоянных пользователей: 1
Доля выручки от пост.пользователей: 0% / 0тг
Доля выручки от новых пользователей: 100% / 34 860тг</t>
  </si>
  <si>
    <t xml:space="preserve">всего пользователей: 4                                                                                                                                                                                                                                                                                                    новых пользователей: 3
постоянных пользователей: 1 </t>
  </si>
  <si>
    <t>4.6 / 100%</t>
  </si>
  <si>
    <t>куырдак из конины, мясо по тайски</t>
  </si>
  <si>
    <t>том ям, куырдак из баранины, чебуреки с мясом</t>
  </si>
  <si>
    <t>Рассмотреть возможность введения дополнительных позиций (напитки, десерты, закуски), способствующих увеличению среднего чека.</t>
  </si>
  <si>
    <t>Количество заказов по акции: 9
Выручка заказов по акции: 95 070 тг
Новые пользователи - 8
Доля от общей выручки: 100%.</t>
  </si>
  <si>
    <t>выручка 25 860 ,затраты на продвижение 2 658 тг</t>
  </si>
  <si>
    <t>самовывоз</t>
  </si>
  <si>
    <t>ул Женис 31,1 подьезд 8 кв</t>
  </si>
  <si>
    <t>Е 495 8</t>
  </si>
  <si>
    <t xml:space="preserve">                                        7 707 546 3298</t>
  </si>
  <si>
    <t>Бесплатная доставка от 11.000</t>
  </si>
  <si>
    <t>25.05-31.05</t>
  </si>
  <si>
    <t>7 603</t>
  </si>
  <si>
    <t>3 801</t>
  </si>
  <si>
    <t>Выручка                    +18 960 тг              - Рост                                                                                                                                                                                                                                                                                                Кол-во заказов        +5 шт.                     - Рост                                                                                                                                                                                                                                                                                                  Средний чек            +1 362 тг                 - Рост</t>
  </si>
  <si>
    <t>Выручка                   -8 086 тг   -  Спад                                                                                                                                                                                                                                                                                           Кол-во заказов       Стабильно                                                                                                                                                                                                                                                                Средний чек           -4 043 тг      - Спад</t>
  </si>
  <si>
    <t>За отчетный период отмечен рост по всем ключевым показателям: выручка увеличилась на 18 960 тг, количество заказов — на 5, средний чек — на 1 362 тг.</t>
  </si>
  <si>
    <t>За отчетный период наблюдается спад: выручка снизилась на 8 086 тг, средний чек — на 4 043 тг. Количество заказов осталось без изменений.</t>
  </si>
  <si>
    <t>всего пользователей: 15                                                                                                                                                                                                                                                                                                    новых пользователей: 11
постоянных пользователей: 4
Доля выручки от пост.пользователей: 5% / 15 910тг
Доля выручки от новых пользователей: 95% / 98 120тг</t>
  </si>
  <si>
    <t>всего пользователей: 2                                                                                                                                                                                                                                                                                                     новых пользователей: 1
постоянных пользователей: 1</t>
  </si>
  <si>
    <t>птичий сет, куырдак из баранины, пельмени с бульоном, цезарь, барашка голова</t>
  </si>
  <si>
    <t>терияки курица, жаренный карась, чебуреки с мясом</t>
  </si>
  <si>
    <t>Добавить больше напитков в меню, пересмотреть позиции  и добавить скидку на первый заказ</t>
  </si>
  <si>
    <t>Добавить в меню больше позиций и напитков</t>
  </si>
  <si>
    <t>выручка 83 110 ,затраты на продвижение 4 859 тг</t>
  </si>
  <si>
    <t>Бесплатная доставка от 10000</t>
  </si>
  <si>
    <t>Айманова 20/Сарыарка 39</t>
  </si>
  <si>
    <t>Хусейн Бен Талал ЖК Араби</t>
  </si>
  <si>
    <t>Туран</t>
  </si>
  <si>
    <t>Кумисбекова 11</t>
  </si>
  <si>
    <t>Бесплатная доставка от 10001</t>
  </si>
  <si>
    <t>18.05-24.05</t>
  </si>
  <si>
    <t>95 070</t>
  </si>
  <si>
    <t>15 689</t>
  </si>
  <si>
    <t>9 507</t>
  </si>
  <si>
    <t>7 844</t>
  </si>
  <si>
    <t>Выручка                   +41 560 тг  -  Рост                                                                                                                                                                                                                                                                                      Кол-во заказов       +2 шт.         -  Рост                                                                                                                                                                                                                                                                     Средний чек           +1 863 тг     - Рост</t>
  </si>
  <si>
    <t>Выручка                   -29 895 тг   -  Спад                                                                                                                                                                                                                                                                                           Кол-во заказов       -2 шт.          -  Спад                                                                                                                                                                                                                                                                 Средний чек           -3 552 тг      - Спад</t>
  </si>
  <si>
    <t xml:space="preserve">Выручка за апрель 2026: 287.300                                                                                                                                                                                                                                                                  Выполненные заказы за апрель:  43                                                                                                                                                                                                                                                                                                Средний чек за апрель: 6530 </t>
  </si>
  <si>
    <t xml:space="preserve">Выручка за апрель 2026: 65.410                                                                                                                                                                                                                                                                  Выполненные заказы за апрель:  8                                                                                                                                                                                                                                                                                                Средний чек за апрель: 8176 </t>
  </si>
  <si>
    <t>По итогам периода наблюдается положительная динамика ключевых показателей. Выручка увеличилась на 41 560 тг, что свидетельствует о росте продаж. Количество заказов выросло на 2, что подтверждает увеличение покупательской активности. Также средний чек увеличился на 1 863 тг, что говорит о росте суммы покупок на одного клиента. В целом показатели демонстрируют стабильный рост и положительную тенденцию в работе.</t>
  </si>
  <si>
    <t>По итогам периода зафиксировано снижение основных показателей. Выручка уменьшилась на 29 895 тг, что свидетельствует о спаде продаж. Количество заказов сократилось на 2, что указывает на снижение покупательской активности. Средний чек также снизился на 3 552 тг, что говорит об уменьшении средней суммы покупки. В целом наблюдается отрицательная динамика, требующая дополнительного анализа причин снижения показателей.</t>
  </si>
  <si>
    <t>всего пользователей: 10                                                                                                                                                                                                                                                                                                    новых пользователей: 8
постоянных пользователей: 2
Доля выручки от пост.пользователей: 5% / 5 040тг
Доля выручки от новых пользователей: 95% / 90 030тг</t>
  </si>
  <si>
    <t>Количество заказов по акции: 14
Выручка заказов по акции: 114.030 тг
Новые пользователи - 11
Доля от общей выручки: 100%.</t>
  </si>
  <si>
    <t>выручка 114 030 ,затраты на продвижение 8 145 тг</t>
  </si>
  <si>
    <t xml:space="preserve">Куйши Дина </t>
  </si>
  <si>
    <t>Акарыс, Улы дала, Туран</t>
  </si>
  <si>
    <t>7014519946, 7774473715/7023828511</t>
  </si>
  <si>
    <t>Бесплатная доставка от 10002</t>
  </si>
  <si>
    <t>кабанбая 38\ туркестан 7 \ асфендиярова 9</t>
  </si>
  <si>
    <t>7010881880/7024112131/7025689873</t>
  </si>
  <si>
    <t>кабанбая 38\1</t>
  </si>
  <si>
    <t>атырау 3</t>
  </si>
  <si>
    <t>11.05-17.05</t>
  </si>
  <si>
    <t>45 584</t>
  </si>
  <si>
    <t xml:space="preserve">Итог периода: обе площадки показали положительную динамику по выручке за счет роста среднего чека и увеличения количества заказов. Основной вклад в рост обеспечили новые пользователи и акционные заказы. Наиболее востребованы мясные позиции и горячие блюда.
Рекомендации: расширить ассортимент напитков и популярных позиций, добавить скидку на первый заказ, усилить внутреннюю рекламу и продолжить работу с акционными предложениями для привлечения новых клиентов и увеличения повторных заказов.
</t>
  </si>
  <si>
    <t>11 396</t>
  </si>
  <si>
    <t>Выручка                   +19 200 тг  -  Рост                                                                                                                                                                                                                                                                                      Кол-во заказов       +3 шт.         -  Рост                                                                                                                                                                                                                                                                     Средний чек           +934 тг        - Рост</t>
  </si>
  <si>
    <t>Выручка                   +22 395 тг   -  Рост                                                                                                                                                                                                                                                                                           Кол-во заказов       +1 шт.          -  Рост                                                                                                                                                                                                                                                                  Средний чек           +3 673 тг      - Рост</t>
  </si>
  <si>
    <t>Итоги периода: выручка +19 200 тг. Положительная динамика обусловлена одновременным ростом количества заказов (+3 шт.) и увеличением среднего чека (+934 тг), что привело к общему росту денежных поступлений.</t>
  </si>
  <si>
    <t>Итоги периода: выручка +22 395 тг. Положительная динамика обусловлена ростом количества заказов (+1 шт.) и существенным увеличением среднего чека (+3 673 тг), что обеспечило общий рост денежных поступлений.</t>
  </si>
  <si>
    <t>всего пользователей: 9                                                                                                                                                                                                                                                                                                        новых пользователей: 5
постоянных пользователей: 4
Доля выручки от пост.пользователей: 20% / 10920тг
Доля выручки от новых пользователей: 80% / 42590тг</t>
  </si>
  <si>
    <t>всего пользователей: 3                                                                                                                                                                                                                                                                                                     новых пользователей: 2
постоянных пользователей: 1</t>
  </si>
  <si>
    <t>шашлык баранина, куырдак из баранины, пельмени с бульоном, цезарь</t>
  </si>
  <si>
    <t>Количество заказов по акции: 5
Выручка заказов по акции: 40 110 тг
Новые пользователи - 3
Доля от общей выручки: 75%.</t>
  </si>
  <si>
    <t>выручка 36250 ,затраты на продвижение 3075 тг</t>
  </si>
  <si>
    <t>Сарайшык/Акмешит/Кенесары/Кабанбай батыра</t>
  </si>
  <si>
    <t>77866251882/7015553364/7057444830/7024110255</t>
  </si>
  <si>
    <t>Раимбек батыра 54</t>
  </si>
  <si>
    <t>Кунаева 35/1/ Улы дала 54</t>
  </si>
  <si>
    <t>7474558563/7017817792</t>
  </si>
  <si>
    <t>(доставка мукбанг-бартером)</t>
  </si>
  <si>
    <t>Мухамедханова 21/2</t>
  </si>
  <si>
    <t>БАРТЕРОМ Альбина Мукбанг</t>
  </si>
  <si>
    <t>04.05-10.05</t>
  </si>
  <si>
    <t>34 310</t>
  </si>
  <si>
    <t>23 189</t>
  </si>
  <si>
    <t>Итого за период 04.05–10.05:
Общая выручка по двум агрегаторам (Яндекс и Wolt) составила 57 499 тг. при общем количестве заказов — 7 шт. * Яндекс.Еда: Наблюдается отрицательная динамика. Выручка снизилась на 60 260 тг. за счет сокращения количества заказов (-7 шт.) и незначительного падения среднего чека. При этом акция «-30%» обеспечила 100% текущей выручки сервиса и привлекла 3 новых пользователей.
Wolt: Демонстрирует уверенный рост. Выручка увеличилась на 17 189 тг. (+2 заказа к прошлой неделе), средний чек вырос на 1 729 тг.
Лояльность: Доля выручки от новых гостей преобладает (73% в Яндексе), что подтверждает эффективность инструментов привлечения.
Рекомендация: Для стабилизации показателей Яндекса и поддержания роста Wolt необходимо расширить ассортимент напитков и рассмотреть возможность увеличения бюджета на внутреннюю рекламу.</t>
  </si>
  <si>
    <t>Выручка                   -60 260 тг  -  Снижение                                                                                                                                                                                                                                                                                       Кол-во заказов       -7 шт.         -  Снижение                                                                                                                                                                                                                                                                      Средний чек           -19 тг          -  Снижение</t>
  </si>
  <si>
    <t>Выручка                   +17 189 тг   -  Рост                                                                                                                                                                                                                                                                                           Кол-во заказов       +2 шт.          -  Рост                                                                                                                                                                                                                                                                  Средний чек           +1 729 тг      - Рост</t>
  </si>
  <si>
    <t>Итоги периода: выручка -60 260 тг. Отрицательная динамика обусловлена одновременным падением количества заказов (-7 шт.) и незначительным снижением среднего чека (-19 тг), что привело к общему сокращению денежных поступлений.</t>
  </si>
  <si>
    <t>Итоги периода: выручка +17 189 тг. Положительная динамика обеспечена синхронным ростом всех показателей: увеличением количества заказов (+2 шт.) и ростом среднего чека (на 1 729 тг), что в совокупности дало уверенный плюс.</t>
  </si>
  <si>
    <t>всего пользователей: 4                                                                                                                                                                                                                                                                                                        новых пользователей: 3
постоянных пользователей: 1
Доля выручки от пост.пользователей: 27% / 9230тг
Доля выручки от новых пользователей: 73% / 25080тг</t>
  </si>
  <si>
    <t>мясо по тайски, куырдак из баранины, том ям, манты с говядиной, самса с мясом</t>
  </si>
  <si>
    <t>пельмени с бульоном, самса с мясом</t>
  </si>
  <si>
    <t>Количество заказов по акции: 4
Выручка заказов по акции: 34310 тг
Новые пользователи - 3
Доля от общей выручки: 100%.</t>
  </si>
  <si>
    <t>выручка 19730 ,затраты на продвижение 1098 тг</t>
  </si>
  <si>
    <t>г. Степногорск // Туркестан 14А</t>
  </si>
  <si>
    <t>7769767625/7477690706</t>
  </si>
  <si>
    <t>Богенбая 32/1</t>
  </si>
  <si>
    <t>Толе би 59, Жошы хана</t>
  </si>
  <si>
    <t>7082414684/7023211215</t>
  </si>
  <si>
    <t>Е899, Жургенова 19, самовывоз</t>
  </si>
  <si>
    <t>7776719999/7087450386/7055095204</t>
  </si>
  <si>
    <t>27.04-03.05</t>
  </si>
  <si>
    <t xml:space="preserve">ИТОГО:
Общая динамика: Апрель завершен с общим оборотом 352 710 тг (287 300 в Яндекс и 65 410 в Wolt).  
Яндекс Еда: На последней неделе апреля наблюдается аномальный рост среднего чека до 8 597 тг (+4 048 тг к прошлому периоду), что позволило удержать выручку в плюсе (+24 990 тг), несмотря на снижение частоты заказов. Площадка эффективно привлекает новую аудиторию (95% выручки — новые гости), но требует мер по возврату клиентов.  
Wolt: Демонстрирует отрицательную динамику на конец месяца: выручка упала на 14 931 тг из-за одновременного снижения и количества заказов, и среднего чека.  
Стратегия: Текущие акции на Яндекс дают лишь 15% от выручки, что указывает на необходимость пересмотра меню (добавление напитков) и усиления внутреннего продвижения в Wolt для стабилизации продаж.
</t>
  </si>
  <si>
    <t>Выручка                   +29 540 тг  -  Рост                                                                                                                                                                                                                                                                                            Кол-во заказов       -2 шт.          -  Снижение                                                                                                                                                                                                                                                                      Средний чек           +4 048 тг     -  Рост</t>
  </si>
  <si>
    <t>Выручка                   -14 931 тг   -  Снижение                                                                                                                                                                                                                                                                                            Кол-во заказов       -2 шт.          -  Снижение                                                                                                                                                                                                                                                                      Средний чек           -977 тг         -  Снижение</t>
  </si>
  <si>
    <t>Итоги периода: выручка +24 990 тг. Рост обеспечен увеличением среднего чека (на 4 048 тг), что перекрыло просадку по количеству заказов (-3 шт.)</t>
  </si>
  <si>
    <t>Итоги периода: выручка снизилась на 14 931 тг. Падение показателя обусловлено как сокращением числа заказов (-2 шт.), так и уменьшением среднего чека на 977 тг.</t>
  </si>
  <si>
    <t>всего пользователей: 11                                                                                                                                                                                                                                                                                                        новых пользователей: 9 
постоянных пользователей: 2
Доля выручки от пост.пользователей: 5% / 5040тг
Доля выручки от новых пользователей: 95% / 87080тг</t>
  </si>
  <si>
    <t>1 новых клиентов</t>
  </si>
  <si>
    <t>пельмени с бульоном, карась жаренный</t>
  </si>
  <si>
    <t>Добавить больше напитков в меню, пересмотреть позиции и возможно запустить блюда с гоу листа в яндекс</t>
  </si>
  <si>
    <t>Количество заказов по акции: 2
Выручка заказов по акции: 13690 тг
Новые пользователи - 2
Доля от общей выручки: 15%.</t>
  </si>
  <si>
    <t>выручка 61240 ,затраты на продвижение 5774 тг</t>
  </si>
  <si>
    <t>доставка от п/о, новые гости</t>
  </si>
  <si>
    <t>Сейфуллина 7, Мусрепова 4/2, Тлендиева 38</t>
  </si>
  <si>
    <t>4777/9723/2665</t>
  </si>
  <si>
    <t>заказы от таргета инсты</t>
  </si>
  <si>
    <t>Ташенова 17, Тауельсыздык 34/10</t>
  </si>
  <si>
    <t>87053835585/87079372806</t>
  </si>
  <si>
    <t>таргет инст</t>
  </si>
  <si>
    <t>сыганак 17р , Сатпаева 29//1</t>
  </si>
  <si>
    <t>8 778 800 7166//87070177585</t>
  </si>
  <si>
    <t>13.04-19.04</t>
  </si>
  <si>
    <t>По Яндекс наблюдается сильное снижение выручки и среднего чека, возможно из-за уменьшения количества заказов или снижения спроса. Рекомендуется запустить акцию (-40%) и усилить продвижение. По Wolt ситуация улучшилась: выросли выручка, количество заказов и средний чек. Стоит продолжить активность в Wolt и усилить работу с Яндекс для восстановления продаж.</t>
  </si>
  <si>
    <t>Соотношене выручки, выполненных заказов и среднего чека за прошлую неделю</t>
  </si>
  <si>
    <t>06.04-12.04</t>
  </si>
  <si>
    <t>выручка упала  на 39 170тг ,заказов на 2 меньше ,средний чек упал на 1923 тг</t>
  </si>
  <si>
    <t>выручка на 17 914 тг больше, заказы на 2 больше, средний чек больше на   3 960тг.</t>
  </si>
  <si>
    <t>выручка составила 407 320 тг. Выполненные заказы 46, средний чек составил 8 666 тг.</t>
  </si>
  <si>
    <t>выручка составила 45 046тг. Выполненные заказы 10, средний чек составил 4 504 тг.</t>
  </si>
  <si>
    <t>все пользователи итого 13,новых 11,постоянных 2,доля выручки от постоянных 13%.  Доля выручки за счет постоянных пользователей 8 890 тг. Выручка за счет новых пользователей 58 240.</t>
  </si>
  <si>
    <t>3 новых клиентов</t>
  </si>
  <si>
    <t>100% 4.7</t>
  </si>
  <si>
    <t>хан-шорпа ,куырдак,том - ям ,мясо по тайски,манты, пельмени</t>
  </si>
  <si>
    <t>пельмени с бульоном, чебуреки , том ям,люля из говядины</t>
  </si>
  <si>
    <t>запустить новую акцию</t>
  </si>
  <si>
    <t>запустить -40% акцию</t>
  </si>
  <si>
    <t>количество заказов по акции 9,        выручка 52 680 тг,новые пользователи 7, доля от общей выручки 78%.</t>
  </si>
  <si>
    <t>выручка 24 010 ,затраты на продвижение 3651 тг</t>
  </si>
  <si>
    <t>Байтурсынова 32/2</t>
  </si>
  <si>
    <t>самовывоз/ Аль-Фараби 10, кв.58</t>
  </si>
  <si>
    <t>77770555035  87026588798</t>
  </si>
  <si>
    <t>Туран 57/1</t>
  </si>
  <si>
    <t>Туран 42</t>
  </si>
  <si>
    <t>ЖК Республика,Улица  е 36</t>
  </si>
  <si>
    <t xml:space="preserve">Керей Жанибек 12/1 </t>
  </si>
  <si>
    <t>Казбек би 3/2    Туран 55/6</t>
  </si>
  <si>
    <t>Для Яндекс:
Выручка выросла за счет увеличения количества заказов (+7). Средний чек снизился на 237 тг — возможно из-за выбора более дешевых позиций или скидок. Жалоб и возвратов нет, рейтинг 4.7. Рекомендуется запустить новую акцию и усилить продажи топовых блюд.
Для Wolt:
Выручка снизилась на 17 534 тг, заказов меньше на 1. Средний чек ниже, но общее количество заказов упало. Постоянных клиентов всего 1 — низкая лояльность. Рекомендуется запустить акцию (-40%) и повысить активность в приложении.</t>
  </si>
  <si>
    <t>выручка выросла на 47 710тг ,заказов на 7 больше,средний чек упал на 237 тг</t>
  </si>
  <si>
    <t>выручка на 17 534 тг меньше, заказы на 1 меньше, средний чек больше на 5 141 тг.</t>
  </si>
  <si>
    <t>вырука выросла на 47 710  тг, упал средний чек на 237 тг, заказов выполненных на 7 больше</t>
  </si>
  <si>
    <t xml:space="preserve">выручка на 17 534 меньше, количество заказов меньше, средний чек меньше. </t>
  </si>
  <si>
    <t xml:space="preserve">все пользователи итого 15,новых 10,постоянных 5,доля выручки от постоянных 39%.  Доля выручки за счет постоянных пользователей 41 690 тг. Выручка за счет новых пользователей 64 610 тг </t>
  </si>
  <si>
    <t xml:space="preserve">1 постоянный </t>
  </si>
  <si>
    <t>баранья голова,куырдак,том - ям ,мясо по тайски,манты, пельмени</t>
  </si>
  <si>
    <t xml:space="preserve">том ям </t>
  </si>
  <si>
    <t>количество заказов по акции 12,        выручка 82 140тг,новые пользователи 8, доля от общей выручки 77%.</t>
  </si>
  <si>
    <t>выручка 16 310 ,затраты на продвижение 3594 тг</t>
  </si>
  <si>
    <t xml:space="preserve">Сат сити блок А </t>
  </si>
  <si>
    <t>бесплатная доставка от 10к</t>
  </si>
  <si>
    <t>Асфендиярова 9 кв214 Ташенова 12/2</t>
  </si>
  <si>
    <t>30.03-05.04</t>
  </si>
  <si>
    <t xml:space="preserve"> Яндекс остается основным источником выручки, но наблюдается снижение среднего чека (-854 тг). Рекомендуется усилить допродажи и добавить комбо-наборы. Wolt показывает рост выручки за счет увеличения среднего чека (+5 141 тг), но количество заказов низкое (2) — необходимо увеличить поток заказов через промо/акции и рекламу.</t>
  </si>
  <si>
    <t>23.03-29.03</t>
  </si>
  <si>
    <t>выручка выросла  на 6 830 тг ,заказов на 1 больше,средний чек упал на 854 тг</t>
  </si>
  <si>
    <t>выручка на 10 283 тг больше, заказы одинаковые, средний чек больше на 5 141 тг.</t>
  </si>
  <si>
    <t>вырука упала на 6 830  тг, упал средний чек на 854 тг, заказов выполненных на 1 больше</t>
  </si>
  <si>
    <t>выручка в 2 раза больше, количество заказов одиноковое, средний чек больше. Но заказов все равно мало</t>
  </si>
  <si>
    <t xml:space="preserve">все пользователи итого 8,новых 5,постоянных 3,доля выручки от постоянных 35%.  Доля выручки за счет постоянных пользователей 20 320 тг. Выручка за счет новых пользователей 38 270 тг </t>
  </si>
  <si>
    <t>клиентов 2 новых</t>
  </si>
  <si>
    <t xml:space="preserve">100% 4.6 </t>
  </si>
  <si>
    <t xml:space="preserve">баранья голова,куырдак баранина,том - ям ,мясо по тайски,манты </t>
  </si>
  <si>
    <t>рис , курица , картофель шато, хан шорпа,куырдак из баранины, бараньи семечки, картофельные дольки</t>
  </si>
  <si>
    <t>морс 1л добавить по доступной цене</t>
  </si>
  <si>
    <t xml:space="preserve">увеличить еженедельный бюджет за продвижение внутренней рекламы </t>
  </si>
  <si>
    <t>количество заказов по акции 7,выручка 51 720 тг,новые пользователи 5, доля от общей выручки 89%.</t>
  </si>
  <si>
    <t xml:space="preserve">скидка не оказывает значимого влияния на количество заказов </t>
  </si>
  <si>
    <t>выручка 13 950 ,затраты на продвижение 1415 тг</t>
  </si>
  <si>
    <t>нет никаких комментариев</t>
  </si>
  <si>
    <t>новые гости</t>
  </si>
  <si>
    <t>Кажымукана 18</t>
  </si>
  <si>
    <t>бесплатная доставка от 10.000</t>
  </si>
  <si>
    <t>Молдагалиева 6 кв 377</t>
  </si>
  <si>
    <t xml:space="preserve">новые гости </t>
  </si>
  <si>
    <t>Потанина 20, Кажымукана 2</t>
  </si>
  <si>
    <t>17.03-31.03</t>
  </si>
  <si>
    <t xml:space="preserve"> </t>
  </si>
  <si>
    <t>выручка упала на 18570,заказов на 2 меньше,средний чек упал на 1154</t>
  </si>
  <si>
    <t>выручка за прошлые 6 дней уменьшилась на 4%,средний чек увеличился на 44%</t>
  </si>
  <si>
    <t>упал средний чек,упущенная выгода 5200,13% от доли отмененных</t>
  </si>
  <si>
    <t>упал средний чек и количество гостей,прибыль уменьшается</t>
  </si>
  <si>
    <t>все пользователи итого 9,новых 4,постоянных 5,доля выручки от постоянных 17%</t>
  </si>
  <si>
    <t>баранья голова,куырдак баранина,картофель фри,мясо по тайски,манты ,пельмени</t>
  </si>
  <si>
    <t>манты,пельмени и фри</t>
  </si>
  <si>
    <t>добавить холодные закуски,1л морс и 1л колу по более сниженной цене</t>
  </si>
  <si>
    <t xml:space="preserve">время приготовления  исправить долгое,пунктуальность 0% </t>
  </si>
  <si>
    <t xml:space="preserve">количество заказов по акции 5,выручка упала на 12570,новых пользователей на 2 меньше,заказы упали </t>
  </si>
  <si>
    <t>скидка не оказывает значимого влияния на количество заказов и лояльность клиентов заказов неи</t>
  </si>
  <si>
    <t>выручка 40590,затраты на продвижение 3446</t>
  </si>
  <si>
    <t>нету никаких комментариев</t>
  </si>
  <si>
    <t>Ошакты 1 / самовывоз</t>
  </si>
  <si>
    <t>77054401588 / 77010124845</t>
  </si>
  <si>
    <t>лид инст</t>
  </si>
  <si>
    <t>Мангилик Ел 59</t>
  </si>
  <si>
    <t>инст</t>
  </si>
  <si>
    <t>Анатолий Храпатый 7</t>
  </si>
  <si>
    <t>бесплатная доставка от 10.001</t>
  </si>
  <si>
    <t>16.03-22.03</t>
  </si>
  <si>
    <t>выручка упала на 4510,заказов на 1 больше,средний чек упал на 1731</t>
  </si>
  <si>
    <t>выручка за прошлые 6 дней увеличилась на 46%,средний чек уменьшился на -28%</t>
  </si>
  <si>
    <t>не было,+2 положительных</t>
  </si>
  <si>
    <t>?</t>
  </si>
  <si>
    <t>увеличился средний чек вдвое на 4062,выручка от заказ по акции увеличилась на 22630</t>
  </si>
  <si>
    <t>3 заказа</t>
  </si>
  <si>
    <t>все пользователи итого 10,новых 8,постоянных 2,доля выручки от постоянных 3%</t>
  </si>
  <si>
    <t>3 новых</t>
  </si>
  <si>
    <t>сахарные кости,голова барана,куырдак конина,пельмени,самса с мясом</t>
  </si>
  <si>
    <t>мясо по тайски,картофель фри,том ям,микс салат с семгой,крылышки терияки</t>
  </si>
  <si>
    <t>добавить больше акционных предложений</t>
  </si>
  <si>
    <t>выручка 69970,упущенная выгода 13000; работает таргетированная реклама ,количество заказов по акции 8,средний чек акции 5809в</t>
  </si>
  <si>
    <t>редко используют акции</t>
  </si>
  <si>
    <t>выручка 15350,затраты на продвижение 2534</t>
  </si>
  <si>
    <t xml:space="preserve">время приготовления долгое,пунктуальность 33% </t>
  </si>
  <si>
    <t>09.03-15.03</t>
  </si>
  <si>
    <t>выручка выросла на 19530,заказов на 2 меньше,средний чек увеличился на 4793</t>
  </si>
  <si>
    <t>выручка за прошлые 6 дней увеличилась на 76%,средний чек уменьшился на -12%</t>
  </si>
  <si>
    <t>всего 2 заказа за последние 2 недели</t>
  </si>
  <si>
    <t>все пользователи итого 9,новых 5,постоянных 4,доля выручки от постоянных 27%</t>
  </si>
  <si>
    <t>1 новый,1 постоянный заказчик</t>
  </si>
  <si>
    <t>голова барана,куырдак конина,пельмени,овощи гриль,люля, мясо по тайски,том-ям</t>
  </si>
  <si>
    <t>том ям,микс салат с семгой,крылышки терияки</t>
  </si>
  <si>
    <t>редко используют</t>
  </si>
  <si>
    <t>выручка 19400,затраты на продвижение 914,</t>
  </si>
  <si>
    <t>время приготовления долгое</t>
  </si>
  <si>
    <t>1, клиент сам отменил</t>
  </si>
  <si>
    <t>02.03-08.03</t>
  </si>
  <si>
    <t>выручка меньше на 45960,заказов на 4 меньше,средний чек упал на 1939 из за введенных скидок -30%</t>
  </si>
  <si>
    <t xml:space="preserve">выручка больше 3427, заказы одинаковые, средний чек на 3427 больше </t>
  </si>
  <si>
    <t>1 звезда от 14 марта заказ 260313-1834194</t>
  </si>
  <si>
    <t>появился негативный отзыв,выручка упала на 30%,количество заказов уменьшилось</t>
  </si>
  <si>
    <t xml:space="preserve">количество заказов одинаковые, но средний чек выше </t>
  </si>
  <si>
    <t>все пользователи итого 11,новых 9,постоянных 2,доля выручки от постоянных 4%</t>
  </si>
  <si>
    <t xml:space="preserve">1 новый пользователь </t>
  </si>
  <si>
    <t>стейк из семги,куырдак конина,овощи гриль,люля, мясо по тайски,том-ям</t>
  </si>
  <si>
    <t>крылышки терияки,бараньи семечки</t>
  </si>
  <si>
    <t>выручка 45480,затраты 4364</t>
  </si>
  <si>
    <t>24.02-01.03</t>
  </si>
  <si>
    <t xml:space="preserve"> выручка на 50 721 больше ; выполненные заказы на 8 больше  ; средний чек  на 2506 меньше</t>
  </si>
  <si>
    <t xml:space="preserve">выручка на 28 317 меньше; заказов на 4 меньше; средний чек на 2 543 меньше </t>
  </si>
  <si>
    <t>все пользователи 15; 2 постоянных пользователей;  13 новых пользователей</t>
  </si>
  <si>
    <t xml:space="preserve">1 новый </t>
  </si>
  <si>
    <t xml:space="preserve">оставить 30%, запустить внутреннюю рекламу </t>
  </si>
  <si>
    <t xml:space="preserve">выручка за счет постоянных пользователей 2 940; выручка за счет новых пользователей 111 990; работает таргетированная реклама </t>
  </si>
  <si>
    <t>Яндекс(беспл. Дост. Для нов.)</t>
  </si>
  <si>
    <t>1 постоянный 6 новых</t>
  </si>
  <si>
    <t>5 новых</t>
  </si>
  <si>
    <t>стейк из семги,куырдак конина,картофель фри,сахарная кость,овощи гриль,люля</t>
  </si>
  <si>
    <t>карась жаренный,овощи гриль,том ям ,крылышки терияки,сазан,кола,сахарные кости</t>
  </si>
  <si>
    <t>сделать 30%</t>
  </si>
  <si>
    <t>оставить 30%</t>
  </si>
  <si>
    <t>Анализ акций -20% скидка на некоторые позиции</t>
  </si>
  <si>
    <t>подключили только 1 марта</t>
  </si>
  <si>
    <t>итого по факту</t>
  </si>
  <si>
    <t>итого за прошлую неделю</t>
  </si>
  <si>
    <t>По итогам периода зафиксирована положительная динамика основных показателей. Выручка увеличилась на  тг 39.460 благодаря росту количества заказов на 7 шт. не смотря на уменьшенее среднего чека на 918тг. Рост данных показателей оказал положительное влияние на общий финансовый результат периода.</t>
  </si>
  <si>
    <t>всего пользователей: 14                                                                                                                                                                                                                                                                                                  новых пользователей: 11
постоянных пользователей: 3
Доля выручки от пост.пользователей: 17% / 14 193тг
Доля выручки от новых пользователей: 83% / 69 295тг</t>
  </si>
  <si>
    <t>4.3/ 100%</t>
  </si>
  <si>
    <t>том ям ; манты с говядиной, рамен с говядиной, хан шорпа</t>
  </si>
  <si>
    <t>Добвить напитки и бизнес ланчи с дневными акциями</t>
  </si>
  <si>
    <t>Количество заказов по акции: 13
Выручка заказов по акции:  83 490тг
Новые пользователи - 11
Доля от общей выручки: 100%.</t>
  </si>
  <si>
    <t>выручка 34 810 ,затраты на продвижение 4031 тг</t>
  </si>
  <si>
    <t>Выручка                    +39 460тг                  - Рост                                                                                                                                                                                                                                                                                              Кол-во заказов        +7 шт.                       - Рост                                                                                                                                                                                                                                                                                                  Средний чек            -918 тг                       - Спад</t>
  </si>
  <si>
    <t>Выручка                   -32 000тг    - Спад                                                                                                                                                                                                                                                                                           Кол-во заказов       - 1               - Спад                                                                                                                                                                                                                                                                Средний чек           - 3460тг      - Спад</t>
  </si>
  <si>
    <t>всего пользователей: 1                                                                                                                                                                                                                                                                                                    новых пользователей: 1
постоянных пользователей: 0</t>
  </si>
  <si>
    <t>куырдак из баранины</t>
  </si>
  <si>
    <t xml:space="preserve">добавить скидки и акции для увеличения заказов для продвижения кухни на сервире </t>
  </si>
  <si>
    <t>По итогам периода зафиксирована отрицательная динамика, выручка существенно снизилась по сравнению с итогами прошлой недели, также отмечается снижение количества заказов и среднего чека, что свидетильствует о падении активности и эффективности канала продаж</t>
  </si>
  <si>
    <t>15 июня</t>
  </si>
  <si>
    <t>16 июня</t>
  </si>
  <si>
    <t>18 июня</t>
  </si>
  <si>
    <t>19 июня</t>
  </si>
  <si>
    <t>20 июня</t>
  </si>
  <si>
    <t>21 июня</t>
  </si>
  <si>
    <t>17 июня</t>
  </si>
  <si>
    <t>Культеген 4А</t>
  </si>
  <si>
    <t>Выручка                    -9430тг                          - Спад                                                                                                                                                                                                                                                                                              Кол-во заказов        -6 шт.                           - Спад                                                                                                                                                                                                                                                                                                  Средний чек            +1870тг                        - Рост</t>
  </si>
  <si>
    <t>22.06-28.06</t>
  </si>
  <si>
    <t>По итогам прошлой недели продажи составили 74060тг что на 30% ниже прошлого периода, выручка снизилась на 9430тг  что связано с уменьшением количества заказов, при этом средний чек вырос на 1870тг</t>
  </si>
  <si>
    <t>всего пользователей: 10                                                                                                                                                                                                                                                                                                  новых пользователей: 6
постоянных пользователей: 4
Доля выручки от пост.пользователей: 41% / 30 364тг
Доля выручки от новых пользователей: 59% / 43 695тг</t>
  </si>
  <si>
    <t xml:space="preserve">том ям ; рамен с говядиной, </t>
  </si>
  <si>
    <t xml:space="preserve">Обновление акций, добавление холодных напитков, продление акции на бесплатную доставку для новых пользователей </t>
  </si>
  <si>
    <t>выручка 67 370 ,затраты на продвижение 5441 тг</t>
  </si>
  <si>
    <t>22 июня</t>
  </si>
  <si>
    <t>23 июня</t>
  </si>
  <si>
    <t>24 июня</t>
  </si>
  <si>
    <t>25 июня</t>
  </si>
  <si>
    <t>26 июня</t>
  </si>
  <si>
    <t>27 июня</t>
  </si>
  <si>
    <t>28 июня</t>
  </si>
  <si>
    <t xml:space="preserve">самовывоз </t>
  </si>
  <si>
    <t>Культеген 4А, Асфендиярова 2</t>
  </si>
  <si>
    <t>сатпаева 16/1</t>
  </si>
  <si>
    <t>7015911097 ,7776515705</t>
  </si>
  <si>
    <t xml:space="preserve">бесплатная доставка </t>
  </si>
  <si>
    <t>Выручка                    +21 980тг    - Рост                                                                                                                                                                                                                                                                                           Кол-во заказов        - 5                - Спад                                                                                                                                                                                                                                                                Средний чек              +723тг      - Рост</t>
  </si>
  <si>
    <t>По итогам прошлого периода замечена положительная динамика, связанная с увелечением роста продаж и среднего чека заказа</t>
  </si>
  <si>
    <t xml:space="preserve">добавить скидки и акции, следить за активностью платформы </t>
  </si>
  <si>
    <t xml:space="preserve">Общий вывод
За отчетный период wolt показал положительную динамику: выросли выручка, количество заказов и средний чек. Акция со скидкой 30% эффективно привлекла новых клиентов и увеличила продажи. Основная задача — удержание новых гостей и рост повторных заказов.
Яндекс еда, наоборот, показал снижение активности и выручки. Для улучшения результатов рекомендуется усилить рекламу, при этом вырос средний чек заказа что тоже положительно повлияло на выручку обновить меню и увеличить количество акционных предложений.
</t>
  </si>
  <si>
    <t>всего пользователей: 6                                                                                                                                                                                                                                                                                                    новых пользователей: 5
постоянных пользователей: 1</t>
  </si>
  <si>
    <t>29.06-05.07</t>
  </si>
  <si>
    <t>По итогам прошлой недели продажи составили 79 930тг, что на 5870 выше предыдущего периода. Несмторя на рост выручки количество заказов снизилось на 3, при этом средний чек увеличился на 3190тг что положительно сказалось на общем результате</t>
  </si>
  <si>
    <t>всего пользователей: 7                                                                                                                                                                                                                                                                                                  новых пользователей: 6
постоянных пользователей: 1
Доля выручки от пост.пользователей: 18% / 14 387тг
Доля выручки от новых пользователей: 82% / 65 530тг</t>
  </si>
  <si>
    <t>Манты с говядиной, хан шорпа, том ям</t>
  </si>
  <si>
    <t>Количество заказов по акции: 7
Выручка заказов по акции:  79930тг
Новые пользователи - 6
Доля от общей выручки: 100%.</t>
  </si>
  <si>
    <t>выручка 70 980 ,затраты на продвижение 4752 тг</t>
  </si>
  <si>
    <t>Выручка                    +15 940тг       + Рост                                                                                                                                                                                                                                                                                           Кол-во заказов        - 1                    - Спад                                                                                                                                                                                                                                                                Средний чек              +3921тг          + Рост</t>
  </si>
  <si>
    <t>всего пользователей: 5                                                                                                                                                                                                                                                                                                    новых пользователей: 5
постоянных пользователей: 0</t>
  </si>
  <si>
    <t>том ям, чебуреки</t>
  </si>
  <si>
    <t xml:space="preserve">Общий вывод
За отчетный период доставка показала положительную динамику по выручке на обеих площадках. В Яндекс еде выручка увеличилась на 5870 несмотря на снижение количества заказов. В Вольт так же отмечен положительный результат выручка выросла на 15 940 при этом количество заказов сократилось всего на 1 а средний чек увеличился на 3921
</t>
  </si>
  <si>
    <t>01.06-30.06</t>
  </si>
  <si>
    <t>Выручка за июнь 2026: 290 510                                                                                                                                                                                                                                                      Выполненные заказы за июнь:  35                                                                                                                                                                                                                                                                                                Средний чек за июнь: 8070</t>
  </si>
  <si>
    <t>Выручка за июнь 2026: 72 250                                                                                                                                                                                                                                                                  Выполненные заказы за июнь:  16                                                                                                                                                                                                                                                                                               Средний чек за июнь: 4448</t>
  </si>
  <si>
    <t xml:space="preserve">            01.05-30.06</t>
  </si>
  <si>
    <t>29 июня</t>
  </si>
  <si>
    <t>30 июня</t>
  </si>
  <si>
    <t>1 июля</t>
  </si>
  <si>
    <t>2 июля</t>
  </si>
  <si>
    <t>3 июля</t>
  </si>
  <si>
    <t>4 июля</t>
  </si>
  <si>
    <t>5 июля</t>
  </si>
  <si>
    <t>Байтурсынова 39/1, самовывоз</t>
  </si>
  <si>
    <t>Бозбиик 2</t>
  </si>
  <si>
    <t>Достык 5/1, Абикена Бектурова 1</t>
  </si>
  <si>
    <t>бесплатная доставка</t>
  </si>
  <si>
    <t>06.07-12.07</t>
  </si>
  <si>
    <t>Выручка                    +5830тг                           +Рост                                                                                                                                                                                                                                                                                              Кол-во заказов        -3 шт.                            - Спад                                                                                                                                                                                                                                                                                                  Средний чек            +3190тг                          +Рост</t>
  </si>
  <si>
    <t>Выручка                     +53 640тг                           +Рост                                                                                                                                                                                                                                                                                              Кол-во заказов        +9 шт.                                 +Рост                                                                                                                                                                                                                                                                                                  Средний чек            -3071тг                               -Спад</t>
  </si>
  <si>
    <t>По итогам прошлой недели в Яндекс наблюдается положительная динамика. Выручка увеличилась на 53 640тг количество выросло на 9 что свидетельствует о росте спроса.При этом средний чек снизился на 3071, однако общий результат недели остается положительным за счет увеличения объема заказов.</t>
  </si>
  <si>
    <t>всего пользователей: 16                                                                                                                                                                                                                                                                                                  новых пользователей: 14
постоянных пользователей: 2
Доля выручки от пост.пользователей: 7% / 9450тг
Доля выручки от новых пользователей: 93% / 124 120тг</t>
  </si>
  <si>
    <t>4.7/ 100%</t>
  </si>
  <si>
    <t>самса с мясом, куриный шашлык, самса с мясом, том ям, картофель фри</t>
  </si>
  <si>
    <t xml:space="preserve">Обновление акций, продление акции на бесплатную доставку для новых пользователей </t>
  </si>
  <si>
    <t>Количество заказов по акции: 12
Выручка заказов по акции:  102700тг
Новые пользователи - 11
Доля от общей выручки: 76.9%.</t>
  </si>
  <si>
    <t>выручка 75 760 ,затраты на продвижение 7005 тг</t>
  </si>
  <si>
    <t>Выручка:</t>
  </si>
  <si>
    <t>6 июля</t>
  </si>
  <si>
    <t>7 июля</t>
  </si>
  <si>
    <t>8 июля</t>
  </si>
  <si>
    <t>9 июля</t>
  </si>
  <si>
    <t>10 июля</t>
  </si>
  <si>
    <t>11 июля</t>
  </si>
  <si>
    <t>12 июля</t>
  </si>
  <si>
    <t>Капшагай 10</t>
  </si>
  <si>
    <t>Керей Жанибека 15</t>
  </si>
  <si>
    <t>Жубан Молдагалиева 34</t>
  </si>
  <si>
    <t>Аймауытова 10/5</t>
  </si>
  <si>
    <t>Туран 30</t>
  </si>
  <si>
    <t>Нуршаикова 10\1, Айша биби 22, Анатолия храпова 10/1</t>
  </si>
  <si>
    <t>Бесплатная доставка</t>
  </si>
  <si>
    <t>Бесплатная достака</t>
  </si>
  <si>
    <t>По итогам прошлого периода замечена отрицательная динамика, заказов не было</t>
  </si>
  <si>
    <t>всего пользователей: 0                                                                                                                                                                                                                                                                                                    новых пользователей: 0
постоянных пользователей: 0</t>
  </si>
  <si>
    <t xml:space="preserve">Общий вывод
За отчетный период доставка продемонтрировала положительную динамику в Яндекс. Выручка увеличилась на 53 640тг, количество заказов выросло на 9, что свидетельствует о повышении спроса. В сервисе Вольт за отчетный период заказов не было, поэтому показатели показатели выручки и среднего чека остались без изменений.
</t>
  </si>
  <si>
    <t>13 июля</t>
  </si>
  <si>
    <t>14 июля</t>
  </si>
  <si>
    <t>15 июля</t>
  </si>
  <si>
    <t>16 июля</t>
  </si>
  <si>
    <t>17 июля</t>
  </si>
  <si>
    <t>18 июля</t>
  </si>
  <si>
    <t>19 июля</t>
  </si>
  <si>
    <t>саркырама 4, бектурова 7</t>
  </si>
  <si>
    <t>7753396647, 7077693316</t>
  </si>
  <si>
    <t>1 комплимент в виде бесплатной доставки за ожидание</t>
  </si>
  <si>
    <t>тасшокы 2</t>
  </si>
  <si>
    <t>сатпаева 23</t>
  </si>
  <si>
    <t>17.03-30.04</t>
  </si>
  <si>
    <t>01.04-30.05</t>
  </si>
  <si>
    <t>01.05-31.06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</si>
</sst>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numFmts>
  <fonts count="28" x14ac:knownFonts="1">
    <font>
      <sz val="11"/>
      <color theme="1"/>
      <name val="Calibri"/>
      <scheme val="minor"/>
    </font>
    <font>
      <b/>
      <sz val="12"/>
      <color theme="1"/>
      <name val="Calibri"/>
      <family val="2"/>
      <charset val="204"/>
    </font>
    <font>
      <sz val="11"/>
      <name val="Calibri"/>
      <family val="2"/>
      <charset val="204"/>
    </font>
    <font>
      <sz val="12"/>
      <color theme="1"/>
      <name val="Calibri"/>
      <family val="2"/>
      <charset val="204"/>
    </font>
    <font>
      <b/>
      <sz val="11"/>
      <color theme="1"/>
      <name val="Calibri"/>
      <family val="2"/>
      <charset val="204"/>
      <scheme val="minor"/>
    </font>
    <font>
      <sz val="11"/>
      <color theme="1"/>
      <name val="Calibri"/>
      <family val="2"/>
      <charset val="204"/>
    </font>
    <font>
      <b/>
      <sz val="12"/>
      <color rgb="FF000000"/>
      <name val="Calibri"/>
      <family val="2"/>
      <charset val="204"/>
    </font>
    <font>
      <b/>
      <sz val="11"/>
      <color theme="1"/>
      <name val="Calibri"/>
      <family val="2"/>
      <charset val="204"/>
      <scheme val="minor"/>
    </font>
    <font>
      <sz val="12"/>
      <color rgb="FF000000"/>
      <name val="Calibri"/>
      <family val="2"/>
      <charset val="204"/>
    </font>
    <font>
      <b/>
      <sz val="11"/>
      <color theme="1"/>
      <name val="Calibri"/>
      <family val="2"/>
      <charset val="204"/>
    </font>
    <font>
      <b/>
      <sz val="12"/>
      <color theme="1"/>
      <name val="Times New Roman"/>
      <family val="1"/>
      <charset val="204"/>
    </font>
    <font>
      <sz val="12"/>
      <color theme="1"/>
      <name val="Times New Roman"/>
      <family val="1"/>
      <charset val="204"/>
    </font>
    <font>
      <b/>
      <sz val="14"/>
      <color theme="1"/>
      <name val="Calibri"/>
      <family val="2"/>
      <charset val="204"/>
    </font>
    <font>
      <sz val="14"/>
      <color theme="1"/>
      <name val="Calibri"/>
      <family val="2"/>
      <charset val="204"/>
    </font>
    <font>
      <b/>
      <sz val="14"/>
      <color theme="1"/>
      <name val="Times New Roman"/>
      <family val="1"/>
      <charset val="204"/>
    </font>
    <font>
      <sz val="14"/>
      <color theme="1"/>
      <name val="Times New Roman"/>
      <family val="1"/>
      <charset val="204"/>
    </font>
    <font>
      <b/>
      <sz val="16"/>
      <color theme="1"/>
      <name val="Calibri"/>
      <family val="2"/>
      <charset val="204"/>
    </font>
    <font>
      <sz val="16"/>
      <color theme="1"/>
      <name val="Calibri"/>
      <family val="2"/>
      <charset val="204"/>
    </font>
    <font>
      <b/>
      <sz val="20"/>
      <color theme="1"/>
      <name val="Calibri"/>
      <family val="2"/>
      <charset val="204"/>
    </font>
    <font>
      <sz val="11"/>
      <color theme="1"/>
      <name val="Calibri"/>
      <family val="2"/>
      <charset val="204"/>
    </font>
    <font>
      <sz val="9"/>
      <color indexed="81"/>
      <name val="Tahoma"/>
      <family val="2"/>
      <charset val="204"/>
    </font>
    <font>
      <b/>
      <sz val="9"/>
      <color indexed="81"/>
      <name val="Tahoma"/>
      <family val="2"/>
      <charset val="204"/>
    </font>
    <font>
      <b/>
      <sz val="12"/>
      <color theme="1"/>
      <name val="Calibri"/>
      <family val="2"/>
      <charset val="204"/>
    </font>
    <font>
      <sz val="12"/>
      <color theme="1"/>
      <name val="Calibri"/>
      <family val="2"/>
      <charset val="204"/>
    </font>
    <font>
      <sz val="8"/>
      <name val="Calibri"/>
      <family val="2"/>
      <charset val="204"/>
      <scheme val="minor"/>
    </font>
    <font>
      <sz val="16"/>
      <name val="Calibri"/>
      <family val="2"/>
      <charset val="204"/>
    </font>
    <font>
      <b/>
      <sz val="16"/>
      <color rgb="FF000000"/>
      <name val="Calibri"/>
      <family val="2"/>
      <charset val="204"/>
    </font>
    <font>
      <b/>
      <sz val="16"/>
      <color theme="1"/>
      <name val="Calibri"/>
      <family val="2"/>
      <charset val="204"/>
      <scheme val="minor"/>
    </font>
  </fonts>
  <fills count="18">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FFE598"/>
        <bgColor rgb="FFFFE598"/>
      </patternFill>
    </fill>
    <fill>
      <patternFill patternType="solid">
        <fgColor rgb="FFC5E0B3"/>
        <bgColor rgb="FFC5E0B3"/>
      </patternFill>
    </fill>
    <fill>
      <patternFill patternType="solid">
        <fgColor rgb="FFF2F2F2"/>
        <bgColor rgb="FFF2F2F2"/>
      </patternFill>
    </fill>
    <fill>
      <patternFill patternType="solid">
        <fgColor rgb="FFE2EFD9"/>
        <bgColor rgb="FFE2EFD9"/>
      </patternFill>
    </fill>
    <fill>
      <patternFill patternType="solid">
        <fgColor rgb="FFEA9999"/>
        <bgColor rgb="FFEA9999"/>
      </patternFill>
    </fill>
    <fill>
      <patternFill patternType="solid">
        <fgColor theme="5"/>
        <bgColor indexed="64"/>
      </patternFill>
    </fill>
    <fill>
      <patternFill patternType="solid">
        <fgColor theme="9" tint="0.79998168889431442"/>
        <bgColor indexed="64"/>
      </patternFill>
    </fill>
    <fill>
      <patternFill patternType="solid">
        <fgColor theme="0"/>
        <bgColor rgb="FFE2EFD9"/>
      </patternFill>
    </fill>
    <fill>
      <patternFill patternType="solid">
        <fgColor theme="5" tint="0.39997558519241921"/>
        <bgColor indexed="64"/>
      </patternFill>
    </fill>
    <fill>
      <patternFill patternType="solid">
        <fgColor theme="5" tint="0.39997558519241921"/>
        <bgColor rgb="FFF2F2F2"/>
      </patternFill>
    </fill>
    <fill>
      <patternFill patternType="solid">
        <fgColor theme="0"/>
        <bgColor rgb="FFFFFF00"/>
      </patternFill>
    </fill>
    <fill>
      <patternFill patternType="solid">
        <fgColor theme="0"/>
        <bgColor rgb="FFEA9999"/>
      </patternFill>
    </fill>
    <fill>
      <patternFill patternType="solid">
        <fgColor theme="0"/>
        <bgColor indexed="64"/>
      </patternFill>
    </fill>
  </fills>
  <borders count="62">
    <border>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diagonal/>
    </border>
    <border>
      <left style="thick">
        <color rgb="FF000000"/>
      </left>
      <right style="thick">
        <color rgb="FF000000"/>
      </right>
      <top style="thick">
        <color rgb="FF000000"/>
      </top>
      <bottom style="thick">
        <color rgb="FF000000"/>
      </bottom>
      <diagonal/>
    </border>
    <border>
      <left style="thin">
        <color rgb="FF000000"/>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medium">
        <color theme="1"/>
      </left>
      <right style="medium">
        <color theme="1"/>
      </right>
      <top style="thin">
        <color rgb="FF000000"/>
      </top>
      <bottom style="thin">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theme="1"/>
      </left>
      <right style="medium">
        <color theme="1"/>
      </right>
      <top style="medium">
        <color theme="1"/>
      </top>
      <bottom/>
      <diagonal/>
    </border>
    <border>
      <left style="medium">
        <color theme="1"/>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theme="1"/>
      </left>
      <right style="medium">
        <color theme="1"/>
      </right>
      <top/>
      <bottom style="medium">
        <color rgb="FF000000"/>
      </bottom>
      <diagonal/>
    </border>
    <border>
      <left style="medium">
        <color theme="1"/>
      </left>
      <right style="medium">
        <color rgb="FF000000"/>
      </right>
      <top style="medium">
        <color theme="1"/>
      </top>
      <bottom style="medium">
        <color rgb="FF000000"/>
      </bottom>
      <diagonal/>
    </border>
    <border>
      <left style="medium">
        <color rgb="FF000000"/>
      </left>
      <right style="medium">
        <color rgb="FF000000"/>
      </right>
      <top style="medium">
        <color theme="1"/>
      </top>
      <bottom/>
      <diagonal/>
    </border>
    <border>
      <left style="medium">
        <color rgb="FF000000"/>
      </left>
      <right style="medium">
        <color rgb="FF000000"/>
      </right>
      <top style="medium">
        <color theme="1"/>
      </top>
      <bottom style="medium">
        <color rgb="FF000000"/>
      </bottom>
      <diagonal/>
    </border>
    <border>
      <left/>
      <right style="medium">
        <color theme="1"/>
      </right>
      <top style="medium">
        <color theme="1"/>
      </top>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theme="1"/>
      </right>
      <top style="medium">
        <color theme="1"/>
      </top>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theme="1"/>
      </right>
      <top/>
      <bottom/>
      <diagonal/>
    </border>
    <border>
      <left style="medium">
        <color rgb="FF000000"/>
      </left>
      <right style="medium">
        <color rgb="FF000000"/>
      </right>
      <top style="thin">
        <color rgb="FF000000"/>
      </top>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right style="medium">
        <color theme="1"/>
      </right>
      <top/>
      <bottom style="medium">
        <color theme="1"/>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theme="1"/>
      </left>
      <right/>
      <top/>
      <bottom/>
      <diagonal/>
    </border>
    <border>
      <left/>
      <right/>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74">
    <xf numFmtId="0" fontId="0" fillId="0" borderId="0" xfId="0"/>
    <xf numFmtId="0" fontId="3" fillId="0" borderId="0" xfId="0" applyFont="1"/>
    <xf numFmtId="0" fontId="1" fillId="2" borderId="6" xfId="0" applyFont="1" applyFill="1" applyBorder="1" applyAlignment="1">
      <alignment horizontal="center" vertical="center" wrapText="1"/>
    </xf>
    <xf numFmtId="0" fontId="1" fillId="2" borderId="6" xfId="0" applyFont="1" applyFill="1" applyBorder="1" applyAlignment="1">
      <alignment horizontal="center" vertical="center"/>
    </xf>
    <xf numFmtId="0" fontId="1" fillId="0" borderId="0" xfId="0" applyFont="1"/>
    <xf numFmtId="0" fontId="1" fillId="0" borderId="6" xfId="0" applyFont="1" applyBorder="1" applyAlignment="1">
      <alignment horizontal="center" vertical="center" wrapText="1"/>
    </xf>
    <xf numFmtId="3" fontId="1" fillId="0" borderId="6" xfId="0" applyNumberFormat="1" applyFont="1" applyBorder="1" applyAlignment="1">
      <alignment horizontal="center" vertical="center"/>
    </xf>
    <xf numFmtId="0" fontId="1" fillId="0" borderId="6" xfId="0" applyFont="1" applyBorder="1" applyAlignment="1">
      <alignment horizontal="center" vertical="center"/>
    </xf>
    <xf numFmtId="0" fontId="1" fillId="4" borderId="6" xfId="0" applyFont="1" applyFill="1" applyBorder="1" applyAlignment="1">
      <alignment horizontal="center" vertical="center" wrapText="1"/>
    </xf>
    <xf numFmtId="0" fontId="1" fillId="4" borderId="6" xfId="0" applyFont="1" applyFill="1" applyBorder="1" applyAlignment="1">
      <alignment horizontal="center" vertical="center"/>
    </xf>
    <xf numFmtId="3" fontId="1" fillId="4" borderId="6" xfId="0" applyNumberFormat="1" applyFont="1" applyFill="1" applyBorder="1" applyAlignment="1">
      <alignment horizontal="center" vertical="center" wrapText="1"/>
    </xf>
    <xf numFmtId="3" fontId="4" fillId="0" borderId="0" xfId="0" applyNumberFormat="1" applyFont="1" applyAlignment="1">
      <alignment horizontal="left" vertical="center" wrapText="1"/>
    </xf>
    <xf numFmtId="0" fontId="1" fillId="4" borderId="6"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4" borderId="8" xfId="0" applyFont="1" applyFill="1" applyBorder="1" applyAlignment="1">
      <alignment horizontal="center" vertical="center"/>
    </xf>
    <xf numFmtId="3" fontId="1" fillId="0" borderId="9" xfId="0" applyNumberFormat="1" applyFont="1" applyBorder="1" applyAlignment="1">
      <alignment horizontal="left" vertical="center" wrapText="1"/>
    </xf>
    <xf numFmtId="0" fontId="1" fillId="0" borderId="9" xfId="0" applyFont="1" applyBorder="1" applyAlignment="1">
      <alignment horizontal="left" vertical="center" wrapText="1"/>
    </xf>
    <xf numFmtId="3" fontId="4" fillId="0" borderId="0" xfId="0" applyNumberFormat="1" applyFont="1" applyAlignment="1">
      <alignment wrapText="1"/>
    </xf>
    <xf numFmtId="0" fontId="1" fillId="4" borderId="5" xfId="0" applyFont="1" applyFill="1" applyBorder="1" applyAlignment="1">
      <alignment horizontal="left" vertical="center" wrapText="1"/>
    </xf>
    <xf numFmtId="9" fontId="1" fillId="4" borderId="5" xfId="0" applyNumberFormat="1" applyFont="1" applyFill="1" applyBorder="1" applyAlignment="1">
      <alignment horizontal="left" vertical="center" wrapText="1"/>
    </xf>
    <xf numFmtId="0" fontId="1" fillId="0" borderId="6" xfId="0" applyFont="1" applyBorder="1" applyAlignment="1">
      <alignment horizontal="left" vertical="center" wrapText="1"/>
    </xf>
    <xf numFmtId="0" fontId="1" fillId="0" borderId="6" xfId="0" applyFont="1" applyBorder="1" applyAlignment="1">
      <alignment horizontal="left"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1" fillId="5" borderId="1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6" borderId="12" xfId="0" applyFont="1" applyFill="1" applyBorder="1" applyAlignment="1">
      <alignment horizontal="center" vertical="center" wrapText="1"/>
    </xf>
    <xf numFmtId="1" fontId="1" fillId="6" borderId="12" xfId="0" applyNumberFormat="1" applyFont="1" applyFill="1" applyBorder="1" applyAlignment="1">
      <alignment horizontal="center" vertical="center"/>
    </xf>
    <xf numFmtId="0" fontId="1" fillId="6" borderId="12" xfId="0" applyFont="1" applyFill="1" applyBorder="1" applyAlignment="1">
      <alignment horizontal="center" vertical="center"/>
    </xf>
    <xf numFmtId="0" fontId="1" fillId="6" borderId="12" xfId="0" applyFont="1" applyFill="1" applyBorder="1"/>
    <xf numFmtId="16" fontId="3" fillId="7" borderId="13" xfId="0" applyNumberFormat="1" applyFont="1" applyFill="1" applyBorder="1" applyAlignment="1">
      <alignment horizontal="center"/>
    </xf>
    <xf numFmtId="1" fontId="3" fillId="8" borderId="12" xfId="0" applyNumberFormat="1" applyFont="1" applyFill="1" applyBorder="1" applyAlignment="1">
      <alignment horizontal="center" vertical="center" wrapText="1"/>
    </xf>
    <xf numFmtId="3" fontId="3" fillId="8" borderId="12" xfId="0" applyNumberFormat="1" applyFont="1" applyFill="1" applyBorder="1" applyAlignment="1">
      <alignment horizontal="center" vertical="center"/>
    </xf>
    <xf numFmtId="3" fontId="5" fillId="8" borderId="12" xfId="0" applyNumberFormat="1"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12" xfId="0" applyFont="1" applyFill="1" applyBorder="1" applyAlignment="1">
      <alignment horizontal="left"/>
    </xf>
    <xf numFmtId="3" fontId="5" fillId="8" borderId="12" xfId="0" applyNumberFormat="1" applyFont="1" applyFill="1" applyBorder="1"/>
    <xf numFmtId="3" fontId="5" fillId="7" borderId="12" xfId="0" applyNumberFormat="1" applyFont="1" applyFill="1" applyBorder="1" applyAlignment="1">
      <alignment horizontal="right"/>
    </xf>
    <xf numFmtId="3" fontId="5" fillId="8" borderId="12" xfId="0" applyNumberFormat="1" applyFont="1" applyFill="1" applyBorder="1" applyAlignment="1">
      <alignment horizontal="center" vertical="center"/>
    </xf>
    <xf numFmtId="0" fontId="5" fillId="7" borderId="12" xfId="0" applyFont="1" applyFill="1" applyBorder="1"/>
    <xf numFmtId="0" fontId="5" fillId="7" borderId="12" xfId="0" applyFont="1" applyFill="1" applyBorder="1" applyAlignment="1">
      <alignment horizontal="right"/>
    </xf>
    <xf numFmtId="9" fontId="5" fillId="7" borderId="12" xfId="0" applyNumberFormat="1" applyFont="1" applyFill="1" applyBorder="1" applyAlignment="1">
      <alignment horizontal="left"/>
    </xf>
    <xf numFmtId="20" fontId="3" fillId="0" borderId="14" xfId="0" applyNumberFormat="1" applyFont="1" applyBorder="1" applyAlignment="1">
      <alignment horizontal="center"/>
    </xf>
    <xf numFmtId="1" fontId="3" fillId="0" borderId="12" xfId="0" applyNumberFormat="1" applyFont="1" applyBorder="1" applyAlignment="1">
      <alignment horizontal="center" vertical="center" wrapText="1"/>
    </xf>
    <xf numFmtId="3" fontId="3" fillId="0" borderId="12" xfId="0" applyNumberFormat="1" applyFont="1" applyBorder="1" applyAlignment="1">
      <alignment horizontal="center" vertical="center"/>
    </xf>
    <xf numFmtId="0" fontId="3" fillId="0" borderId="12" xfId="0" applyFont="1" applyBorder="1" applyAlignment="1">
      <alignment horizontal="center" vertical="center"/>
    </xf>
    <xf numFmtId="3" fontId="1" fillId="5" borderId="12" xfId="0" applyNumberFormat="1" applyFont="1" applyFill="1" applyBorder="1" applyAlignment="1">
      <alignment horizontal="center" vertical="center" wrapText="1"/>
    </xf>
    <xf numFmtId="1" fontId="1" fillId="5" borderId="12" xfId="0" applyNumberFormat="1" applyFont="1" applyFill="1" applyBorder="1" applyAlignment="1">
      <alignment horizontal="center" vertical="center" wrapText="1"/>
    </xf>
    <xf numFmtId="3" fontId="3" fillId="5" borderId="12" xfId="0" applyNumberFormat="1" applyFont="1" applyFill="1" applyBorder="1" applyAlignment="1">
      <alignment horizontal="center" vertical="center"/>
    </xf>
    <xf numFmtId="3" fontId="3" fillId="5" borderId="12" xfId="0" applyNumberFormat="1" applyFont="1" applyFill="1" applyBorder="1"/>
    <xf numFmtId="0" fontId="1" fillId="0" borderId="12" xfId="0" applyFont="1" applyBorder="1" applyAlignment="1">
      <alignment horizontal="center" vertical="center"/>
    </xf>
    <xf numFmtId="3" fontId="1" fillId="2" borderId="18" xfId="0" applyNumberFormat="1" applyFont="1" applyFill="1" applyBorder="1" applyAlignment="1">
      <alignment horizontal="center" vertical="center" wrapText="1"/>
    </xf>
    <xf numFmtId="3" fontId="1" fillId="2" borderId="19" xfId="0" applyNumberFormat="1" applyFont="1" applyFill="1" applyBorder="1" applyAlignment="1">
      <alignment horizontal="center" vertical="center" wrapText="1"/>
    </xf>
    <xf numFmtId="3" fontId="1" fillId="2" borderId="12" xfId="0" applyNumberFormat="1" applyFont="1" applyFill="1" applyBorder="1" applyAlignment="1">
      <alignment horizontal="center" vertical="center"/>
    </xf>
    <xf numFmtId="0" fontId="1" fillId="2" borderId="12" xfId="0" applyFont="1" applyFill="1" applyBorder="1" applyAlignment="1">
      <alignment horizontal="center" vertical="center" wrapText="1"/>
    </xf>
    <xf numFmtId="0" fontId="3" fillId="4" borderId="20" xfId="0" applyFont="1" applyFill="1" applyBorder="1" applyAlignment="1">
      <alignment vertical="center" wrapText="1"/>
    </xf>
    <xf numFmtId="0" fontId="6" fillId="9" borderId="12" xfId="0" applyFont="1" applyFill="1" applyBorder="1" applyAlignment="1">
      <alignment horizontal="left" vertical="center"/>
    </xf>
    <xf numFmtId="0" fontId="6" fillId="9" borderId="12" xfId="0" applyFont="1" applyFill="1" applyBorder="1" applyAlignment="1">
      <alignment horizontal="center" vertical="center"/>
    </xf>
    <xf numFmtId="0" fontId="6" fillId="9" borderId="12" xfId="0" applyFont="1" applyFill="1" applyBorder="1" applyAlignment="1">
      <alignment horizontal="center"/>
    </xf>
    <xf numFmtId="0" fontId="1" fillId="0" borderId="21" xfId="0" applyFont="1" applyBorder="1" applyAlignment="1">
      <alignment horizontal="center" vertical="center"/>
    </xf>
    <xf numFmtId="3" fontId="4" fillId="0" borderId="9" xfId="0" applyNumberFormat="1" applyFont="1" applyBorder="1" applyAlignment="1">
      <alignment vertical="center" wrapText="1"/>
    </xf>
    <xf numFmtId="3" fontId="1" fillId="4" borderId="6" xfId="0" applyNumberFormat="1" applyFont="1" applyFill="1" applyBorder="1" applyAlignment="1">
      <alignment horizontal="left" vertical="center" wrapText="1"/>
    </xf>
    <xf numFmtId="3" fontId="7" fillId="0" borderId="9" xfId="0" applyNumberFormat="1" applyFont="1" applyBorder="1" applyAlignment="1">
      <alignment horizontal="left" vertical="center" wrapText="1"/>
    </xf>
    <xf numFmtId="0" fontId="5" fillId="7" borderId="12" xfId="0" applyFont="1" applyFill="1" applyBorder="1" applyAlignment="1">
      <alignment horizontal="center" vertical="center"/>
    </xf>
    <xf numFmtId="3" fontId="3" fillId="8" borderId="12" xfId="0" applyNumberFormat="1" applyFont="1" applyFill="1" applyBorder="1" applyAlignment="1">
      <alignment horizontal="center" vertical="center" wrapText="1"/>
    </xf>
    <xf numFmtId="0" fontId="8" fillId="9" borderId="12" xfId="0" applyFont="1" applyFill="1" applyBorder="1"/>
    <xf numFmtId="0" fontId="1" fillId="4" borderId="7" xfId="0" applyFont="1" applyFill="1" applyBorder="1" applyAlignment="1">
      <alignment horizontal="center" vertical="center"/>
    </xf>
    <xf numFmtId="3" fontId="1" fillId="0" borderId="1" xfId="0" applyNumberFormat="1" applyFont="1" applyBorder="1" applyAlignment="1">
      <alignment horizontal="left" vertical="center" wrapText="1"/>
    </xf>
    <xf numFmtId="0" fontId="1" fillId="0" borderId="1" xfId="0" applyFont="1" applyBorder="1" applyAlignment="1">
      <alignment horizontal="left" vertical="center" wrapText="1"/>
    </xf>
    <xf numFmtId="3" fontId="9" fillId="0" borderId="6" xfId="0" applyNumberFormat="1" applyFont="1" applyBorder="1" applyAlignment="1">
      <alignment vertical="center" wrapText="1"/>
    </xf>
    <xf numFmtId="0" fontId="1" fillId="0" borderId="5" xfId="0" applyFont="1" applyBorder="1" applyAlignment="1">
      <alignment horizontal="left" vertical="center" wrapText="1"/>
    </xf>
    <xf numFmtId="9" fontId="1" fillId="4" borderId="6" xfId="0" applyNumberFormat="1" applyFont="1" applyFill="1" applyBorder="1" applyAlignment="1">
      <alignment horizontal="left" vertical="center" wrapText="1"/>
    </xf>
    <xf numFmtId="9" fontId="3" fillId="0" borderId="12" xfId="0" applyNumberFormat="1" applyFont="1" applyBorder="1" applyAlignment="1">
      <alignment horizontal="left"/>
    </xf>
    <xf numFmtId="3" fontId="1" fillId="0" borderId="6" xfId="0" applyNumberFormat="1" applyFont="1" applyBorder="1" applyAlignment="1">
      <alignment horizontal="left" vertical="center" wrapText="1"/>
    </xf>
    <xf numFmtId="3" fontId="9" fillId="0" borderId="0" xfId="0" applyNumberFormat="1" applyFont="1" applyAlignment="1">
      <alignment vertical="center" wrapText="1"/>
    </xf>
    <xf numFmtId="20" fontId="3" fillId="7" borderId="13" xfId="0" applyNumberFormat="1" applyFont="1" applyFill="1" applyBorder="1" applyAlignment="1">
      <alignment horizontal="center"/>
    </xf>
    <xf numFmtId="0" fontId="3" fillId="7" borderId="12" xfId="0" applyFont="1" applyFill="1" applyBorder="1" applyAlignment="1">
      <alignment horizontal="center" vertical="center"/>
    </xf>
    <xf numFmtId="9" fontId="3" fillId="7" borderId="12" xfId="0" applyNumberFormat="1" applyFont="1" applyFill="1" applyBorder="1" applyAlignment="1">
      <alignment horizontal="left"/>
    </xf>
    <xf numFmtId="0" fontId="3" fillId="7" borderId="12" xfId="0" applyFont="1" applyFill="1" applyBorder="1" applyAlignment="1">
      <alignment horizontal="left"/>
    </xf>
    <xf numFmtId="20" fontId="3" fillId="8" borderId="12" xfId="0" applyNumberFormat="1" applyFont="1" applyFill="1" applyBorder="1" applyAlignment="1">
      <alignment horizontal="center" vertical="center"/>
    </xf>
    <xf numFmtId="0" fontId="3" fillId="8" borderId="12" xfId="0" applyFont="1" applyFill="1" applyBorder="1" applyAlignment="1">
      <alignment horizontal="center" vertical="center"/>
    </xf>
    <xf numFmtId="20" fontId="3" fillId="7" borderId="12" xfId="0" applyNumberFormat="1" applyFont="1" applyFill="1" applyBorder="1" applyAlignment="1">
      <alignment horizontal="center" vertical="center"/>
    </xf>
    <xf numFmtId="0" fontId="3" fillId="7" borderId="12" xfId="0" applyFont="1" applyFill="1" applyBorder="1"/>
    <xf numFmtId="3" fontId="10" fillId="2" borderId="18" xfId="0" applyNumberFormat="1" applyFont="1" applyFill="1" applyBorder="1" applyAlignment="1">
      <alignment horizontal="center" vertical="center" wrapText="1"/>
    </xf>
    <xf numFmtId="3" fontId="10" fillId="2" borderId="19" xfId="0" applyNumberFormat="1"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30"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32" xfId="0" applyFont="1" applyFill="1" applyBorder="1" applyAlignment="1">
      <alignment horizontal="center" vertical="center"/>
    </xf>
    <xf numFmtId="3" fontId="1" fillId="0" borderId="33" xfId="0" applyNumberFormat="1" applyFont="1" applyBorder="1" applyAlignment="1">
      <alignment horizontal="center" vertical="center"/>
    </xf>
    <xf numFmtId="3" fontId="1" fillId="0" borderId="34" xfId="0" applyNumberFormat="1" applyFont="1" applyBorder="1" applyAlignment="1">
      <alignment horizontal="center" vertical="center"/>
    </xf>
    <xf numFmtId="0" fontId="1" fillId="0" borderId="36" xfId="0" applyFont="1" applyBorder="1" applyAlignment="1">
      <alignment horizontal="center" vertical="center"/>
    </xf>
    <xf numFmtId="0" fontId="1" fillId="0" borderId="37" xfId="0" applyFont="1" applyBorder="1" applyAlignment="1">
      <alignment horizontal="center" vertical="center"/>
    </xf>
    <xf numFmtId="3" fontId="1" fillId="0" borderId="36" xfId="0" applyNumberFormat="1" applyFont="1" applyBorder="1" applyAlignment="1">
      <alignment horizontal="center" vertical="center"/>
    </xf>
    <xf numFmtId="3" fontId="1" fillId="0" borderId="37" xfId="0" applyNumberFormat="1" applyFont="1" applyBorder="1" applyAlignment="1">
      <alignment horizontal="center" vertical="center"/>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 fillId="2" borderId="41" xfId="0" applyFont="1" applyFill="1" applyBorder="1" applyAlignment="1">
      <alignment horizontal="center" vertical="center"/>
    </xf>
    <xf numFmtId="3" fontId="1" fillId="4" borderId="42" xfId="0" applyNumberFormat="1" applyFont="1" applyFill="1" applyBorder="1" applyAlignment="1">
      <alignment horizontal="center" vertical="center" wrapText="1"/>
    </xf>
    <xf numFmtId="0" fontId="1" fillId="2" borderId="12" xfId="0" applyFont="1" applyFill="1" applyBorder="1" applyAlignment="1">
      <alignment horizontal="center" vertical="center"/>
    </xf>
    <xf numFmtId="0" fontId="1" fillId="4" borderId="43" xfId="0" applyFont="1" applyFill="1" applyBorder="1" applyAlignment="1">
      <alignment horizontal="center" vertical="center" wrapText="1"/>
    </xf>
    <xf numFmtId="3" fontId="1" fillId="4" borderId="44" xfId="0" applyNumberFormat="1" applyFont="1" applyFill="1" applyBorder="1" applyAlignment="1">
      <alignment horizontal="left" vertical="center" wrapText="1"/>
    </xf>
    <xf numFmtId="0" fontId="1" fillId="4" borderId="45" xfId="0" applyFont="1" applyFill="1" applyBorder="1" applyAlignment="1">
      <alignment horizontal="left" vertical="center" wrapText="1"/>
    </xf>
    <xf numFmtId="0" fontId="1" fillId="2" borderId="46" xfId="0" applyFont="1" applyFill="1" applyBorder="1" applyAlignment="1">
      <alignment horizontal="center" vertical="center"/>
    </xf>
    <xf numFmtId="0" fontId="1" fillId="4" borderId="13" xfId="0" applyFont="1" applyFill="1" applyBorder="1" applyAlignment="1">
      <alignment horizontal="center" vertical="center" wrapText="1"/>
    </xf>
    <xf numFmtId="0" fontId="1" fillId="4" borderId="12" xfId="0" applyFont="1" applyFill="1" applyBorder="1" applyAlignment="1">
      <alignment horizontal="center" vertical="center" wrapText="1"/>
    </xf>
    <xf numFmtId="3" fontId="1" fillId="0" borderId="14" xfId="0" applyNumberFormat="1" applyFont="1" applyBorder="1" applyAlignment="1">
      <alignment horizontal="left" vertical="center" wrapText="1"/>
    </xf>
    <xf numFmtId="0" fontId="1" fillId="0" borderId="12" xfId="0" applyFont="1" applyBorder="1" applyAlignment="1">
      <alignment horizontal="left" vertical="center" wrapText="1"/>
    </xf>
    <xf numFmtId="0" fontId="1" fillId="0" borderId="14" xfId="0" applyFont="1" applyBorder="1" applyAlignment="1">
      <alignment horizontal="left" vertical="center" wrapText="1"/>
    </xf>
    <xf numFmtId="9" fontId="1" fillId="4" borderId="13" xfId="0" applyNumberFormat="1" applyFont="1" applyFill="1" applyBorder="1" applyAlignment="1">
      <alignment horizontal="left" vertical="center" wrapText="1"/>
    </xf>
    <xf numFmtId="9" fontId="1" fillId="4" borderId="12" xfId="0" applyNumberFormat="1" applyFont="1" applyFill="1" applyBorder="1" applyAlignment="1">
      <alignment horizontal="left" vertical="center" wrapText="1"/>
    </xf>
    <xf numFmtId="16" fontId="1" fillId="4" borderId="6" xfId="0" applyNumberFormat="1" applyFont="1" applyFill="1" applyBorder="1" applyAlignment="1">
      <alignment horizontal="center" vertical="center"/>
    </xf>
    <xf numFmtId="0" fontId="1" fillId="4" borderId="47" xfId="0" applyFont="1" applyFill="1" applyBorder="1" applyAlignment="1">
      <alignment horizontal="left" vertical="center" wrapText="1"/>
    </xf>
    <xf numFmtId="0" fontId="1" fillId="4" borderId="18" xfId="0" applyFont="1" applyFill="1" applyBorder="1" applyAlignment="1">
      <alignment horizontal="left" vertical="center" wrapText="1"/>
    </xf>
    <xf numFmtId="0" fontId="1" fillId="0" borderId="48"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1" fillId="0" borderId="51" xfId="0" applyFont="1" applyBorder="1" applyAlignment="1">
      <alignment horizontal="left" vertical="center"/>
    </xf>
    <xf numFmtId="0" fontId="10" fillId="5" borderId="10"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10" fillId="6" borderId="12" xfId="0" applyFont="1" applyFill="1" applyBorder="1" applyAlignment="1">
      <alignment horizontal="center" vertical="center" wrapText="1"/>
    </xf>
    <xf numFmtId="1" fontId="10" fillId="6" borderId="12" xfId="0" applyNumberFormat="1" applyFont="1" applyFill="1" applyBorder="1" applyAlignment="1">
      <alignment horizontal="center" vertical="center"/>
    </xf>
    <xf numFmtId="3" fontId="10" fillId="5" borderId="12" xfId="0" applyNumberFormat="1" applyFont="1" applyFill="1" applyBorder="1" applyAlignment="1">
      <alignment horizontal="center" vertical="center" wrapText="1"/>
    </xf>
    <xf numFmtId="1" fontId="10" fillId="5" borderId="12" xfId="0" applyNumberFormat="1" applyFont="1" applyFill="1" applyBorder="1" applyAlignment="1">
      <alignment horizontal="center" vertical="center" wrapText="1"/>
    </xf>
    <xf numFmtId="3" fontId="11" fillId="2" borderId="18"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wrapText="1"/>
    </xf>
    <xf numFmtId="3" fontId="3" fillId="2" borderId="12" xfId="0" applyNumberFormat="1" applyFont="1" applyFill="1" applyBorder="1" applyAlignment="1">
      <alignment horizontal="center" vertical="center"/>
    </xf>
    <xf numFmtId="0" fontId="3" fillId="2" borderId="12" xfId="0" applyFont="1" applyFill="1" applyBorder="1" applyAlignment="1">
      <alignment vertical="center" wrapText="1"/>
    </xf>
    <xf numFmtId="0" fontId="3" fillId="4" borderId="53" xfId="0" applyFont="1" applyFill="1" applyBorder="1" applyAlignment="1">
      <alignment vertical="center" wrapText="1"/>
    </xf>
    <xf numFmtId="3" fontId="1" fillId="0" borderId="12" xfId="0" applyNumberFormat="1" applyFont="1" applyBorder="1" applyAlignment="1">
      <alignment horizontal="left" vertical="center" wrapText="1"/>
    </xf>
    <xf numFmtId="3" fontId="3" fillId="7" borderId="12" xfId="0" applyNumberFormat="1" applyFont="1" applyFill="1" applyBorder="1" applyAlignment="1">
      <alignment horizontal="center" vertical="center"/>
    </xf>
    <xf numFmtId="0" fontId="13" fillId="0" borderId="0" xfId="0" applyFont="1"/>
    <xf numFmtId="0" fontId="12" fillId="2" borderId="29" xfId="0" applyFont="1" applyFill="1" applyBorder="1" applyAlignment="1">
      <alignment horizontal="center" vertical="center" wrapText="1"/>
    </xf>
    <xf numFmtId="0" fontId="12" fillId="2" borderId="30" xfId="0" applyFont="1" applyFill="1" applyBorder="1" applyAlignment="1">
      <alignment horizontal="center" vertical="center"/>
    </xf>
    <xf numFmtId="0" fontId="12" fillId="2" borderId="31"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32" xfId="0" applyFont="1" applyFill="1" applyBorder="1" applyAlignment="1">
      <alignment horizontal="center" vertical="center"/>
    </xf>
    <xf numFmtId="0" fontId="12" fillId="0" borderId="0" xfId="0" applyFont="1"/>
    <xf numFmtId="0" fontId="12" fillId="0" borderId="6" xfId="0" applyFont="1" applyBorder="1" applyAlignment="1">
      <alignment horizontal="center" vertical="center" wrapText="1"/>
    </xf>
    <xf numFmtId="3" fontId="12" fillId="0" borderId="33" xfId="0" applyNumberFormat="1" applyFont="1" applyBorder="1" applyAlignment="1">
      <alignment horizontal="center" vertical="center"/>
    </xf>
    <xf numFmtId="3" fontId="12" fillId="0" borderId="34" xfId="0" applyNumberFormat="1" applyFont="1" applyBorder="1" applyAlignment="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3" fontId="12" fillId="0" borderId="36" xfId="0" applyNumberFormat="1" applyFont="1" applyBorder="1" applyAlignment="1">
      <alignment horizontal="center" vertical="center"/>
    </xf>
    <xf numFmtId="3" fontId="12" fillId="0" borderId="37" xfId="0" applyNumberFormat="1" applyFont="1" applyBorder="1" applyAlignment="1">
      <alignment horizontal="center" vertical="center"/>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12" fillId="4" borderId="6" xfId="0" applyFont="1" applyFill="1" applyBorder="1" applyAlignment="1">
      <alignment horizontal="center" vertical="center" wrapText="1"/>
    </xf>
    <xf numFmtId="0" fontId="12" fillId="4" borderId="6" xfId="0" applyFont="1" applyFill="1" applyBorder="1" applyAlignment="1">
      <alignment horizontal="center" vertical="center"/>
    </xf>
    <xf numFmtId="3" fontId="12" fillId="4" borderId="42" xfId="0" applyNumberFormat="1" applyFont="1" applyFill="1" applyBorder="1" applyAlignment="1">
      <alignment horizontal="center" vertical="center" wrapText="1"/>
    </xf>
    <xf numFmtId="0" fontId="12" fillId="4" borderId="46" xfId="0" applyFont="1" applyFill="1" applyBorder="1" applyAlignment="1">
      <alignment horizontal="center" vertical="center" wrapText="1"/>
    </xf>
    <xf numFmtId="3" fontId="12" fillId="4" borderId="44" xfId="0" applyNumberFormat="1" applyFont="1" applyFill="1" applyBorder="1" applyAlignment="1">
      <alignment horizontal="left" vertical="center" wrapText="1"/>
    </xf>
    <xf numFmtId="0" fontId="12" fillId="4" borderId="45" xfId="0" applyFont="1" applyFill="1" applyBorder="1" applyAlignment="1">
      <alignment horizontal="left" vertical="center" wrapText="1"/>
    </xf>
    <xf numFmtId="0" fontId="12" fillId="4" borderId="13"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0" borderId="12" xfId="0" applyFont="1" applyBorder="1" applyAlignment="1">
      <alignment horizontal="center" vertical="center"/>
    </xf>
    <xf numFmtId="3" fontId="12" fillId="0" borderId="14" xfId="0" applyNumberFormat="1" applyFont="1" applyBorder="1" applyAlignment="1">
      <alignment horizontal="left" vertical="center" wrapText="1"/>
    </xf>
    <xf numFmtId="0" fontId="12" fillId="0" borderId="12" xfId="0" applyFont="1" applyBorder="1" applyAlignment="1">
      <alignment horizontal="left" vertical="center" wrapText="1"/>
    </xf>
    <xf numFmtId="3" fontId="12" fillId="0" borderId="12" xfId="0" applyNumberFormat="1" applyFont="1" applyBorder="1" applyAlignment="1">
      <alignment horizontal="left" vertical="center" wrapText="1"/>
    </xf>
    <xf numFmtId="0" fontId="12" fillId="0" borderId="14" xfId="0" applyFont="1" applyBorder="1" applyAlignment="1">
      <alignment horizontal="left" vertical="center" wrapText="1"/>
    </xf>
    <xf numFmtId="9" fontId="12" fillId="4" borderId="13" xfId="0" applyNumberFormat="1" applyFont="1" applyFill="1" applyBorder="1" applyAlignment="1">
      <alignment horizontal="left" vertical="center" wrapText="1"/>
    </xf>
    <xf numFmtId="9" fontId="12" fillId="4" borderId="12" xfId="0" applyNumberFormat="1" applyFont="1" applyFill="1" applyBorder="1" applyAlignment="1">
      <alignment horizontal="left" vertical="center" wrapText="1"/>
    </xf>
    <xf numFmtId="16" fontId="12" fillId="4" borderId="6" xfId="0" applyNumberFormat="1" applyFont="1" applyFill="1" applyBorder="1" applyAlignment="1">
      <alignment horizontal="center" vertical="center"/>
    </xf>
    <xf numFmtId="0" fontId="12" fillId="4" borderId="47" xfId="0" applyFont="1" applyFill="1" applyBorder="1" applyAlignment="1">
      <alignment horizontal="left" vertical="center" wrapText="1"/>
    </xf>
    <xf numFmtId="0" fontId="12" fillId="4" borderId="18" xfId="0" applyFont="1" applyFill="1" applyBorder="1" applyAlignment="1">
      <alignment horizontal="left" vertical="center" wrapText="1"/>
    </xf>
    <xf numFmtId="0" fontId="12" fillId="0" borderId="48" xfId="0" applyFont="1" applyBorder="1" applyAlignment="1">
      <alignment horizontal="left" vertical="center" wrapText="1"/>
    </xf>
    <xf numFmtId="0" fontId="12" fillId="0" borderId="49" xfId="0" applyFont="1" applyBorder="1" applyAlignment="1">
      <alignment horizontal="left" vertical="center" wrapText="1"/>
    </xf>
    <xf numFmtId="0" fontId="12" fillId="0" borderId="6" xfId="0" applyFont="1" applyBorder="1" applyAlignment="1">
      <alignment horizontal="center" vertical="center"/>
    </xf>
    <xf numFmtId="0" fontId="12" fillId="0" borderId="50" xfId="0" applyFont="1" applyBorder="1" applyAlignment="1">
      <alignment horizontal="left" vertical="center" wrapText="1"/>
    </xf>
    <xf numFmtId="0" fontId="12" fillId="0" borderId="51" xfId="0" applyFont="1" applyBorder="1" applyAlignment="1">
      <alignment horizontal="left" vertical="center"/>
    </xf>
    <xf numFmtId="0" fontId="13" fillId="0" borderId="0" xfId="0" applyFont="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left" vertical="center"/>
    </xf>
    <xf numFmtId="0" fontId="14" fillId="5" borderId="10" xfId="0" applyFont="1" applyFill="1" applyBorder="1" applyAlignment="1">
      <alignment horizontal="center" vertical="center" wrapText="1"/>
    </xf>
    <xf numFmtId="0" fontId="14" fillId="5" borderId="11" xfId="0" applyFont="1" applyFill="1" applyBorder="1" applyAlignment="1">
      <alignment horizontal="center" vertical="center" wrapText="1"/>
    </xf>
    <xf numFmtId="0" fontId="14" fillId="6" borderId="12" xfId="0" applyFont="1" applyFill="1" applyBorder="1" applyAlignment="1">
      <alignment horizontal="center" vertical="center" wrapText="1"/>
    </xf>
    <xf numFmtId="1" fontId="14" fillId="6" borderId="12" xfId="0" applyNumberFormat="1" applyFont="1" applyFill="1" applyBorder="1" applyAlignment="1">
      <alignment horizontal="center" vertical="center"/>
    </xf>
    <xf numFmtId="0" fontId="12" fillId="6" borderId="12" xfId="0" applyFont="1" applyFill="1" applyBorder="1" applyAlignment="1">
      <alignment horizontal="center" vertical="center"/>
    </xf>
    <xf numFmtId="0" fontId="12" fillId="6" borderId="12" xfId="0" applyFont="1" applyFill="1" applyBorder="1"/>
    <xf numFmtId="16" fontId="13" fillId="7" borderId="13" xfId="0" applyNumberFormat="1" applyFont="1" applyFill="1" applyBorder="1" applyAlignment="1">
      <alignment horizontal="center"/>
    </xf>
    <xf numFmtId="1" fontId="13" fillId="8" borderId="12" xfId="0" applyNumberFormat="1" applyFont="1" applyFill="1" applyBorder="1" applyAlignment="1">
      <alignment horizontal="center" vertical="center" wrapText="1"/>
    </xf>
    <xf numFmtId="3" fontId="13" fillId="8" borderId="12" xfId="0" applyNumberFormat="1" applyFont="1" applyFill="1" applyBorder="1" applyAlignment="1">
      <alignment horizontal="center" vertical="center"/>
    </xf>
    <xf numFmtId="0" fontId="13" fillId="7" borderId="12" xfId="0" applyFont="1" applyFill="1" applyBorder="1" applyAlignment="1">
      <alignment horizontal="center" vertical="center"/>
    </xf>
    <xf numFmtId="9" fontId="13" fillId="7" borderId="12" xfId="0" applyNumberFormat="1" applyFont="1" applyFill="1" applyBorder="1" applyAlignment="1">
      <alignment horizontal="left"/>
    </xf>
    <xf numFmtId="0" fontId="13" fillId="7" borderId="12" xfId="0" applyFont="1" applyFill="1" applyBorder="1" applyAlignment="1">
      <alignment horizontal="left"/>
    </xf>
    <xf numFmtId="20" fontId="13" fillId="7" borderId="13" xfId="0" applyNumberFormat="1" applyFont="1" applyFill="1" applyBorder="1" applyAlignment="1">
      <alignment horizontal="center"/>
    </xf>
    <xf numFmtId="20" fontId="13" fillId="8" borderId="12" xfId="0" applyNumberFormat="1" applyFont="1" applyFill="1" applyBorder="1" applyAlignment="1">
      <alignment horizontal="center" vertical="center"/>
    </xf>
    <xf numFmtId="0" fontId="13" fillId="8" borderId="12" xfId="0" applyFont="1" applyFill="1" applyBorder="1" applyAlignment="1">
      <alignment horizontal="center" vertical="center"/>
    </xf>
    <xf numFmtId="20" fontId="13" fillId="7" borderId="12" xfId="0" applyNumberFormat="1" applyFont="1" applyFill="1" applyBorder="1" applyAlignment="1">
      <alignment horizontal="center" vertical="center"/>
    </xf>
    <xf numFmtId="0" fontId="13" fillId="7" borderId="12" xfId="0" applyFont="1" applyFill="1" applyBorder="1"/>
    <xf numFmtId="3" fontId="14" fillId="5" borderId="12" xfId="0" applyNumberFormat="1" applyFont="1" applyFill="1" applyBorder="1" applyAlignment="1">
      <alignment horizontal="center" vertical="center" wrapText="1"/>
    </xf>
    <xf numFmtId="1" fontId="14" fillId="5" borderId="12" xfId="0" applyNumberFormat="1" applyFont="1" applyFill="1" applyBorder="1" applyAlignment="1">
      <alignment horizontal="center" vertical="center" wrapText="1"/>
    </xf>
    <xf numFmtId="3" fontId="13" fillId="5" borderId="12" xfId="0" applyNumberFormat="1" applyFont="1" applyFill="1" applyBorder="1" applyAlignment="1">
      <alignment horizontal="center" vertical="center"/>
    </xf>
    <xf numFmtId="3" fontId="13" fillId="5" borderId="12" xfId="0" applyNumberFormat="1" applyFont="1" applyFill="1" applyBorder="1"/>
    <xf numFmtId="3" fontId="15" fillId="2" borderId="12" xfId="0" applyNumberFormat="1" applyFont="1" applyFill="1" applyBorder="1" applyAlignment="1">
      <alignment horizontal="center" vertical="center" wrapText="1"/>
    </xf>
    <xf numFmtId="3" fontId="15" fillId="2" borderId="56" xfId="0" applyNumberFormat="1" applyFont="1" applyFill="1" applyBorder="1" applyAlignment="1">
      <alignment horizontal="center" vertical="center" wrapText="1"/>
    </xf>
    <xf numFmtId="3" fontId="13" fillId="2" borderId="12" xfId="0" applyNumberFormat="1" applyFont="1" applyFill="1" applyBorder="1" applyAlignment="1">
      <alignment horizontal="center" vertical="center"/>
    </xf>
    <xf numFmtId="0" fontId="12" fillId="0" borderId="21" xfId="0" applyFont="1" applyBorder="1" applyAlignment="1">
      <alignment horizontal="center" vertical="center"/>
    </xf>
    <xf numFmtId="0" fontId="17" fillId="0" borderId="0" xfId="0" applyFont="1"/>
    <xf numFmtId="0" fontId="16" fillId="2" borderId="29" xfId="0" applyFont="1" applyFill="1" applyBorder="1" applyAlignment="1">
      <alignment horizontal="center" vertical="center" wrapText="1"/>
    </xf>
    <xf numFmtId="0" fontId="16" fillId="2" borderId="30" xfId="0" applyFont="1" applyFill="1" applyBorder="1" applyAlignment="1">
      <alignment horizontal="center" vertical="center"/>
    </xf>
    <xf numFmtId="0" fontId="16" fillId="2" borderId="31" xfId="0" applyFont="1" applyFill="1" applyBorder="1" applyAlignment="1">
      <alignment horizontal="center" vertical="center"/>
    </xf>
    <xf numFmtId="0" fontId="16" fillId="2" borderId="6" xfId="0" applyFont="1" applyFill="1" applyBorder="1" applyAlignment="1">
      <alignment horizontal="center" vertical="center"/>
    </xf>
    <xf numFmtId="0" fontId="16" fillId="2" borderId="32" xfId="0" applyFont="1" applyFill="1" applyBorder="1" applyAlignment="1">
      <alignment horizontal="center" vertical="center"/>
    </xf>
    <xf numFmtId="0" fontId="16" fillId="0" borderId="0" xfId="0" applyFont="1"/>
    <xf numFmtId="0" fontId="16" fillId="0" borderId="6" xfId="0" applyFont="1" applyBorder="1" applyAlignment="1">
      <alignment horizontal="center" vertical="center" wrapText="1"/>
    </xf>
    <xf numFmtId="3" fontId="16" fillId="0" borderId="33" xfId="0" applyNumberFormat="1" applyFont="1" applyBorder="1" applyAlignment="1">
      <alignment horizontal="center" vertical="center"/>
    </xf>
    <xf numFmtId="3" fontId="16" fillId="0" borderId="34" xfId="0" applyNumberFormat="1" applyFont="1" applyBorder="1" applyAlignment="1">
      <alignment horizontal="center" vertical="center"/>
    </xf>
    <xf numFmtId="0" fontId="16" fillId="0" borderId="36" xfId="0" applyFont="1" applyBorder="1" applyAlignment="1">
      <alignment horizontal="center" vertical="center"/>
    </xf>
    <xf numFmtId="0" fontId="16" fillId="0" borderId="37" xfId="0" applyFont="1" applyBorder="1" applyAlignment="1">
      <alignment horizontal="center" vertical="center"/>
    </xf>
    <xf numFmtId="3" fontId="16" fillId="0" borderId="36" xfId="0" applyNumberFormat="1" applyFont="1" applyBorder="1" applyAlignment="1">
      <alignment horizontal="center" vertical="center"/>
    </xf>
    <xf numFmtId="3" fontId="16" fillId="0" borderId="37" xfId="0" applyNumberFormat="1" applyFont="1" applyBorder="1" applyAlignment="1">
      <alignment horizontal="center" vertical="center"/>
    </xf>
    <xf numFmtId="0" fontId="16" fillId="0" borderId="39" xfId="0" applyFont="1" applyBorder="1" applyAlignment="1">
      <alignment horizontal="center" vertical="center" wrapText="1"/>
    </xf>
    <xf numFmtId="0" fontId="16" fillId="0" borderId="40" xfId="0" applyFont="1" applyBorder="1" applyAlignment="1">
      <alignment horizontal="center" vertical="center" wrapText="1"/>
    </xf>
    <xf numFmtId="0" fontId="16" fillId="4" borderId="6" xfId="0" applyFont="1" applyFill="1" applyBorder="1" applyAlignment="1">
      <alignment horizontal="center" vertical="center" wrapText="1"/>
    </xf>
    <xf numFmtId="0" fontId="16" fillId="4" borderId="6" xfId="0" applyFont="1" applyFill="1" applyBorder="1" applyAlignment="1">
      <alignment horizontal="center" vertical="center"/>
    </xf>
    <xf numFmtId="3" fontId="16" fillId="4" borderId="42" xfId="0" applyNumberFormat="1" applyFont="1" applyFill="1" applyBorder="1" applyAlignment="1">
      <alignment horizontal="center" vertical="center" wrapText="1"/>
    </xf>
    <xf numFmtId="0" fontId="16" fillId="4" borderId="46" xfId="0" applyFont="1" applyFill="1" applyBorder="1" applyAlignment="1">
      <alignment horizontal="center" vertical="center" wrapText="1"/>
    </xf>
    <xf numFmtId="3" fontId="16" fillId="4" borderId="44" xfId="0" applyNumberFormat="1" applyFont="1" applyFill="1" applyBorder="1" applyAlignment="1">
      <alignment horizontal="left" vertical="center" wrapText="1"/>
    </xf>
    <xf numFmtId="0" fontId="16" fillId="4" borderId="45" xfId="0" applyFont="1" applyFill="1" applyBorder="1" applyAlignment="1">
      <alignment horizontal="left" vertical="center" wrapText="1"/>
    </xf>
    <xf numFmtId="0" fontId="16" fillId="4" borderId="13" xfId="0" applyFont="1" applyFill="1" applyBorder="1" applyAlignment="1">
      <alignment horizontal="center" vertical="center" wrapText="1"/>
    </xf>
    <xf numFmtId="0" fontId="16" fillId="4" borderId="12" xfId="0" applyFont="1" applyFill="1" applyBorder="1" applyAlignment="1">
      <alignment horizontal="center" vertical="center" wrapText="1"/>
    </xf>
    <xf numFmtId="0" fontId="16" fillId="0" borderId="12" xfId="0" applyFont="1" applyBorder="1" applyAlignment="1">
      <alignment horizontal="center" vertical="center"/>
    </xf>
    <xf numFmtId="3" fontId="16" fillId="0" borderId="14" xfId="0" applyNumberFormat="1" applyFont="1" applyBorder="1" applyAlignment="1">
      <alignment horizontal="left" vertical="center" wrapText="1"/>
    </xf>
    <xf numFmtId="0" fontId="16" fillId="0" borderId="12" xfId="0" applyFont="1" applyBorder="1" applyAlignment="1">
      <alignment horizontal="left" vertical="center" wrapText="1"/>
    </xf>
    <xf numFmtId="3" fontId="16" fillId="0" borderId="12" xfId="0" applyNumberFormat="1" applyFont="1" applyBorder="1" applyAlignment="1">
      <alignment horizontal="left" vertical="center" wrapText="1"/>
    </xf>
    <xf numFmtId="0" fontId="16" fillId="0" borderId="14" xfId="0" applyFont="1" applyBorder="1" applyAlignment="1">
      <alignment horizontal="left" vertical="center" wrapText="1"/>
    </xf>
    <xf numFmtId="9" fontId="16" fillId="4" borderId="13" xfId="0" applyNumberFormat="1" applyFont="1" applyFill="1" applyBorder="1" applyAlignment="1">
      <alignment horizontal="left" vertical="center" wrapText="1"/>
    </xf>
    <xf numFmtId="9" fontId="16" fillId="4" borderId="12" xfId="0" applyNumberFormat="1" applyFont="1" applyFill="1" applyBorder="1" applyAlignment="1">
      <alignment horizontal="left" vertical="center" wrapText="1"/>
    </xf>
    <xf numFmtId="16" fontId="16" fillId="4" borderId="6" xfId="0" applyNumberFormat="1" applyFont="1" applyFill="1" applyBorder="1" applyAlignment="1">
      <alignment horizontal="center" vertical="center"/>
    </xf>
    <xf numFmtId="0" fontId="16" fillId="4" borderId="47" xfId="0" applyFont="1" applyFill="1" applyBorder="1" applyAlignment="1">
      <alignment horizontal="left" vertical="center" wrapText="1"/>
    </xf>
    <xf numFmtId="0" fontId="16" fillId="4" borderId="18" xfId="0" applyFont="1" applyFill="1" applyBorder="1" applyAlignment="1">
      <alignment horizontal="left" vertical="center" wrapText="1"/>
    </xf>
    <xf numFmtId="0" fontId="16" fillId="0" borderId="48" xfId="0" applyFont="1" applyBorder="1" applyAlignment="1">
      <alignment horizontal="left" vertical="center" wrapText="1"/>
    </xf>
    <xf numFmtId="0" fontId="16" fillId="0" borderId="49" xfId="0" applyFont="1" applyBorder="1" applyAlignment="1">
      <alignment horizontal="left" vertical="center" wrapText="1"/>
    </xf>
    <xf numFmtId="0" fontId="16" fillId="0" borderId="6" xfId="0" applyFont="1" applyBorder="1" applyAlignment="1">
      <alignment horizontal="center" vertical="center"/>
    </xf>
    <xf numFmtId="0" fontId="16" fillId="0" borderId="50" xfId="0" applyFont="1" applyBorder="1" applyAlignment="1">
      <alignment horizontal="left" vertical="center" wrapText="1"/>
    </xf>
    <xf numFmtId="0" fontId="16" fillId="0" borderId="51" xfId="0" applyFont="1" applyBorder="1" applyAlignment="1">
      <alignment horizontal="left" vertical="center"/>
    </xf>
    <xf numFmtId="3" fontId="13" fillId="8" borderId="12" xfId="0" applyNumberFormat="1" applyFont="1" applyFill="1" applyBorder="1" applyAlignment="1">
      <alignment horizontal="center" vertical="center" wrapText="1"/>
    </xf>
    <xf numFmtId="0" fontId="5" fillId="7" borderId="12" xfId="0" applyFont="1" applyFill="1" applyBorder="1" applyAlignment="1">
      <alignment horizontal="right" wrapText="1"/>
    </xf>
    <xf numFmtId="9" fontId="13" fillId="7" borderId="12" xfId="0" applyNumberFormat="1" applyFont="1" applyFill="1" applyBorder="1" applyAlignment="1">
      <alignment horizontal="left" wrapText="1"/>
    </xf>
    <xf numFmtId="164" fontId="13" fillId="7" borderId="13" xfId="0" applyNumberFormat="1" applyFont="1" applyFill="1" applyBorder="1" applyAlignment="1">
      <alignment horizontal="center"/>
    </xf>
    <xf numFmtId="0" fontId="13" fillId="7" borderId="12" xfId="0" applyFont="1" applyFill="1" applyBorder="1" applyAlignment="1">
      <alignment horizontal="center" vertical="center" wrapText="1"/>
    </xf>
    <xf numFmtId="0" fontId="13" fillId="7" borderId="12" xfId="0" applyFont="1" applyFill="1" applyBorder="1" applyAlignment="1">
      <alignment horizontal="left" wrapText="1"/>
    </xf>
    <xf numFmtId="16" fontId="13" fillId="7" borderId="13" xfId="0" applyNumberFormat="1" applyFont="1" applyFill="1" applyBorder="1" applyAlignment="1">
      <alignment horizontal="center" wrapText="1"/>
    </xf>
    <xf numFmtId="0" fontId="5" fillId="7" borderId="12" xfId="0" applyFont="1" applyFill="1" applyBorder="1" applyAlignment="1">
      <alignment wrapText="1"/>
    </xf>
    <xf numFmtId="20" fontId="13" fillId="7" borderId="13" xfId="0" applyNumberFormat="1" applyFont="1" applyFill="1" applyBorder="1" applyAlignment="1">
      <alignment horizontal="center" wrapText="1"/>
    </xf>
    <xf numFmtId="0" fontId="17" fillId="0" borderId="0" xfId="0" applyFont="1" applyAlignment="1">
      <alignment horizontal="center" vertical="center" wrapText="1"/>
    </xf>
    <xf numFmtId="0" fontId="16" fillId="0" borderId="0" xfId="0" applyFont="1" applyAlignment="1">
      <alignment horizontal="center" vertical="center"/>
    </xf>
    <xf numFmtId="0" fontId="16" fillId="0" borderId="0" xfId="0" applyFont="1" applyAlignment="1">
      <alignment horizontal="left" vertical="center"/>
    </xf>
    <xf numFmtId="0" fontId="16" fillId="0" borderId="21" xfId="0" applyFont="1" applyBorder="1" applyAlignment="1">
      <alignment horizontal="center" vertical="center"/>
    </xf>
    <xf numFmtId="0" fontId="1" fillId="4" borderId="46" xfId="0" applyFont="1" applyFill="1" applyBorder="1" applyAlignment="1">
      <alignment horizontal="center" vertical="center" wrapText="1"/>
    </xf>
    <xf numFmtId="13" fontId="1" fillId="4" borderId="12" xfId="0" applyNumberFormat="1" applyFont="1" applyFill="1" applyBorder="1" applyAlignment="1">
      <alignment horizontal="left" vertical="center" wrapText="1"/>
    </xf>
    <xf numFmtId="0" fontId="1" fillId="4" borderId="42" xfId="0" applyFont="1" applyFill="1" applyBorder="1" applyAlignment="1">
      <alignment horizontal="center" vertical="center" wrapText="1"/>
    </xf>
    <xf numFmtId="0" fontId="1" fillId="4" borderId="44" xfId="0" applyFont="1" applyFill="1" applyBorder="1" applyAlignment="1">
      <alignment horizontal="left" vertical="center" wrapText="1"/>
    </xf>
    <xf numFmtId="0" fontId="0" fillId="9" borderId="12" xfId="0" applyFill="1" applyBorder="1" applyAlignment="1">
      <alignment horizontal="center" vertical="center"/>
    </xf>
    <xf numFmtId="0" fontId="3" fillId="10" borderId="53" xfId="0" applyFont="1" applyFill="1" applyBorder="1" applyAlignment="1">
      <alignment vertical="center" wrapText="1"/>
    </xf>
    <xf numFmtId="0" fontId="22" fillId="10" borderId="53" xfId="0" applyFont="1" applyFill="1" applyBorder="1" applyAlignment="1">
      <alignment vertical="center" wrapText="1"/>
    </xf>
    <xf numFmtId="16" fontId="23" fillId="7" borderId="13" xfId="0" applyNumberFormat="1" applyFont="1" applyFill="1" applyBorder="1" applyAlignment="1">
      <alignment horizontal="center"/>
    </xf>
    <xf numFmtId="3" fontId="19" fillId="8" borderId="12" xfId="0" applyNumberFormat="1" applyFont="1" applyFill="1" applyBorder="1"/>
    <xf numFmtId="0" fontId="0" fillId="11" borderId="0" xfId="0" applyFill="1"/>
    <xf numFmtId="0" fontId="19" fillId="7" borderId="12" xfId="0" applyFont="1" applyFill="1" applyBorder="1" applyAlignment="1">
      <alignment horizontal="left"/>
    </xf>
    <xf numFmtId="9" fontId="19" fillId="7" borderId="12" xfId="0" applyNumberFormat="1" applyFont="1" applyFill="1" applyBorder="1" applyAlignment="1">
      <alignment horizontal="left"/>
    </xf>
    <xf numFmtId="3" fontId="3" fillId="10" borderId="53" xfId="0" applyNumberFormat="1" applyFont="1" applyFill="1" applyBorder="1" applyAlignment="1">
      <alignment vertical="center" wrapText="1"/>
    </xf>
    <xf numFmtId="3" fontId="23" fillId="10" borderId="53" xfId="0" applyNumberFormat="1" applyFont="1" applyFill="1" applyBorder="1" applyAlignment="1">
      <alignment vertical="center" wrapText="1"/>
    </xf>
    <xf numFmtId="0" fontId="3" fillId="13" borderId="0" xfId="0" applyFont="1" applyFill="1"/>
    <xf numFmtId="0" fontId="0" fillId="13" borderId="0" xfId="0" applyFill="1"/>
    <xf numFmtId="0" fontId="2" fillId="0" borderId="5" xfId="0" applyFont="1" applyBorder="1"/>
    <xf numFmtId="0" fontId="1" fillId="0" borderId="15" xfId="0" applyFont="1" applyBorder="1" applyAlignment="1">
      <alignment horizontal="center" vertical="center" wrapText="1"/>
    </xf>
    <xf numFmtId="0" fontId="2" fillId="0" borderId="14" xfId="0" applyFont="1" applyBorder="1"/>
    <xf numFmtId="0" fontId="1" fillId="2" borderId="1" xfId="0" applyFont="1" applyFill="1" applyBorder="1" applyAlignment="1">
      <alignment horizontal="center" vertical="center"/>
    </xf>
    <xf numFmtId="0" fontId="2" fillId="0" borderId="5" xfId="0" applyFont="1" applyBorder="1"/>
    <xf numFmtId="0" fontId="1" fillId="2" borderId="2" xfId="0" applyFont="1" applyFill="1" applyBorder="1" applyAlignment="1">
      <alignment horizontal="center" vertical="center" wrapText="1"/>
    </xf>
    <xf numFmtId="0" fontId="2" fillId="0" borderId="3" xfId="0" applyFont="1" applyBorder="1"/>
    <xf numFmtId="0" fontId="2" fillId="0" borderId="4" xfId="0" applyFont="1" applyBorder="1"/>
    <xf numFmtId="0" fontId="1" fillId="3" borderId="1" xfId="0" applyFont="1" applyFill="1" applyBorder="1" applyAlignment="1">
      <alignment horizontal="center" vertical="center"/>
    </xf>
    <xf numFmtId="0" fontId="2" fillId="0" borderId="7" xfId="0" applyFont="1" applyBorder="1"/>
    <xf numFmtId="0" fontId="1" fillId="4" borderId="1" xfId="0" applyFont="1" applyFill="1" applyBorder="1" applyAlignment="1">
      <alignment horizontal="left" vertical="center" wrapText="1"/>
    </xf>
    <xf numFmtId="0" fontId="1" fillId="3" borderId="22" xfId="0" applyFont="1" applyFill="1" applyBorder="1" applyAlignment="1">
      <alignment horizontal="center" vertical="center"/>
    </xf>
    <xf numFmtId="0" fontId="1" fillId="2" borderId="16" xfId="0" applyFont="1" applyFill="1" applyBorder="1" applyAlignment="1">
      <alignment horizontal="center" vertical="center" wrapText="1"/>
    </xf>
    <xf numFmtId="0" fontId="2" fillId="0" borderId="17" xfId="0" applyFont="1" applyBorder="1"/>
    <xf numFmtId="14" fontId="1" fillId="2" borderId="15" xfId="0" applyNumberFormat="1" applyFont="1" applyFill="1" applyBorder="1" applyAlignment="1">
      <alignment horizontal="center" vertical="center" wrapText="1"/>
    </xf>
    <xf numFmtId="0" fontId="6" fillId="9" borderId="15" xfId="0" applyFont="1" applyFill="1" applyBorder="1" applyAlignment="1">
      <alignment horizontal="center" vertical="center"/>
    </xf>
    <xf numFmtId="0" fontId="2" fillId="0" borderId="8" xfId="0" applyFont="1" applyBorder="1"/>
    <xf numFmtId="0" fontId="2" fillId="0" borderId="23" xfId="0" applyFont="1" applyBorder="1"/>
    <xf numFmtId="0" fontId="1" fillId="4" borderId="1"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7" xfId="0" applyFont="1" applyFill="1" applyBorder="1" applyAlignment="1">
      <alignment horizontal="center" vertical="center"/>
    </xf>
    <xf numFmtId="0" fontId="10" fillId="2" borderId="16" xfId="0" applyFont="1" applyFill="1" applyBorder="1" applyAlignment="1">
      <alignment horizontal="center" vertical="center" wrapText="1"/>
    </xf>
    <xf numFmtId="0" fontId="11" fillId="2" borderId="16" xfId="0" applyFont="1" applyFill="1" applyBorder="1" applyAlignment="1">
      <alignment horizontal="center" vertical="center" wrapText="1"/>
    </xf>
    <xf numFmtId="14" fontId="3" fillId="2" borderId="15" xfId="0" applyNumberFormat="1" applyFont="1" applyFill="1" applyBorder="1" applyAlignment="1">
      <alignment horizontal="center" vertical="center" wrapText="1"/>
    </xf>
    <xf numFmtId="0" fontId="3" fillId="2" borderId="15" xfId="0" applyFont="1" applyFill="1" applyBorder="1" applyAlignment="1">
      <alignment horizontal="center" vertical="center" wrapText="1"/>
    </xf>
    <xf numFmtId="0" fontId="1" fillId="2" borderId="24" xfId="0" applyFont="1" applyFill="1" applyBorder="1" applyAlignment="1">
      <alignment horizontal="center" vertical="center"/>
    </xf>
    <xf numFmtId="0" fontId="2" fillId="0" borderId="28" xfId="0" applyFont="1" applyBorder="1"/>
    <xf numFmtId="0" fontId="1" fillId="2" borderId="25" xfId="0" applyFont="1" applyFill="1" applyBorder="1" applyAlignment="1">
      <alignment horizontal="center" vertical="center" wrapText="1"/>
    </xf>
    <xf numFmtId="0" fontId="2" fillId="0" borderId="26" xfId="0" applyFont="1" applyBorder="1"/>
    <xf numFmtId="0" fontId="2" fillId="0" borderId="27" xfId="0" applyFont="1" applyBorder="1"/>
    <xf numFmtId="16" fontId="1" fillId="4" borderId="1" xfId="0" applyNumberFormat="1" applyFont="1" applyFill="1" applyBorder="1" applyAlignment="1">
      <alignment horizontal="center" vertical="center"/>
    </xf>
    <xf numFmtId="0" fontId="1" fillId="4" borderId="35" xfId="0" applyFont="1" applyFill="1" applyBorder="1" applyAlignment="1">
      <alignment horizontal="left" vertical="center" wrapText="1"/>
    </xf>
    <xf numFmtId="0" fontId="2" fillId="0" borderId="38" xfId="0" applyFont="1" applyBorder="1"/>
    <xf numFmtId="0" fontId="2" fillId="0" borderId="52" xfId="0" applyFont="1" applyBorder="1"/>
    <xf numFmtId="0" fontId="1" fillId="0" borderId="1" xfId="0" applyFont="1" applyBorder="1" applyAlignment="1">
      <alignment horizontal="center" vertical="center" wrapText="1"/>
    </xf>
    <xf numFmtId="0" fontId="12" fillId="0" borderId="15" xfId="0" applyFont="1" applyBorder="1" applyAlignment="1">
      <alignment horizontal="center" vertical="center" wrapText="1"/>
    </xf>
    <xf numFmtId="0" fontId="15" fillId="2" borderId="54" xfId="0" applyFont="1" applyFill="1" applyBorder="1" applyAlignment="1">
      <alignment horizontal="center" vertical="center" wrapText="1"/>
    </xf>
    <xf numFmtId="0" fontId="2" fillId="0" borderId="55" xfId="0" applyFont="1" applyBorder="1"/>
    <xf numFmtId="0" fontId="12" fillId="2" borderId="24" xfId="0" applyFont="1" applyFill="1" applyBorder="1" applyAlignment="1">
      <alignment horizontal="center" vertical="center"/>
    </xf>
    <xf numFmtId="0" fontId="12" fillId="2" borderId="25" xfId="0" applyFont="1" applyFill="1" applyBorder="1" applyAlignment="1">
      <alignment horizontal="center" vertical="center" wrapText="1"/>
    </xf>
    <xf numFmtId="16" fontId="12" fillId="4" borderId="1" xfId="0" applyNumberFormat="1" applyFont="1" applyFill="1" applyBorder="1" applyAlignment="1">
      <alignment horizontal="center" vertical="center"/>
    </xf>
    <xf numFmtId="0" fontId="12" fillId="4" borderId="35" xfId="0" applyFont="1" applyFill="1" applyBorder="1" applyAlignment="1">
      <alignment horizontal="left" vertical="center" wrapText="1"/>
    </xf>
    <xf numFmtId="0" fontId="12" fillId="0" borderId="1" xfId="0" applyFont="1" applyBorder="1" applyAlignment="1">
      <alignment horizontal="center" vertical="center" wrapText="1"/>
    </xf>
    <xf numFmtId="0" fontId="16" fillId="2" borderId="24" xfId="0" applyFont="1" applyFill="1" applyBorder="1" applyAlignment="1">
      <alignment horizontal="center" vertical="center"/>
    </xf>
    <xf numFmtId="0" fontId="16" fillId="2" borderId="25" xfId="0" applyFont="1" applyFill="1" applyBorder="1" applyAlignment="1">
      <alignment horizontal="center" vertical="center" wrapText="1"/>
    </xf>
    <xf numFmtId="16" fontId="16" fillId="4" borderId="1" xfId="0" applyNumberFormat="1" applyFont="1" applyFill="1" applyBorder="1" applyAlignment="1">
      <alignment horizontal="center" vertical="center"/>
    </xf>
    <xf numFmtId="0" fontId="16" fillId="4" borderId="35" xfId="0" applyFont="1" applyFill="1" applyBorder="1" applyAlignment="1">
      <alignment horizontal="left" vertical="center" wrapText="1"/>
    </xf>
    <xf numFmtId="0" fontId="16" fillId="0" borderId="1" xfId="0" applyFont="1" applyBorder="1" applyAlignment="1">
      <alignment horizontal="center" vertical="center" wrapText="1"/>
    </xf>
    <xf numFmtId="0" fontId="16" fillId="4" borderId="57" xfId="0" applyFont="1" applyFill="1" applyBorder="1" applyAlignment="1">
      <alignment horizontal="center" vertical="center"/>
    </xf>
    <xf numFmtId="0" fontId="2" fillId="0" borderId="58" xfId="0" applyFont="1" applyBorder="1"/>
    <xf numFmtId="0" fontId="1" fillId="4" borderId="57" xfId="0" applyFont="1" applyFill="1" applyBorder="1" applyAlignment="1">
      <alignment horizontal="center" vertical="center"/>
    </xf>
    <xf numFmtId="0" fontId="18" fillId="2" borderId="5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6" fillId="5" borderId="10" xfId="0" applyFont="1" applyFill="1" applyBorder="1" applyAlignment="1">
      <alignment horizontal="center" vertical="center" wrapText="1"/>
    </xf>
    <xf numFmtId="0" fontId="16" fillId="5" borderId="11" xfId="0" applyFont="1" applyFill="1" applyBorder="1" applyAlignment="1">
      <alignment horizontal="center" vertical="center" wrapText="1"/>
    </xf>
    <xf numFmtId="0" fontId="16" fillId="6" borderId="12" xfId="0" applyFont="1" applyFill="1" applyBorder="1" applyAlignment="1">
      <alignment horizontal="center" vertical="center" wrapText="1"/>
    </xf>
    <xf numFmtId="1" fontId="16" fillId="6" borderId="12" xfId="0" applyNumberFormat="1" applyFont="1" applyFill="1" applyBorder="1" applyAlignment="1">
      <alignment horizontal="center" vertical="center"/>
    </xf>
    <xf numFmtId="0" fontId="16" fillId="6" borderId="12" xfId="0" applyFont="1" applyFill="1" applyBorder="1" applyAlignment="1">
      <alignment horizontal="center" vertical="center"/>
    </xf>
    <xf numFmtId="0" fontId="16" fillId="6" borderId="12" xfId="0" applyFont="1" applyFill="1" applyBorder="1"/>
    <xf numFmtId="16" fontId="17" fillId="7" borderId="13" xfId="0" applyNumberFormat="1" applyFont="1" applyFill="1" applyBorder="1" applyAlignment="1">
      <alignment horizontal="center"/>
    </xf>
    <xf numFmtId="1" fontId="17" fillId="8" borderId="12" xfId="0" applyNumberFormat="1" applyFont="1" applyFill="1" applyBorder="1" applyAlignment="1">
      <alignment horizontal="center" vertical="center" wrapText="1"/>
    </xf>
    <xf numFmtId="3" fontId="17" fillId="8" borderId="12" xfId="0" applyNumberFormat="1" applyFont="1" applyFill="1" applyBorder="1" applyAlignment="1">
      <alignment horizontal="center" vertical="center"/>
    </xf>
    <xf numFmtId="3" fontId="17" fillId="8" borderId="12" xfId="0" applyNumberFormat="1" applyFont="1" applyFill="1" applyBorder="1" applyAlignment="1">
      <alignment horizontal="center" vertical="center" wrapText="1"/>
    </xf>
    <xf numFmtId="0" fontId="17" fillId="7" borderId="12" xfId="0" applyFont="1" applyFill="1" applyBorder="1" applyAlignment="1">
      <alignment horizontal="center" vertical="center" wrapText="1"/>
    </xf>
    <xf numFmtId="0" fontId="17" fillId="7" borderId="12" xfId="0" applyFont="1" applyFill="1" applyBorder="1" applyAlignment="1">
      <alignment horizontal="left"/>
    </xf>
    <xf numFmtId="3" fontId="17" fillId="8" borderId="12" xfId="0" applyNumberFormat="1" applyFont="1" applyFill="1" applyBorder="1"/>
    <xf numFmtId="3" fontId="17" fillId="12" borderId="12" xfId="0" applyNumberFormat="1" applyFont="1" applyFill="1" applyBorder="1"/>
    <xf numFmtId="3" fontId="17" fillId="7" borderId="12" xfId="0" applyNumberFormat="1" applyFont="1" applyFill="1" applyBorder="1" applyAlignment="1">
      <alignment horizontal="right"/>
    </xf>
    <xf numFmtId="0" fontId="17" fillId="7" borderId="12" xfId="0" applyFont="1" applyFill="1" applyBorder="1"/>
    <xf numFmtId="0" fontId="17" fillId="7" borderId="12" xfId="0" applyFont="1" applyFill="1" applyBorder="1" applyAlignment="1">
      <alignment horizontal="right"/>
    </xf>
    <xf numFmtId="9" fontId="17" fillId="7" borderId="12" xfId="0" applyNumberFormat="1" applyFont="1" applyFill="1" applyBorder="1" applyAlignment="1">
      <alignment horizontal="left"/>
    </xf>
    <xf numFmtId="20" fontId="17" fillId="13" borderId="14" xfId="0" applyNumberFormat="1" applyFont="1" applyFill="1" applyBorder="1" applyAlignment="1">
      <alignment horizontal="center"/>
    </xf>
    <xf numFmtId="1" fontId="16" fillId="13" borderId="12" xfId="0" applyNumberFormat="1" applyFont="1" applyFill="1" applyBorder="1" applyAlignment="1">
      <alignment horizontal="center" vertical="center" wrapText="1"/>
    </xf>
    <xf numFmtId="3" fontId="17" fillId="13" borderId="12" xfId="0" applyNumberFormat="1" applyFont="1" applyFill="1" applyBorder="1" applyAlignment="1">
      <alignment horizontal="center" vertical="center"/>
    </xf>
    <xf numFmtId="3" fontId="16" fillId="13" borderId="12" xfId="0" applyNumberFormat="1" applyFont="1" applyFill="1" applyBorder="1" applyAlignment="1">
      <alignment horizontal="center" vertical="center" wrapText="1"/>
    </xf>
    <xf numFmtId="3" fontId="16" fillId="13" borderId="12" xfId="0" applyNumberFormat="1" applyFont="1" applyFill="1" applyBorder="1" applyAlignment="1">
      <alignment horizontal="center" vertical="center"/>
    </xf>
    <xf numFmtId="0" fontId="17" fillId="13" borderId="12" xfId="0" applyFont="1" applyFill="1" applyBorder="1" applyAlignment="1">
      <alignment horizontal="center" vertical="center"/>
    </xf>
    <xf numFmtId="9" fontId="17" fillId="14" borderId="12" xfId="0" applyNumberFormat="1" applyFont="1" applyFill="1" applyBorder="1" applyAlignment="1">
      <alignment horizontal="left"/>
    </xf>
    <xf numFmtId="3" fontId="16" fillId="5" borderId="12" xfId="0" applyNumberFormat="1" applyFont="1" applyFill="1" applyBorder="1" applyAlignment="1">
      <alignment horizontal="center" vertical="center" wrapText="1"/>
    </xf>
    <xf numFmtId="1" fontId="16" fillId="5" borderId="12" xfId="0" applyNumberFormat="1" applyFont="1" applyFill="1" applyBorder="1" applyAlignment="1">
      <alignment horizontal="center" vertical="center" wrapText="1"/>
    </xf>
    <xf numFmtId="3" fontId="17" fillId="5" borderId="12" xfId="0" applyNumberFormat="1" applyFont="1" applyFill="1" applyBorder="1" applyAlignment="1">
      <alignment horizontal="center" vertical="center"/>
    </xf>
    <xf numFmtId="3" fontId="17" fillId="5" borderId="12" xfId="0" applyNumberFormat="1" applyFont="1" applyFill="1" applyBorder="1"/>
    <xf numFmtId="0" fontId="16" fillId="0" borderId="15" xfId="0" applyFont="1" applyBorder="1" applyAlignment="1">
      <alignment horizontal="center" vertical="center" wrapText="1"/>
    </xf>
    <xf numFmtId="0" fontId="25" fillId="0" borderId="14" xfId="0" applyFont="1" applyBorder="1"/>
    <xf numFmtId="0" fontId="16" fillId="0" borderId="56" xfId="0" applyFont="1" applyBorder="1" applyAlignment="1">
      <alignment horizontal="center" vertical="center"/>
    </xf>
    <xf numFmtId="0" fontId="17" fillId="0" borderId="60" xfId="0" applyFont="1" applyBorder="1"/>
    <xf numFmtId="0" fontId="16" fillId="15" borderId="16" xfId="0" applyFont="1" applyFill="1" applyBorder="1" applyAlignment="1">
      <alignment vertical="center" wrapText="1"/>
    </xf>
    <xf numFmtId="0" fontId="16" fillId="15" borderId="16" xfId="0" applyFont="1" applyFill="1" applyBorder="1" applyAlignment="1">
      <alignment horizontal="center" vertical="center" wrapText="1"/>
    </xf>
    <xf numFmtId="3" fontId="16" fillId="15" borderId="18" xfId="0" applyNumberFormat="1" applyFont="1" applyFill="1" applyBorder="1" applyAlignment="1">
      <alignment horizontal="center" vertical="center" wrapText="1"/>
    </xf>
    <xf numFmtId="3" fontId="16" fillId="15" borderId="19" xfId="0" applyNumberFormat="1" applyFont="1" applyFill="1" applyBorder="1" applyAlignment="1">
      <alignment horizontal="center" vertical="center" wrapText="1"/>
    </xf>
    <xf numFmtId="3" fontId="16" fillId="15" borderId="56" xfId="0" applyNumberFormat="1" applyFont="1" applyFill="1" applyBorder="1" applyAlignment="1">
      <alignment horizontal="center" vertical="center"/>
    </xf>
    <xf numFmtId="0" fontId="16" fillId="0" borderId="60" xfId="0" applyFont="1" applyBorder="1"/>
    <xf numFmtId="14" fontId="16" fillId="15" borderId="15" xfId="0" applyNumberFormat="1" applyFont="1" applyFill="1" applyBorder="1" applyAlignment="1">
      <alignment vertical="center" wrapText="1"/>
    </xf>
    <xf numFmtId="14" fontId="16" fillId="15" borderId="15" xfId="0" applyNumberFormat="1" applyFont="1" applyFill="1" applyBorder="1" applyAlignment="1">
      <alignment horizontal="center" vertical="center" wrapText="1"/>
    </xf>
    <xf numFmtId="0" fontId="16" fillId="15" borderId="12" xfId="0" applyFont="1" applyFill="1" applyBorder="1" applyAlignment="1">
      <alignment horizontal="center" vertical="center" wrapText="1"/>
    </xf>
    <xf numFmtId="0" fontId="16" fillId="15" borderId="56" xfId="0" applyFont="1" applyFill="1" applyBorder="1" applyAlignment="1">
      <alignment horizontal="center" vertical="center" wrapText="1"/>
    </xf>
    <xf numFmtId="0" fontId="17" fillId="4" borderId="60" xfId="0" applyFont="1" applyFill="1" applyBorder="1" applyAlignment="1">
      <alignment vertical="center" wrapText="1"/>
    </xf>
    <xf numFmtId="0" fontId="26" fillId="16" borderId="15" xfId="0" applyFont="1" applyFill="1" applyBorder="1" applyAlignment="1">
      <alignment vertical="center"/>
    </xf>
    <xf numFmtId="0" fontId="26" fillId="16" borderId="15" xfId="0" applyFont="1" applyFill="1" applyBorder="1" applyAlignment="1">
      <alignment horizontal="center" vertical="center"/>
    </xf>
    <xf numFmtId="0" fontId="27" fillId="16" borderId="18" xfId="0" applyFont="1" applyFill="1" applyBorder="1" applyAlignment="1">
      <alignment horizontal="center" vertical="center"/>
    </xf>
    <xf numFmtId="0" fontId="26" fillId="16" borderId="18" xfId="0" applyFont="1" applyFill="1" applyBorder="1" applyAlignment="1">
      <alignment horizontal="center" vertical="center"/>
    </xf>
    <xf numFmtId="0" fontId="26" fillId="16" borderId="19" xfId="0" applyFont="1" applyFill="1" applyBorder="1" applyAlignment="1">
      <alignment horizontal="center"/>
    </xf>
    <xf numFmtId="0" fontId="17" fillId="17" borderId="53" xfId="0" applyFont="1" applyFill="1" applyBorder="1" applyAlignment="1">
      <alignment vertical="center" wrapText="1"/>
    </xf>
    <xf numFmtId="0" fontId="16" fillId="17" borderId="60" xfId="0" applyFont="1" applyFill="1" applyBorder="1" applyAlignment="1">
      <alignment horizontal="center" vertical="center" wrapText="1"/>
    </xf>
    <xf numFmtId="3" fontId="16" fillId="17" borderId="60" xfId="0" applyNumberFormat="1" applyFont="1" applyFill="1" applyBorder="1" applyAlignment="1">
      <alignment horizontal="center" vertical="center" wrapText="1"/>
    </xf>
    <xf numFmtId="3" fontId="16" fillId="17" borderId="61"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1"/>
  <sheetViews>
    <sheetView tabSelected="1" zoomScale="50" zoomScaleNormal="50" workbookViewId="0">
      <selection activeCell="E20" sqref="E20"/>
    </sheetView>
  </sheetViews>
  <sheetFormatPr defaultColWidth="14.42578125" defaultRowHeight="15" customHeight="1" x14ac:dyDescent="0.25"/>
  <cols>
    <col min="1" max="1" width="8.140625" customWidth="1"/>
    <col min="2" max="2" width="33.140625" customWidth="1"/>
    <col min="3" max="3" width="20" customWidth="1"/>
    <col min="4" max="4" width="59.42578125" customWidth="1"/>
    <col min="5" max="5" width="50.28515625" customWidth="1"/>
    <col min="6" max="6" width="57.28515625" customWidth="1"/>
    <col min="7" max="7" width="51.7109375" customWidth="1"/>
    <col min="8" max="8" width="32.85546875" customWidth="1"/>
    <col min="9" max="9" width="39.5703125" customWidth="1"/>
    <col min="10" max="26" width="8.85546875" customWidth="1"/>
  </cols>
  <sheetData>
    <row r="1" spans="1:26" ht="1.5" customHeight="1" thickBot="1" x14ac:dyDescent="0.3">
      <c r="A1" s="23"/>
      <c r="B1" s="24"/>
      <c r="C1" s="268"/>
      <c r="D1" s="25"/>
      <c r="E1" s="1"/>
      <c r="F1" s="1"/>
      <c r="G1" s="1"/>
      <c r="H1" s="1"/>
      <c r="I1" s="1"/>
      <c r="J1" s="1"/>
      <c r="K1" s="1"/>
      <c r="L1" s="1"/>
      <c r="M1" s="1"/>
      <c r="N1" s="1"/>
      <c r="O1" s="1"/>
      <c r="P1" s="1"/>
      <c r="Q1" s="1"/>
      <c r="R1" s="1"/>
      <c r="S1" s="1"/>
      <c r="T1" s="1"/>
      <c r="U1" s="1"/>
      <c r="V1" s="1"/>
      <c r="W1" s="1"/>
      <c r="X1" s="1"/>
      <c r="Y1" s="1"/>
      <c r="Z1" s="1"/>
    </row>
    <row r="2" spans="1:26" ht="44.25" customHeight="1" x14ac:dyDescent="0.25">
      <c r="A2" s="321"/>
      <c r="B2" s="321" t="s">
        <v>43</v>
      </c>
      <c r="C2" s="322"/>
      <c r="D2" s="322"/>
      <c r="E2" s="322"/>
      <c r="F2" s="322"/>
      <c r="G2" s="322"/>
      <c r="H2" s="322"/>
      <c r="I2" s="322"/>
      <c r="J2" s="1"/>
      <c r="K2" s="1"/>
      <c r="L2" s="1"/>
      <c r="M2" s="1"/>
      <c r="N2" s="1"/>
      <c r="O2" s="1"/>
      <c r="P2" s="1"/>
      <c r="Q2" s="1"/>
      <c r="R2" s="1"/>
      <c r="S2" s="1"/>
      <c r="T2" s="1"/>
      <c r="U2" s="1"/>
      <c r="V2" s="1"/>
      <c r="W2" s="1"/>
      <c r="X2" s="1"/>
      <c r="Y2" s="1"/>
      <c r="Z2" s="1"/>
    </row>
    <row r="3" spans="1:26" ht="36" customHeight="1" x14ac:dyDescent="0.35">
      <c r="A3" s="323" t="s">
        <v>44</v>
      </c>
      <c r="B3" s="324" t="s">
        <v>45</v>
      </c>
      <c r="C3" s="323" t="s">
        <v>46</v>
      </c>
      <c r="D3" s="323" t="s">
        <v>47</v>
      </c>
      <c r="E3" s="323" t="s">
        <v>48</v>
      </c>
      <c r="F3" s="323" t="s">
        <v>49</v>
      </c>
      <c r="G3" s="323" t="s">
        <v>50</v>
      </c>
      <c r="H3" s="325" t="s">
        <v>51</v>
      </c>
      <c r="I3" s="326" t="s">
        <v>52</v>
      </c>
      <c r="J3" s="1"/>
      <c r="K3" s="1"/>
      <c r="L3" s="1"/>
      <c r="M3" s="1"/>
      <c r="N3" s="1"/>
      <c r="O3" s="1"/>
      <c r="P3" s="1"/>
      <c r="Q3" s="1"/>
      <c r="R3" s="1"/>
      <c r="S3" s="1"/>
      <c r="T3" s="1"/>
      <c r="U3" s="1"/>
      <c r="V3" s="1"/>
      <c r="W3" s="1"/>
      <c r="X3" s="1"/>
      <c r="Y3" s="1"/>
      <c r="Z3" s="1"/>
    </row>
    <row r="4" spans="1:26" ht="15.75" customHeight="1" x14ac:dyDescent="0.35">
      <c r="A4" s="327" t="s">
        <v>447</v>
      </c>
      <c r="B4" s="328" t="s">
        <v>53</v>
      </c>
      <c r="C4" s="329">
        <v>1</v>
      </c>
      <c r="D4" s="330">
        <v>7100</v>
      </c>
      <c r="E4" s="329"/>
      <c r="F4" s="329"/>
      <c r="G4" s="330" t="s">
        <v>458</v>
      </c>
      <c r="H4" s="331"/>
      <c r="I4" s="332"/>
      <c r="J4" s="1"/>
      <c r="K4" s="1"/>
      <c r="L4" s="1"/>
      <c r="M4" s="1"/>
      <c r="N4" s="1"/>
      <c r="O4" s="1"/>
      <c r="P4" s="1"/>
      <c r="Q4" s="1"/>
      <c r="R4" s="1"/>
      <c r="S4" s="1"/>
      <c r="T4" s="1"/>
      <c r="U4" s="1"/>
      <c r="V4" s="1"/>
      <c r="W4" s="1"/>
      <c r="X4" s="1"/>
      <c r="Y4" s="1"/>
      <c r="Z4" s="1"/>
    </row>
    <row r="5" spans="1:26" ht="15.75" customHeight="1" x14ac:dyDescent="0.35">
      <c r="A5" s="327" t="s">
        <v>448</v>
      </c>
      <c r="B5" s="328" t="s">
        <v>58</v>
      </c>
      <c r="C5" s="329">
        <v>1</v>
      </c>
      <c r="D5" s="330">
        <v>12500</v>
      </c>
      <c r="E5" s="329">
        <v>3500</v>
      </c>
      <c r="F5" s="329"/>
      <c r="G5" s="333" t="s">
        <v>457</v>
      </c>
      <c r="H5" s="334">
        <v>7777894475</v>
      </c>
      <c r="I5" s="332"/>
      <c r="J5" s="1"/>
      <c r="K5" s="1"/>
      <c r="L5" s="1"/>
      <c r="M5" s="1"/>
      <c r="N5" s="1"/>
      <c r="O5" s="1"/>
      <c r="P5" s="1"/>
      <c r="Q5" s="1"/>
      <c r="R5" s="1"/>
      <c r="S5" s="1"/>
      <c r="T5" s="1"/>
      <c r="U5" s="1"/>
      <c r="V5" s="1"/>
      <c r="W5" s="1"/>
      <c r="X5" s="1"/>
      <c r="Y5" s="1"/>
      <c r="Z5" s="1"/>
    </row>
    <row r="6" spans="1:26" ht="15.75" customHeight="1" x14ac:dyDescent="0.35">
      <c r="A6" s="327" t="s">
        <v>449</v>
      </c>
      <c r="B6" s="328" t="s">
        <v>62</v>
      </c>
      <c r="C6" s="329"/>
      <c r="D6" s="330"/>
      <c r="E6" s="329"/>
      <c r="F6" s="329"/>
      <c r="G6" s="333"/>
      <c r="H6" s="335"/>
      <c r="I6" s="332"/>
      <c r="J6" s="1"/>
      <c r="K6" s="1"/>
      <c r="L6" s="1"/>
      <c r="M6" s="1"/>
      <c r="N6" s="1"/>
      <c r="O6" s="1"/>
      <c r="P6" s="1"/>
      <c r="Q6" s="1"/>
      <c r="R6" s="1"/>
      <c r="S6" s="1"/>
      <c r="T6" s="1"/>
      <c r="U6" s="1"/>
      <c r="V6" s="1"/>
      <c r="W6" s="1"/>
      <c r="X6" s="1"/>
      <c r="Y6" s="1"/>
      <c r="Z6" s="1"/>
    </row>
    <row r="7" spans="1:26" ht="15.75" customHeight="1" x14ac:dyDescent="0.35">
      <c r="A7" s="327" t="s">
        <v>450</v>
      </c>
      <c r="B7" s="328" t="s">
        <v>66</v>
      </c>
      <c r="C7" s="329"/>
      <c r="D7" s="329"/>
      <c r="E7" s="329"/>
      <c r="F7" s="329"/>
      <c r="G7" s="333"/>
      <c r="H7" s="335"/>
      <c r="I7" s="332"/>
      <c r="J7" s="1"/>
      <c r="K7" s="1"/>
      <c r="L7" s="1"/>
      <c r="M7" s="1"/>
      <c r="N7" s="1"/>
      <c r="O7" s="1"/>
      <c r="P7" s="1"/>
      <c r="Q7" s="1"/>
      <c r="R7" s="1"/>
      <c r="S7" s="1"/>
      <c r="T7" s="1"/>
      <c r="U7" s="1"/>
      <c r="V7" s="1"/>
      <c r="W7" s="1"/>
      <c r="X7" s="1"/>
      <c r="Y7" s="1"/>
      <c r="Z7" s="1"/>
    </row>
    <row r="8" spans="1:26" ht="15.75" customHeight="1" x14ac:dyDescent="0.35">
      <c r="A8" s="327" t="s">
        <v>451</v>
      </c>
      <c r="B8" s="328" t="s">
        <v>69</v>
      </c>
      <c r="C8" s="329"/>
      <c r="D8" s="330"/>
      <c r="E8" s="329"/>
      <c r="F8" s="329"/>
      <c r="G8" s="329"/>
      <c r="H8" s="336"/>
      <c r="I8" s="332"/>
      <c r="J8" s="1"/>
      <c r="K8" s="1"/>
      <c r="L8" s="1"/>
      <c r="M8" s="1"/>
      <c r="N8" s="1"/>
      <c r="O8" s="1"/>
      <c r="P8" s="1"/>
      <c r="Q8" s="1"/>
      <c r="R8" s="1"/>
      <c r="S8" s="1"/>
      <c r="T8" s="1"/>
      <c r="U8" s="1"/>
      <c r="V8" s="1"/>
      <c r="W8" s="1"/>
      <c r="X8" s="1"/>
      <c r="Y8" s="1"/>
      <c r="Z8" s="1"/>
    </row>
    <row r="9" spans="1:26" ht="15.75" customHeight="1" x14ac:dyDescent="0.35">
      <c r="A9" s="327" t="s">
        <v>452</v>
      </c>
      <c r="B9" s="328" t="s">
        <v>70</v>
      </c>
      <c r="C9" s="329">
        <v>2</v>
      </c>
      <c r="D9" s="330">
        <v>23800</v>
      </c>
      <c r="E9" s="329">
        <v>4000</v>
      </c>
      <c r="F9" s="329" t="s">
        <v>456</v>
      </c>
      <c r="G9" s="333" t="s">
        <v>454</v>
      </c>
      <c r="H9" s="337" t="s">
        <v>455</v>
      </c>
      <c r="I9" s="338" t="s">
        <v>417</v>
      </c>
      <c r="J9" s="1"/>
      <c r="K9" s="1"/>
      <c r="L9" s="1"/>
      <c r="M9" s="1"/>
      <c r="N9" s="1"/>
      <c r="O9" s="1"/>
      <c r="P9" s="1"/>
      <c r="Q9" s="1"/>
      <c r="R9" s="1"/>
      <c r="S9" s="1"/>
      <c r="T9" s="1"/>
      <c r="U9" s="1"/>
      <c r="V9" s="1"/>
      <c r="W9" s="1"/>
      <c r="X9" s="1"/>
      <c r="Y9" s="1"/>
      <c r="Z9" s="1"/>
    </row>
    <row r="10" spans="1:26" ht="25.5" customHeight="1" x14ac:dyDescent="0.35">
      <c r="A10" s="327" t="s">
        <v>453</v>
      </c>
      <c r="B10" s="328" t="s">
        <v>71</v>
      </c>
      <c r="C10" s="329">
        <v>1</v>
      </c>
      <c r="D10" s="330">
        <v>6800</v>
      </c>
      <c r="E10" s="329"/>
      <c r="F10" s="329"/>
      <c r="G10" s="329" t="s">
        <v>97</v>
      </c>
      <c r="H10" s="336"/>
      <c r="I10" s="332"/>
      <c r="J10" s="1"/>
      <c r="K10" s="1"/>
      <c r="L10" s="1"/>
      <c r="M10" s="1"/>
      <c r="N10" s="1"/>
      <c r="O10" s="1"/>
      <c r="P10" s="1"/>
      <c r="Q10" s="1"/>
      <c r="R10" s="1"/>
      <c r="S10" s="1"/>
      <c r="T10" s="1"/>
      <c r="U10" s="1"/>
      <c r="V10" s="1"/>
      <c r="W10" s="1"/>
      <c r="X10" s="1"/>
      <c r="Y10" s="1"/>
      <c r="Z10" s="1"/>
    </row>
    <row r="11" spans="1:26" s="267" customFormat="1" ht="15.75" customHeight="1" x14ac:dyDescent="0.35">
      <c r="A11" s="339"/>
      <c r="B11" s="340" t="s">
        <v>346</v>
      </c>
      <c r="C11" s="341">
        <v>5</v>
      </c>
      <c r="D11" s="342">
        <v>50200</v>
      </c>
      <c r="E11" s="343">
        <v>7500</v>
      </c>
      <c r="F11" s="341"/>
      <c r="G11" s="341"/>
      <c r="H11" s="344"/>
      <c r="I11" s="345"/>
      <c r="J11" s="266"/>
      <c r="K11" s="266"/>
      <c r="L11" s="266"/>
      <c r="M11" s="266"/>
      <c r="N11" s="266"/>
      <c r="O11" s="266"/>
      <c r="P11" s="266"/>
      <c r="Q11" s="266"/>
      <c r="R11" s="266"/>
      <c r="S11" s="266"/>
      <c r="T11" s="266"/>
      <c r="U11" s="266"/>
      <c r="V11" s="266"/>
      <c r="W11" s="266"/>
      <c r="X11" s="266"/>
      <c r="Y11" s="266"/>
      <c r="Z11" s="266"/>
    </row>
    <row r="12" spans="1:26" ht="15.75" customHeight="1" x14ac:dyDescent="0.35">
      <c r="A12" s="346"/>
      <c r="B12" s="346" t="s">
        <v>347</v>
      </c>
      <c r="C12" s="346">
        <v>5</v>
      </c>
      <c r="D12" s="346">
        <v>119140</v>
      </c>
      <c r="E12" s="346">
        <v>19500</v>
      </c>
      <c r="F12" s="346"/>
      <c r="G12" s="347"/>
      <c r="H12" s="348"/>
      <c r="I12" s="349"/>
      <c r="J12" s="1"/>
      <c r="K12" s="1"/>
      <c r="L12" s="1"/>
      <c r="M12" s="1"/>
      <c r="N12" s="1"/>
      <c r="O12" s="1"/>
      <c r="P12" s="1"/>
      <c r="Q12" s="1"/>
      <c r="R12" s="1"/>
      <c r="S12" s="1"/>
      <c r="T12" s="1"/>
      <c r="U12" s="1"/>
      <c r="V12" s="1"/>
      <c r="W12" s="1"/>
      <c r="X12" s="1"/>
      <c r="Y12" s="1"/>
      <c r="Z12" s="1"/>
    </row>
    <row r="13" spans="1:26" ht="15.75" customHeight="1" x14ac:dyDescent="0.35">
      <c r="A13" s="248"/>
      <c r="B13" s="249"/>
      <c r="C13" s="250"/>
      <c r="D13" s="250"/>
      <c r="E13" s="200"/>
      <c r="F13" s="200"/>
      <c r="G13" s="200"/>
      <c r="H13" s="200"/>
      <c r="I13" s="200"/>
      <c r="J13" s="1"/>
      <c r="K13" s="1"/>
      <c r="L13" s="1"/>
      <c r="M13" s="1"/>
      <c r="N13" s="1"/>
      <c r="O13" s="1"/>
      <c r="P13" s="1"/>
      <c r="Q13" s="1"/>
      <c r="R13" s="1"/>
      <c r="S13" s="1"/>
      <c r="T13" s="1"/>
      <c r="U13" s="1"/>
      <c r="V13" s="1"/>
      <c r="W13" s="1"/>
      <c r="X13" s="1"/>
      <c r="Y13" s="1"/>
      <c r="Z13" s="1"/>
    </row>
    <row r="14" spans="1:26" ht="15.75" customHeight="1" x14ac:dyDescent="0.35">
      <c r="A14" s="350" t="s">
        <v>72</v>
      </c>
      <c r="B14" s="351"/>
      <c r="C14" s="224" t="s">
        <v>73</v>
      </c>
      <c r="D14" s="224" t="s">
        <v>74</v>
      </c>
      <c r="E14" s="352" t="s">
        <v>75</v>
      </c>
      <c r="F14" s="353"/>
      <c r="G14" s="200"/>
      <c r="H14" s="200"/>
      <c r="I14" s="200"/>
      <c r="J14" s="1"/>
      <c r="K14" s="1"/>
      <c r="L14" s="1"/>
      <c r="M14" s="1"/>
      <c r="N14" s="1"/>
      <c r="O14" s="1"/>
      <c r="P14" s="1"/>
      <c r="Q14" s="1"/>
      <c r="R14" s="1"/>
      <c r="S14" s="1"/>
      <c r="T14" s="1"/>
      <c r="U14" s="1"/>
      <c r="V14" s="1"/>
      <c r="W14" s="1"/>
      <c r="X14" s="1"/>
      <c r="Y14" s="1"/>
      <c r="Z14" s="1"/>
    </row>
    <row r="15" spans="1:26" ht="15.75" customHeight="1" x14ac:dyDescent="0.35">
      <c r="A15" s="354"/>
      <c r="B15" s="355" t="s">
        <v>459</v>
      </c>
      <c r="C15" s="356">
        <v>9</v>
      </c>
      <c r="D15" s="357">
        <v>81400</v>
      </c>
      <c r="E15" s="358">
        <v>14120</v>
      </c>
      <c r="F15" s="359"/>
      <c r="G15" s="206"/>
      <c r="H15" s="206"/>
      <c r="I15" s="206"/>
      <c r="J15" s="4"/>
      <c r="K15" s="4"/>
      <c r="L15" s="4"/>
      <c r="M15" s="4"/>
      <c r="N15" s="4"/>
      <c r="O15" s="4"/>
      <c r="P15" s="4"/>
      <c r="Q15" s="4"/>
      <c r="R15" s="4"/>
      <c r="S15" s="4"/>
      <c r="T15" s="4"/>
      <c r="U15" s="4"/>
      <c r="V15" s="4"/>
      <c r="W15" s="4"/>
      <c r="X15" s="4"/>
      <c r="Y15" s="4"/>
      <c r="Z15" s="4"/>
    </row>
    <row r="16" spans="1:26" ht="15.75" customHeight="1" x14ac:dyDescent="0.35">
      <c r="A16" s="360"/>
      <c r="B16" s="361" t="s">
        <v>460</v>
      </c>
      <c r="C16" s="362">
        <v>23</v>
      </c>
      <c r="D16" s="362" t="s">
        <v>78</v>
      </c>
      <c r="E16" s="363" t="s">
        <v>79</v>
      </c>
      <c r="F16" s="364"/>
      <c r="G16" s="200"/>
      <c r="H16" s="200"/>
      <c r="I16" s="200"/>
      <c r="J16" s="1"/>
      <c r="K16" s="1"/>
      <c r="L16" s="1"/>
      <c r="M16" s="1"/>
      <c r="N16" s="1"/>
      <c r="O16" s="1"/>
      <c r="P16" s="1"/>
      <c r="Q16" s="1"/>
      <c r="R16" s="1"/>
      <c r="S16" s="1"/>
      <c r="T16" s="1"/>
      <c r="U16" s="1"/>
      <c r="V16" s="1"/>
      <c r="W16" s="1"/>
      <c r="X16" s="1"/>
      <c r="Y16" s="1"/>
      <c r="Z16" s="1"/>
    </row>
    <row r="17" spans="1:26" ht="15.6" customHeight="1" x14ac:dyDescent="0.35">
      <c r="A17" s="365"/>
      <c r="B17" s="366" t="s">
        <v>461</v>
      </c>
      <c r="C17" s="367">
        <v>30</v>
      </c>
      <c r="D17" s="368" t="s">
        <v>80</v>
      </c>
      <c r="E17" s="369" t="s">
        <v>81</v>
      </c>
      <c r="F17" s="353"/>
      <c r="G17" s="200"/>
      <c r="H17" s="200"/>
      <c r="I17" s="200"/>
      <c r="J17" s="1"/>
      <c r="K17" s="1"/>
      <c r="L17" s="1"/>
      <c r="M17" s="1"/>
      <c r="N17" s="1"/>
      <c r="O17" s="1"/>
      <c r="P17" s="1"/>
      <c r="Q17" s="1"/>
      <c r="R17" s="1"/>
      <c r="S17" s="1"/>
      <c r="T17" s="1"/>
      <c r="U17" s="1"/>
      <c r="V17" s="1"/>
      <c r="W17" s="1"/>
      <c r="X17" s="1"/>
      <c r="Y17" s="1"/>
      <c r="Z17" s="1"/>
    </row>
    <row r="18" spans="1:26" ht="21" x14ac:dyDescent="0.35">
      <c r="A18" s="370"/>
      <c r="B18" s="371" t="s">
        <v>406</v>
      </c>
      <c r="C18" s="371">
        <v>24</v>
      </c>
      <c r="D18" s="372">
        <v>417800</v>
      </c>
      <c r="E18" s="373">
        <v>29920</v>
      </c>
      <c r="F18" s="353"/>
      <c r="G18" s="200"/>
      <c r="H18" s="200"/>
      <c r="I18" s="200"/>
      <c r="J18" s="1"/>
      <c r="K18" s="1"/>
      <c r="L18" s="1"/>
      <c r="M18" s="1"/>
      <c r="N18" s="1"/>
      <c r="O18" s="1"/>
      <c r="P18" s="1"/>
      <c r="Q18" s="1"/>
      <c r="R18" s="1"/>
      <c r="S18" s="1"/>
      <c r="T18" s="1"/>
      <c r="U18" s="1"/>
      <c r="V18" s="1"/>
      <c r="W18" s="1"/>
      <c r="X18" s="1"/>
      <c r="Y18" s="1"/>
      <c r="Z18" s="1"/>
    </row>
    <row r="19" spans="1:26" ht="15.75" customHeight="1" x14ac:dyDescent="0.35">
      <c r="A19" s="248"/>
      <c r="B19" s="249"/>
      <c r="C19" s="250"/>
      <c r="D19" s="250"/>
      <c r="E19" s="200"/>
      <c r="F19" s="200"/>
      <c r="G19" s="200"/>
      <c r="H19" s="200"/>
      <c r="I19" s="200"/>
      <c r="J19" s="1"/>
      <c r="K19" s="1"/>
      <c r="L19" s="1"/>
      <c r="M19" s="1"/>
      <c r="N19" s="1"/>
      <c r="O19" s="1"/>
      <c r="P19" s="1"/>
      <c r="Q19" s="1"/>
      <c r="R19" s="1"/>
      <c r="S19" s="1"/>
      <c r="T19" s="1"/>
      <c r="U19" s="1"/>
      <c r="V19" s="1"/>
      <c r="W19" s="1"/>
      <c r="X19" s="1"/>
      <c r="Y19" s="1"/>
      <c r="Z19" s="1"/>
    </row>
    <row r="20" spans="1:26" ht="15.75" customHeight="1" x14ac:dyDescent="0.25">
      <c r="A20" s="23"/>
      <c r="B20" s="24"/>
      <c r="C20" s="25"/>
      <c r="D20" s="25"/>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23"/>
      <c r="B21" s="24"/>
      <c r="C21" s="25"/>
      <c r="D21" s="25"/>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23"/>
      <c r="B22" s="24"/>
      <c r="C22" s="25"/>
      <c r="D22" s="25"/>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23"/>
      <c r="B23" s="24"/>
      <c r="C23" s="25"/>
      <c r="D23" s="25"/>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23"/>
      <c r="B24" s="24"/>
      <c r="C24" s="25"/>
      <c r="D24" s="25"/>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23"/>
      <c r="B25" s="24"/>
      <c r="C25" s="25"/>
      <c r="D25" s="25"/>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23"/>
      <c r="B26" s="24"/>
      <c r="C26" s="25"/>
      <c r="D26" s="25"/>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23"/>
      <c r="B27" s="24"/>
      <c r="C27" s="25"/>
      <c r="D27" s="25"/>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23"/>
      <c r="B28" s="24"/>
      <c r="C28" s="25"/>
      <c r="D28" s="25"/>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23"/>
      <c r="B29" s="24"/>
      <c r="C29" s="25"/>
      <c r="D29" s="25"/>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23"/>
      <c r="B30" s="24"/>
      <c r="C30" s="25"/>
      <c r="D30" s="25"/>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3"/>
      <c r="B32" s="24"/>
      <c r="C32" s="25"/>
      <c r="D32" s="25"/>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3"/>
      <c r="B33" s="24"/>
      <c r="C33" s="25"/>
      <c r="D33" s="25"/>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23"/>
      <c r="B34" s="24"/>
      <c r="C34" s="25"/>
      <c r="D34" s="25"/>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23"/>
      <c r="B35" s="24"/>
      <c r="C35" s="25"/>
      <c r="D35" s="25"/>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61"/>
      <c r="B103" s="23"/>
      <c r="C103" s="24"/>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61"/>
      <c r="B104" s="23"/>
      <c r="C104" s="24"/>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61"/>
      <c r="B105" s="23"/>
      <c r="C105" s="24"/>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61"/>
      <c r="B106" s="23"/>
      <c r="C106" s="24"/>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61"/>
      <c r="B107" s="23"/>
      <c r="C107" s="24"/>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61"/>
      <c r="B108" s="23"/>
      <c r="C108" s="24"/>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61"/>
      <c r="B109" s="23"/>
      <c r="C109" s="24"/>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61"/>
      <c r="B110" s="23"/>
      <c r="C110" s="24"/>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61"/>
      <c r="B111" s="23"/>
      <c r="C111" s="24"/>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61"/>
      <c r="B112" s="23"/>
      <c r="C112" s="24"/>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61"/>
      <c r="B113" s="23"/>
      <c r="C113" s="24"/>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61"/>
      <c r="B114" s="23"/>
      <c r="C114" s="24"/>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61"/>
      <c r="B115" s="23"/>
      <c r="C115" s="24"/>
      <c r="D115" s="25"/>
      <c r="E115" s="25"/>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61"/>
      <c r="B116" s="23"/>
      <c r="C116" s="24"/>
      <c r="D116" s="25"/>
      <c r="E116" s="25"/>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61"/>
      <c r="B117" s="23"/>
      <c r="C117" s="24"/>
      <c r="D117" s="25"/>
      <c r="E117" s="25"/>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61"/>
      <c r="B118" s="23"/>
      <c r="C118" s="24"/>
      <c r="D118" s="25"/>
      <c r="E118" s="25"/>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61"/>
      <c r="B119" s="23"/>
      <c r="C119" s="24"/>
      <c r="D119" s="25"/>
      <c r="E119" s="25"/>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61"/>
      <c r="B120" s="23"/>
      <c r="C120" s="24"/>
      <c r="D120" s="25"/>
      <c r="E120" s="25"/>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61"/>
      <c r="B121" s="23"/>
      <c r="C121" s="24"/>
      <c r="D121" s="25"/>
      <c r="E121" s="25"/>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61"/>
      <c r="B122" s="23"/>
      <c r="C122" s="24"/>
      <c r="D122" s="25"/>
      <c r="E122" s="25"/>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61"/>
      <c r="B123" s="23"/>
      <c r="C123" s="24"/>
      <c r="D123" s="25"/>
      <c r="E123" s="25"/>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61"/>
      <c r="B124" s="23"/>
      <c r="C124" s="24"/>
      <c r="D124" s="25"/>
      <c r="E124" s="25"/>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61"/>
      <c r="B125" s="23"/>
      <c r="C125" s="24"/>
      <c r="D125" s="25"/>
      <c r="E125" s="25"/>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61"/>
      <c r="B126" s="23"/>
      <c r="C126" s="24"/>
      <c r="D126" s="25"/>
      <c r="E126" s="25"/>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61"/>
      <c r="B127" s="23"/>
      <c r="C127" s="24"/>
      <c r="D127" s="25"/>
      <c r="E127" s="25"/>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61"/>
      <c r="B128" s="23"/>
      <c r="C128" s="24"/>
      <c r="D128" s="25"/>
      <c r="E128" s="25"/>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61"/>
      <c r="B129" s="23"/>
      <c r="C129" s="24"/>
      <c r="D129" s="25"/>
      <c r="E129" s="25"/>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61"/>
      <c r="B130" s="23"/>
      <c r="C130" s="24"/>
      <c r="D130" s="25"/>
      <c r="E130" s="25"/>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61"/>
      <c r="B131" s="23"/>
      <c r="C131" s="24"/>
      <c r="D131" s="25"/>
      <c r="E131" s="25"/>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61"/>
      <c r="B132" s="23"/>
      <c r="C132" s="24"/>
      <c r="D132" s="25"/>
      <c r="E132" s="25"/>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61"/>
      <c r="B133" s="23"/>
      <c r="C133" s="24"/>
      <c r="D133" s="25"/>
      <c r="E133" s="25"/>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61"/>
      <c r="B134" s="23"/>
      <c r="C134" s="24"/>
      <c r="D134" s="25"/>
      <c r="E134" s="25"/>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61"/>
      <c r="B135" s="23"/>
      <c r="C135" s="24"/>
      <c r="D135" s="25"/>
      <c r="E135" s="25"/>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61"/>
      <c r="B136" s="23"/>
      <c r="C136" s="24"/>
      <c r="D136" s="25"/>
      <c r="E136" s="25"/>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61"/>
      <c r="B137" s="23"/>
      <c r="C137" s="24"/>
      <c r="D137" s="25"/>
      <c r="E137" s="25"/>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61"/>
      <c r="B138" s="23"/>
      <c r="C138" s="24"/>
      <c r="D138" s="25"/>
      <c r="E138" s="25"/>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61"/>
      <c r="B139" s="23"/>
      <c r="C139" s="24"/>
      <c r="D139" s="25"/>
      <c r="E139" s="25"/>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61"/>
      <c r="B140" s="23"/>
      <c r="C140" s="24"/>
      <c r="D140" s="25"/>
      <c r="E140" s="25"/>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61"/>
      <c r="B141" s="23"/>
      <c r="C141" s="24"/>
      <c r="D141" s="25"/>
      <c r="E141" s="25"/>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61"/>
      <c r="B142" s="23"/>
      <c r="C142" s="24"/>
      <c r="D142" s="25"/>
      <c r="E142" s="25"/>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25"/>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25"/>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25"/>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25"/>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25"/>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25"/>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25"/>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25"/>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25"/>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25"/>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25"/>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25"/>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sheetData>
  <mergeCells count="1">
    <mergeCell ref="A14:B14"/>
  </mergeCells>
  <phoneticPr fontId="24" type="noConversion"/>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89"/>
  <sheetViews>
    <sheetView topLeftCell="A19" zoomScale="79" zoomScaleNormal="79" workbookViewId="0">
      <selection activeCell="D3" sqref="D3"/>
    </sheetView>
  </sheetViews>
  <sheetFormatPr defaultColWidth="14.42578125" defaultRowHeight="15" customHeight="1" x14ac:dyDescent="0.25"/>
  <cols>
    <col min="1" max="1" width="8.140625" customWidth="1"/>
    <col min="2" max="2" width="33.140625" customWidth="1"/>
    <col min="3" max="3" width="20" customWidth="1"/>
    <col min="4" max="4" width="56.5703125" customWidth="1"/>
    <col min="5" max="5" width="46" customWidth="1"/>
    <col min="6" max="6" width="48.85546875" customWidth="1"/>
    <col min="7" max="7" width="51.7109375" customWidth="1"/>
    <col min="8" max="8" width="32.85546875" customWidth="1"/>
    <col min="9" max="9" width="39.5703125" customWidth="1"/>
    <col min="10" max="26" width="8.85546875" customWidth="1"/>
  </cols>
  <sheetData>
    <row r="1" spans="1:26" ht="31.5" customHeight="1" thickBot="1" x14ac:dyDescent="0.3">
      <c r="A1" s="271" t="s">
        <v>0</v>
      </c>
      <c r="B1" s="273" t="s">
        <v>1</v>
      </c>
      <c r="C1" s="274"/>
      <c r="D1" s="274"/>
      <c r="E1" s="274"/>
      <c r="F1" s="275"/>
      <c r="G1" s="1"/>
      <c r="H1" s="1"/>
      <c r="I1" s="1"/>
      <c r="J1" s="1"/>
      <c r="K1" s="1"/>
      <c r="L1" s="1"/>
      <c r="M1" s="1"/>
      <c r="N1" s="1"/>
      <c r="O1" s="1"/>
      <c r="P1" s="1"/>
      <c r="Q1" s="1"/>
      <c r="R1" s="1"/>
      <c r="S1" s="1"/>
      <c r="T1" s="1"/>
      <c r="U1" s="1"/>
      <c r="V1" s="1"/>
      <c r="W1" s="1"/>
      <c r="X1" s="1"/>
      <c r="Y1" s="1"/>
      <c r="Z1" s="1"/>
    </row>
    <row r="2" spans="1:26" ht="16.5" thickBot="1" x14ac:dyDescent="0.3">
      <c r="A2" s="272"/>
      <c r="B2" s="2" t="s">
        <v>2</v>
      </c>
      <c r="C2" s="3" t="s">
        <v>3</v>
      </c>
      <c r="D2" s="3" t="s">
        <v>4</v>
      </c>
      <c r="E2" s="3" t="s">
        <v>5</v>
      </c>
      <c r="F2" s="3" t="s">
        <v>6</v>
      </c>
      <c r="G2" s="4"/>
      <c r="H2" s="4"/>
      <c r="I2" s="4"/>
      <c r="J2" s="4"/>
      <c r="K2" s="4"/>
      <c r="L2" s="4"/>
      <c r="M2" s="4"/>
      <c r="N2" s="4"/>
      <c r="O2" s="4"/>
      <c r="P2" s="4"/>
      <c r="Q2" s="4"/>
      <c r="R2" s="4"/>
      <c r="S2" s="4"/>
      <c r="T2" s="4"/>
      <c r="U2" s="4"/>
      <c r="V2" s="4"/>
      <c r="W2" s="4"/>
      <c r="X2" s="4"/>
      <c r="Y2" s="4"/>
      <c r="Z2" s="4"/>
    </row>
    <row r="3" spans="1:26" ht="18.75" customHeight="1" thickBot="1" x14ac:dyDescent="0.3">
      <c r="A3" s="3">
        <v>1</v>
      </c>
      <c r="B3" s="5" t="s">
        <v>7</v>
      </c>
      <c r="C3" s="276" t="s">
        <v>418</v>
      </c>
      <c r="D3" s="6">
        <v>133570</v>
      </c>
      <c r="E3" s="6">
        <v>0</v>
      </c>
      <c r="F3" s="278" t="s">
        <v>446</v>
      </c>
      <c r="G3" s="1"/>
      <c r="H3" s="1"/>
      <c r="I3" s="1"/>
      <c r="J3" s="1"/>
      <c r="K3" s="1"/>
      <c r="L3" s="1"/>
      <c r="M3" s="1"/>
      <c r="N3" s="1"/>
      <c r="O3" s="1"/>
      <c r="P3" s="1"/>
      <c r="Q3" s="1"/>
      <c r="R3" s="1"/>
      <c r="S3" s="1"/>
      <c r="T3" s="1"/>
      <c r="U3" s="1"/>
      <c r="V3" s="1"/>
      <c r="W3" s="1"/>
      <c r="X3" s="1"/>
      <c r="Y3" s="1"/>
      <c r="Z3" s="1"/>
    </row>
    <row r="4" spans="1:26" ht="21" customHeight="1" thickBot="1" x14ac:dyDescent="0.3">
      <c r="A4" s="3">
        <v>2</v>
      </c>
      <c r="B4" s="5" t="s">
        <v>11</v>
      </c>
      <c r="C4" s="277"/>
      <c r="D4" s="7">
        <v>16</v>
      </c>
      <c r="E4" s="7">
        <v>0</v>
      </c>
      <c r="F4" s="277"/>
      <c r="G4" s="1"/>
      <c r="H4" s="1"/>
      <c r="I4" s="1"/>
      <c r="J4" s="1"/>
      <c r="K4" s="1"/>
      <c r="L4" s="1"/>
      <c r="M4" s="1"/>
      <c r="N4" s="1"/>
      <c r="O4" s="1"/>
      <c r="P4" s="1"/>
      <c r="Q4" s="1"/>
      <c r="R4" s="1"/>
      <c r="S4" s="1"/>
      <c r="T4" s="1"/>
      <c r="U4" s="1"/>
      <c r="V4" s="1"/>
      <c r="W4" s="1"/>
      <c r="X4" s="1"/>
      <c r="Y4" s="1"/>
      <c r="Z4" s="1"/>
    </row>
    <row r="5" spans="1:26" ht="19.5" customHeight="1" thickBot="1" x14ac:dyDescent="0.3">
      <c r="A5" s="3">
        <v>3</v>
      </c>
      <c r="B5" s="5" t="s">
        <v>12</v>
      </c>
      <c r="C5" s="277"/>
      <c r="D5" s="6">
        <v>8348</v>
      </c>
      <c r="E5" s="6">
        <v>0</v>
      </c>
      <c r="F5" s="277"/>
      <c r="G5" s="1"/>
      <c r="H5" s="1"/>
      <c r="I5" s="1"/>
      <c r="J5" s="1"/>
      <c r="K5" s="1"/>
      <c r="L5" s="1"/>
      <c r="M5" s="1"/>
      <c r="N5" s="1"/>
      <c r="O5" s="1"/>
      <c r="P5" s="1"/>
      <c r="Q5" s="1"/>
      <c r="R5" s="1"/>
      <c r="S5" s="1"/>
      <c r="T5" s="1"/>
      <c r="U5" s="1"/>
      <c r="V5" s="1"/>
      <c r="W5" s="1"/>
      <c r="X5" s="1"/>
      <c r="Y5" s="1"/>
      <c r="Z5" s="1"/>
    </row>
    <row r="6" spans="1:26" ht="29.25" customHeight="1" thickBot="1" x14ac:dyDescent="0.3">
      <c r="A6" s="3">
        <v>4</v>
      </c>
      <c r="B6" s="5" t="s">
        <v>13</v>
      </c>
      <c r="C6" s="277"/>
      <c r="D6" s="5">
        <v>0</v>
      </c>
      <c r="E6" s="5">
        <v>0</v>
      </c>
      <c r="F6" s="277"/>
      <c r="G6" s="1"/>
      <c r="H6" s="1"/>
      <c r="I6" s="1"/>
      <c r="J6" s="1"/>
      <c r="K6" s="1"/>
      <c r="L6" s="1"/>
      <c r="M6" s="1"/>
      <c r="N6" s="1"/>
      <c r="O6" s="1"/>
      <c r="P6" s="1"/>
      <c r="Q6" s="1"/>
      <c r="R6" s="1"/>
      <c r="S6" s="1"/>
      <c r="T6" s="1"/>
      <c r="U6" s="1"/>
      <c r="V6" s="1"/>
      <c r="W6" s="1"/>
      <c r="X6" s="1"/>
      <c r="Y6" s="1"/>
      <c r="Z6" s="1"/>
    </row>
    <row r="7" spans="1:26" ht="36.75" customHeight="1" thickBot="1" x14ac:dyDescent="0.3">
      <c r="A7" s="3">
        <v>5</v>
      </c>
      <c r="B7" s="8" t="s">
        <v>14</v>
      </c>
      <c r="C7" s="277"/>
      <c r="D7" s="9">
        <v>0</v>
      </c>
      <c r="E7" s="10">
        <v>0</v>
      </c>
      <c r="F7" s="277"/>
      <c r="G7" s="1"/>
      <c r="H7" s="1"/>
      <c r="I7" s="1"/>
      <c r="J7" s="1"/>
      <c r="K7" s="1"/>
      <c r="L7" s="1"/>
      <c r="M7" s="1"/>
      <c r="N7" s="1"/>
      <c r="O7" s="1"/>
      <c r="P7" s="1"/>
      <c r="Q7" s="1"/>
      <c r="R7" s="1"/>
      <c r="S7" s="1"/>
      <c r="T7" s="1"/>
      <c r="U7" s="1"/>
      <c r="V7" s="1"/>
      <c r="W7" s="1"/>
      <c r="X7" s="1"/>
      <c r="Y7" s="1"/>
      <c r="Z7" s="1"/>
    </row>
    <row r="8" spans="1:26" ht="72" customHeight="1" thickBot="1" x14ac:dyDescent="0.3">
      <c r="A8" s="3">
        <v>6</v>
      </c>
      <c r="B8" s="8" t="s">
        <v>15</v>
      </c>
      <c r="C8" s="277"/>
      <c r="D8" s="11" t="s">
        <v>420</v>
      </c>
      <c r="E8" s="12" t="s">
        <v>428</v>
      </c>
      <c r="F8" s="277"/>
      <c r="G8" s="1"/>
      <c r="H8" s="1"/>
      <c r="I8" s="1"/>
      <c r="J8" s="1"/>
      <c r="K8" s="1"/>
      <c r="L8" s="1"/>
      <c r="M8" s="1"/>
      <c r="N8" s="1"/>
      <c r="O8" s="1"/>
      <c r="P8" s="1"/>
      <c r="Q8" s="1"/>
      <c r="R8" s="1"/>
      <c r="S8" s="1"/>
      <c r="T8" s="1"/>
      <c r="U8" s="1"/>
      <c r="V8" s="1"/>
      <c r="W8" s="1"/>
      <c r="X8" s="1"/>
      <c r="Y8" s="1"/>
      <c r="Z8" s="1"/>
    </row>
    <row r="9" spans="1:26" ht="57" customHeight="1" thickBot="1" x14ac:dyDescent="0.3">
      <c r="A9" s="3">
        <v>7</v>
      </c>
      <c r="B9" s="8" t="s">
        <v>18</v>
      </c>
      <c r="C9" s="277"/>
      <c r="D9" s="8">
        <v>0</v>
      </c>
      <c r="E9" s="8">
        <v>0</v>
      </c>
      <c r="F9" s="277"/>
      <c r="G9" s="1"/>
      <c r="H9" s="1"/>
      <c r="I9" s="1"/>
      <c r="J9" s="1"/>
      <c r="K9" s="1"/>
      <c r="L9" s="1"/>
      <c r="M9" s="1"/>
      <c r="N9" s="1"/>
      <c r="O9" s="1"/>
      <c r="P9" s="1"/>
      <c r="Q9" s="1"/>
      <c r="R9" s="1"/>
      <c r="S9" s="1"/>
      <c r="T9" s="1"/>
      <c r="U9" s="1"/>
      <c r="V9" s="1"/>
      <c r="W9" s="1"/>
      <c r="X9" s="1"/>
      <c r="Y9" s="1"/>
      <c r="Z9" s="1"/>
    </row>
    <row r="10" spans="1:26" ht="43.5" customHeight="1" thickBot="1" x14ac:dyDescent="0.3">
      <c r="A10" s="3">
        <v>8</v>
      </c>
      <c r="B10" s="5" t="s">
        <v>19</v>
      </c>
      <c r="C10" s="272"/>
      <c r="D10" s="13">
        <v>0</v>
      </c>
      <c r="E10" s="14">
        <v>0</v>
      </c>
      <c r="F10" s="277"/>
      <c r="G10" s="1"/>
      <c r="H10" s="1"/>
      <c r="I10" s="1"/>
      <c r="J10" s="1"/>
      <c r="K10" s="1"/>
      <c r="L10" s="1"/>
      <c r="M10" s="1"/>
      <c r="N10" s="1"/>
      <c r="O10" s="1"/>
      <c r="P10" s="1"/>
      <c r="Q10" s="1"/>
      <c r="R10" s="1"/>
      <c r="S10" s="1"/>
      <c r="T10" s="1"/>
      <c r="U10" s="1"/>
      <c r="V10" s="1"/>
      <c r="W10" s="1"/>
      <c r="X10" s="1"/>
      <c r="Y10" s="1"/>
      <c r="Z10" s="1"/>
    </row>
    <row r="11" spans="1:26" ht="90.75" customHeight="1" thickTop="1" thickBot="1" x14ac:dyDescent="0.3">
      <c r="A11" s="3">
        <v>9</v>
      </c>
      <c r="B11" s="5" t="s">
        <v>20</v>
      </c>
      <c r="C11" s="15" t="s">
        <v>403</v>
      </c>
      <c r="D11" s="16" t="s">
        <v>404</v>
      </c>
      <c r="E11" s="17" t="s">
        <v>405</v>
      </c>
      <c r="F11" s="277"/>
      <c r="G11" s="1"/>
      <c r="H11" s="1"/>
      <c r="I11" s="1"/>
      <c r="J11" s="1"/>
      <c r="K11" s="1"/>
      <c r="L11" s="1"/>
      <c r="M11" s="1"/>
      <c r="N11" s="1"/>
      <c r="O11" s="1"/>
      <c r="P11" s="1"/>
      <c r="Q11" s="1"/>
      <c r="R11" s="1"/>
      <c r="S11" s="1"/>
      <c r="T11" s="1"/>
      <c r="U11" s="1"/>
      <c r="V11" s="1"/>
      <c r="W11" s="1"/>
      <c r="X11" s="1"/>
      <c r="Y11" s="1"/>
      <c r="Z11" s="1"/>
    </row>
    <row r="12" spans="1:26" ht="116.25" customHeight="1" thickBot="1" x14ac:dyDescent="0.3">
      <c r="A12" s="3">
        <v>10</v>
      </c>
      <c r="B12" s="5" t="s">
        <v>24</v>
      </c>
      <c r="C12" s="276" t="s">
        <v>370</v>
      </c>
      <c r="D12" s="18" t="s">
        <v>421</v>
      </c>
      <c r="E12" s="18" t="s">
        <v>444</v>
      </c>
      <c r="F12" s="277"/>
      <c r="G12" s="1"/>
      <c r="H12" s="1"/>
      <c r="I12" s="1"/>
      <c r="J12" s="1"/>
      <c r="K12" s="1"/>
      <c r="L12" s="1"/>
      <c r="M12" s="1"/>
      <c r="N12" s="1"/>
      <c r="O12" s="1"/>
      <c r="P12" s="1"/>
      <c r="Q12" s="1"/>
      <c r="R12" s="1"/>
      <c r="S12" s="1"/>
      <c r="T12" s="1"/>
      <c r="U12" s="1"/>
      <c r="V12" s="1"/>
      <c r="W12" s="1"/>
      <c r="X12" s="1"/>
      <c r="Y12" s="1"/>
      <c r="Z12" s="1"/>
    </row>
    <row r="13" spans="1:26" ht="132" customHeight="1" thickTop="1" thickBot="1" x14ac:dyDescent="0.3">
      <c r="A13" s="3">
        <v>11</v>
      </c>
      <c r="B13" s="5" t="s">
        <v>27</v>
      </c>
      <c r="C13" s="277"/>
      <c r="D13" s="17" t="s">
        <v>422</v>
      </c>
      <c r="E13" s="17" t="s">
        <v>445</v>
      </c>
      <c r="F13" s="277"/>
      <c r="G13" s="1"/>
      <c r="H13" s="1"/>
      <c r="I13" s="1"/>
      <c r="J13" s="1"/>
      <c r="K13" s="1"/>
      <c r="L13" s="1"/>
      <c r="M13" s="1"/>
      <c r="N13" s="1"/>
      <c r="O13" s="1"/>
      <c r="P13" s="1"/>
      <c r="Q13" s="1"/>
      <c r="R13" s="1"/>
      <c r="S13" s="1"/>
      <c r="T13" s="1"/>
      <c r="U13" s="1"/>
      <c r="V13" s="1"/>
      <c r="W13" s="1"/>
      <c r="X13" s="1"/>
      <c r="Y13" s="1"/>
      <c r="Z13" s="1"/>
    </row>
    <row r="14" spans="1:26" ht="52.5" customHeight="1" thickBot="1" x14ac:dyDescent="0.3">
      <c r="A14" s="3">
        <v>12</v>
      </c>
      <c r="B14" s="8" t="s">
        <v>30</v>
      </c>
      <c r="C14" s="277"/>
      <c r="D14" s="19" t="s">
        <v>423</v>
      </c>
      <c r="E14" s="20"/>
      <c r="F14" s="277"/>
      <c r="G14" s="1"/>
      <c r="H14" s="1"/>
      <c r="I14" s="1"/>
      <c r="J14" s="1"/>
      <c r="K14" s="1"/>
      <c r="L14" s="1"/>
      <c r="M14" s="1"/>
      <c r="N14" s="1"/>
      <c r="O14" s="1"/>
      <c r="P14" s="1"/>
      <c r="Q14" s="1"/>
      <c r="R14" s="1"/>
      <c r="S14" s="1"/>
      <c r="T14" s="1"/>
      <c r="U14" s="1"/>
      <c r="V14" s="1"/>
      <c r="W14" s="1"/>
      <c r="X14" s="1"/>
      <c r="Y14" s="1"/>
      <c r="Z14" s="1"/>
    </row>
    <row r="15" spans="1:26" ht="81.75" customHeight="1" thickBot="1" x14ac:dyDescent="0.3">
      <c r="A15" s="3">
        <v>13</v>
      </c>
      <c r="B15" s="5" t="s">
        <v>32</v>
      </c>
      <c r="C15" s="277"/>
      <c r="D15" s="21" t="s">
        <v>424</v>
      </c>
      <c r="E15" s="21"/>
      <c r="F15" s="277"/>
      <c r="G15" s="1"/>
      <c r="H15" s="1"/>
      <c r="I15" s="1"/>
      <c r="J15" s="1"/>
      <c r="K15" s="1"/>
      <c r="L15" s="1"/>
      <c r="M15" s="1"/>
      <c r="N15" s="1"/>
      <c r="O15" s="1"/>
      <c r="P15" s="1"/>
      <c r="Q15" s="1"/>
      <c r="R15" s="1"/>
      <c r="S15" s="1"/>
      <c r="T15" s="1"/>
      <c r="U15" s="1"/>
      <c r="V15" s="1"/>
      <c r="W15" s="1"/>
      <c r="X15" s="1"/>
      <c r="Y15" s="1"/>
      <c r="Z15" s="1"/>
    </row>
    <row r="16" spans="1:26" ht="97.5" customHeight="1" thickBot="1" x14ac:dyDescent="0.3">
      <c r="A16" s="3">
        <v>14</v>
      </c>
      <c r="B16" s="8" t="s">
        <v>35</v>
      </c>
      <c r="C16" s="277"/>
      <c r="D16" s="12" t="s">
        <v>425</v>
      </c>
      <c r="E16" s="12"/>
      <c r="F16" s="277"/>
      <c r="G16" s="1"/>
      <c r="H16" s="1"/>
      <c r="I16" s="1"/>
      <c r="J16" s="1"/>
      <c r="K16" s="1"/>
      <c r="L16" s="1"/>
      <c r="M16" s="1"/>
      <c r="N16" s="1"/>
      <c r="O16" s="1"/>
      <c r="P16" s="1"/>
      <c r="Q16" s="1"/>
      <c r="R16" s="1"/>
      <c r="S16" s="1"/>
      <c r="T16" s="1"/>
      <c r="U16" s="1"/>
      <c r="V16" s="1"/>
      <c r="W16" s="1"/>
      <c r="X16" s="1"/>
      <c r="Y16" s="1"/>
      <c r="Z16" s="1"/>
    </row>
    <row r="17" spans="1:26" ht="90.75" customHeight="1" thickBot="1" x14ac:dyDescent="0.3">
      <c r="A17" s="3">
        <v>15</v>
      </c>
      <c r="B17" s="5" t="s">
        <v>38</v>
      </c>
      <c r="C17" s="277"/>
      <c r="D17" s="21" t="s">
        <v>426</v>
      </c>
      <c r="E17" s="21"/>
      <c r="F17" s="277"/>
      <c r="G17" s="1"/>
      <c r="H17" s="1"/>
      <c r="I17" s="1"/>
      <c r="J17" s="1"/>
      <c r="K17" s="1"/>
      <c r="L17" s="1"/>
      <c r="M17" s="1"/>
      <c r="N17" s="1"/>
      <c r="O17" s="1"/>
      <c r="P17" s="1"/>
      <c r="Q17" s="1"/>
      <c r="R17" s="1"/>
      <c r="S17" s="1"/>
      <c r="T17" s="1"/>
      <c r="U17" s="1"/>
      <c r="V17" s="1"/>
      <c r="W17" s="1"/>
      <c r="X17" s="1"/>
      <c r="Y17" s="1"/>
      <c r="Z17" s="1"/>
    </row>
    <row r="18" spans="1:26" ht="133.5" customHeight="1" thickBot="1" x14ac:dyDescent="0.3">
      <c r="A18" s="3">
        <v>16</v>
      </c>
      <c r="B18" s="5" t="s">
        <v>41</v>
      </c>
      <c r="C18" s="277"/>
      <c r="D18" s="21" t="s">
        <v>427</v>
      </c>
      <c r="E18" s="22"/>
      <c r="F18" s="272"/>
      <c r="G18" s="1"/>
      <c r="H18" s="1"/>
      <c r="I18" s="1"/>
      <c r="J18" s="1"/>
      <c r="K18" s="1"/>
      <c r="L18" s="1"/>
      <c r="M18" s="1"/>
      <c r="N18" s="1"/>
      <c r="O18" s="1"/>
      <c r="P18" s="1"/>
      <c r="Q18" s="1"/>
      <c r="R18" s="1"/>
      <c r="S18" s="1"/>
      <c r="T18" s="1"/>
      <c r="U18" s="1"/>
      <c r="V18" s="1"/>
      <c r="W18" s="1"/>
      <c r="X18" s="1"/>
      <c r="Y18" s="1"/>
      <c r="Z18" s="1"/>
    </row>
    <row r="19" spans="1:26" ht="1.5" customHeight="1" thickBot="1" x14ac:dyDescent="0.3">
      <c r="A19" s="23"/>
      <c r="B19" s="24"/>
      <c r="C19" s="272"/>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26"/>
      <c r="B20" s="26" t="s">
        <v>43</v>
      </c>
      <c r="C20" s="27"/>
      <c r="D20" s="27"/>
      <c r="E20" s="27"/>
      <c r="F20" s="27"/>
      <c r="G20" s="27"/>
      <c r="H20" s="27"/>
      <c r="I20" s="27"/>
      <c r="J20" s="1"/>
      <c r="K20" s="1"/>
      <c r="L20" s="1"/>
      <c r="M20" s="1"/>
      <c r="N20" s="1"/>
      <c r="O20" s="1"/>
      <c r="P20" s="1"/>
      <c r="Q20" s="1"/>
      <c r="R20" s="1"/>
      <c r="S20" s="1"/>
      <c r="T20" s="1"/>
      <c r="U20" s="1"/>
      <c r="V20" s="1"/>
      <c r="W20" s="1"/>
      <c r="X20" s="1"/>
      <c r="Y20" s="1"/>
      <c r="Z20" s="1"/>
    </row>
    <row r="21" spans="1:26" ht="36" customHeight="1" x14ac:dyDescent="0.25">
      <c r="A21" s="28" t="s">
        <v>44</v>
      </c>
      <c r="B21" s="29" t="s">
        <v>45</v>
      </c>
      <c r="C21" s="28" t="s">
        <v>46</v>
      </c>
      <c r="D21" s="28" t="s">
        <v>47</v>
      </c>
      <c r="E21" s="28" t="s">
        <v>48</v>
      </c>
      <c r="F21" s="28" t="s">
        <v>49</v>
      </c>
      <c r="G21" s="28"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259" t="s">
        <v>429</v>
      </c>
      <c r="B22" s="33" t="s">
        <v>53</v>
      </c>
      <c r="C22" s="34">
        <v>1</v>
      </c>
      <c r="D22" s="33">
        <v>15950</v>
      </c>
      <c r="E22" s="34">
        <v>2300</v>
      </c>
      <c r="F22" s="34"/>
      <c r="G22" s="35" t="s">
        <v>436</v>
      </c>
      <c r="H22" s="36"/>
      <c r="I22" s="37" t="s">
        <v>417</v>
      </c>
      <c r="J22" s="1"/>
      <c r="K22" s="1"/>
      <c r="L22" s="1"/>
      <c r="M22" s="1"/>
      <c r="N22" s="1"/>
      <c r="O22" s="1"/>
      <c r="P22" s="1"/>
      <c r="Q22" s="1"/>
      <c r="R22" s="1"/>
      <c r="S22" s="1"/>
      <c r="T22" s="1"/>
      <c r="U22" s="1"/>
      <c r="V22" s="1"/>
      <c r="W22" s="1"/>
      <c r="X22" s="1"/>
      <c r="Y22" s="1"/>
      <c r="Z22" s="1"/>
    </row>
    <row r="23" spans="1:26" ht="15.75" customHeight="1" x14ac:dyDescent="0.25">
      <c r="A23" s="259" t="s">
        <v>430</v>
      </c>
      <c r="B23" s="33" t="s">
        <v>58</v>
      </c>
      <c r="C23" s="34">
        <v>1</v>
      </c>
      <c r="D23" s="33">
        <v>14600</v>
      </c>
      <c r="E23" s="34">
        <v>2500</v>
      </c>
      <c r="F23" s="34"/>
      <c r="G23" s="260" t="s">
        <v>437</v>
      </c>
      <c r="H23" s="38"/>
      <c r="I23" s="262" t="s">
        <v>417</v>
      </c>
      <c r="J23" s="1"/>
      <c r="K23" s="1"/>
      <c r="L23" s="1"/>
      <c r="M23" s="1"/>
      <c r="N23" s="1"/>
      <c r="O23" s="1"/>
      <c r="P23" s="1"/>
      <c r="Q23" s="1"/>
      <c r="R23" s="1"/>
      <c r="S23" s="1"/>
      <c r="T23" s="1"/>
      <c r="U23" s="1"/>
      <c r="V23" s="1"/>
      <c r="W23" s="1"/>
      <c r="X23" s="1"/>
      <c r="Y23" s="1"/>
      <c r="Z23" s="1"/>
    </row>
    <row r="24" spans="1:26" ht="15.75" customHeight="1" x14ac:dyDescent="0.25">
      <c r="A24" s="259" t="s">
        <v>431</v>
      </c>
      <c r="B24" s="33" t="s">
        <v>62</v>
      </c>
      <c r="C24" s="34">
        <v>1</v>
      </c>
      <c r="D24" s="33">
        <v>12000</v>
      </c>
      <c r="E24" s="34">
        <v>2500</v>
      </c>
      <c r="F24" s="34"/>
      <c r="G24" s="38" t="s">
        <v>438</v>
      </c>
      <c r="H24" s="39"/>
      <c r="I24" s="37"/>
      <c r="J24" s="1"/>
      <c r="K24" s="1"/>
      <c r="L24" s="1"/>
      <c r="M24" s="1"/>
      <c r="N24" s="1"/>
      <c r="O24" s="1"/>
      <c r="P24" s="1"/>
      <c r="Q24" s="1"/>
      <c r="R24" s="1"/>
      <c r="S24" s="1"/>
      <c r="T24" s="1"/>
      <c r="U24" s="1"/>
      <c r="V24" s="1"/>
      <c r="W24" s="1"/>
      <c r="X24" s="1"/>
      <c r="Y24" s="1"/>
      <c r="Z24" s="1"/>
    </row>
    <row r="25" spans="1:26" ht="15.75" customHeight="1" x14ac:dyDescent="0.25">
      <c r="A25" s="259" t="s">
        <v>432</v>
      </c>
      <c r="B25" s="33" t="s">
        <v>66</v>
      </c>
      <c r="C25" s="34"/>
      <c r="D25" s="34"/>
      <c r="E25" s="34"/>
      <c r="F25" s="34"/>
      <c r="G25" s="260"/>
      <c r="H25" s="39"/>
      <c r="I25" s="262" t="s">
        <v>417</v>
      </c>
      <c r="J25" s="1"/>
      <c r="K25" s="1"/>
      <c r="L25" s="1"/>
      <c r="M25" s="1"/>
      <c r="N25" s="1"/>
      <c r="O25" s="1"/>
      <c r="P25" s="1"/>
      <c r="Q25" s="1"/>
      <c r="R25" s="1"/>
      <c r="S25" s="1"/>
      <c r="T25" s="1"/>
      <c r="U25" s="1"/>
      <c r="V25" s="1"/>
      <c r="W25" s="1"/>
      <c r="X25" s="1"/>
      <c r="Y25" s="1"/>
      <c r="Z25" s="1"/>
    </row>
    <row r="26" spans="1:26" ht="15.75" customHeight="1" x14ac:dyDescent="0.25">
      <c r="A26" s="259" t="s">
        <v>433</v>
      </c>
      <c r="B26" s="33" t="s">
        <v>69</v>
      </c>
      <c r="C26" s="34">
        <v>1</v>
      </c>
      <c r="D26" s="33">
        <v>11700</v>
      </c>
      <c r="E26" s="34">
        <v>3000</v>
      </c>
      <c r="F26" s="34"/>
      <c r="G26" s="40" t="s">
        <v>439</v>
      </c>
      <c r="H26" s="41"/>
      <c r="I26" s="37" t="s">
        <v>442</v>
      </c>
      <c r="J26" s="1"/>
      <c r="K26" s="1"/>
      <c r="L26" s="1"/>
      <c r="M26" s="1"/>
      <c r="N26" s="1"/>
      <c r="O26" s="1"/>
      <c r="P26" s="1"/>
      <c r="Q26" s="1"/>
      <c r="R26" s="1"/>
      <c r="S26" s="1"/>
      <c r="T26" s="1"/>
      <c r="U26" s="1"/>
      <c r="V26" s="1"/>
      <c r="W26" s="1"/>
      <c r="X26" s="1"/>
      <c r="Y26" s="1"/>
      <c r="Z26" s="1"/>
    </row>
    <row r="27" spans="1:26" ht="15.75" customHeight="1" x14ac:dyDescent="0.25">
      <c r="A27" s="259" t="s">
        <v>434</v>
      </c>
      <c r="B27" s="33" t="s">
        <v>70</v>
      </c>
      <c r="C27" s="34">
        <v>1</v>
      </c>
      <c r="D27" s="33">
        <v>13500</v>
      </c>
      <c r="E27" s="34">
        <v>2500</v>
      </c>
      <c r="F27" s="34"/>
      <c r="G27" s="260" t="s">
        <v>440</v>
      </c>
      <c r="H27" s="42"/>
      <c r="I27" s="263" t="s">
        <v>387</v>
      </c>
      <c r="J27" s="1"/>
      <c r="K27" s="1"/>
      <c r="L27" s="1"/>
      <c r="M27" s="1"/>
      <c r="N27" s="1"/>
      <c r="O27" s="1"/>
      <c r="P27" s="1"/>
      <c r="Q27" s="1"/>
      <c r="R27" s="1"/>
      <c r="S27" s="1"/>
      <c r="T27" s="1"/>
      <c r="U27" s="1"/>
      <c r="V27" s="1"/>
      <c r="W27" s="1"/>
      <c r="X27" s="1"/>
      <c r="Y27" s="1"/>
      <c r="Z27" s="1"/>
    </row>
    <row r="28" spans="1:26" ht="25.5" customHeight="1" x14ac:dyDescent="0.25">
      <c r="A28" s="259" t="s">
        <v>435</v>
      </c>
      <c r="B28" s="33" t="s">
        <v>71</v>
      </c>
      <c r="C28" s="34">
        <v>3</v>
      </c>
      <c r="D28" s="33">
        <v>51390</v>
      </c>
      <c r="E28" s="34">
        <v>6700</v>
      </c>
      <c r="F28" s="261"/>
      <c r="G28" s="40" t="s">
        <v>441</v>
      </c>
      <c r="H28" s="41"/>
      <c r="I28" s="37" t="s">
        <v>443</v>
      </c>
      <c r="J28" s="1"/>
      <c r="K28" s="1"/>
      <c r="L28" s="1"/>
      <c r="M28" s="1"/>
      <c r="N28" s="1"/>
      <c r="O28" s="1"/>
      <c r="P28" s="1"/>
      <c r="Q28" s="1"/>
      <c r="R28" s="1"/>
      <c r="S28" s="1"/>
      <c r="T28" s="1"/>
      <c r="U28" s="1"/>
      <c r="V28" s="1"/>
      <c r="W28" s="1"/>
      <c r="X28" s="1"/>
      <c r="Y28" s="1"/>
      <c r="Z28" s="1"/>
    </row>
    <row r="29" spans="1:26" ht="15.75" customHeight="1" x14ac:dyDescent="0.25">
      <c r="A29" s="44"/>
      <c r="B29" s="45" t="s">
        <v>346</v>
      </c>
      <c r="C29" s="46">
        <v>5</v>
      </c>
      <c r="D29" s="45">
        <v>119140</v>
      </c>
      <c r="E29" s="46">
        <v>19500</v>
      </c>
      <c r="F29" s="46"/>
      <c r="G29" s="46"/>
      <c r="H29" s="47"/>
      <c r="I29" s="43"/>
      <c r="J29" s="1"/>
      <c r="K29" s="1"/>
      <c r="L29" s="1"/>
      <c r="M29" s="1"/>
      <c r="N29" s="1"/>
      <c r="O29" s="1"/>
      <c r="P29" s="1"/>
      <c r="Q29" s="1"/>
      <c r="R29" s="1"/>
      <c r="S29" s="1"/>
      <c r="T29" s="1"/>
      <c r="U29" s="1"/>
      <c r="V29" s="1"/>
      <c r="W29" s="1"/>
      <c r="X29" s="1"/>
      <c r="Y29" s="1"/>
      <c r="Z29" s="1"/>
    </row>
    <row r="30" spans="1:26" ht="15.75" customHeight="1" x14ac:dyDescent="0.25">
      <c r="A30" s="48"/>
      <c r="B30" s="48" t="s">
        <v>347</v>
      </c>
      <c r="C30" s="48">
        <v>5</v>
      </c>
      <c r="D30" s="48">
        <v>86600</v>
      </c>
      <c r="E30" s="48">
        <v>7190</v>
      </c>
      <c r="F30" s="48"/>
      <c r="G30" s="49"/>
      <c r="H30" s="50"/>
      <c r="I30" s="5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69" t="s">
        <v>72</v>
      </c>
      <c r="B32" s="270"/>
      <c r="C32" s="52" t="s">
        <v>73</v>
      </c>
      <c r="D32" s="52" t="s">
        <v>74</v>
      </c>
      <c r="E32" s="52" t="s">
        <v>75</v>
      </c>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80" t="s">
        <v>76</v>
      </c>
      <c r="B33" s="281"/>
      <c r="C33" s="53">
        <v>9</v>
      </c>
      <c r="D33" s="54">
        <v>81400</v>
      </c>
      <c r="E33" s="55">
        <v>14120</v>
      </c>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82" t="s">
        <v>77</v>
      </c>
      <c r="B34" s="270"/>
      <c r="C34" s="56">
        <v>23</v>
      </c>
      <c r="D34" s="56" t="s">
        <v>78</v>
      </c>
      <c r="E34" s="56" t="s">
        <v>79</v>
      </c>
      <c r="F34" s="57"/>
      <c r="G34" s="1"/>
      <c r="H34" s="1"/>
      <c r="I34" s="1"/>
      <c r="J34" s="1"/>
      <c r="K34" s="1"/>
      <c r="L34" s="1"/>
      <c r="M34" s="1"/>
      <c r="N34" s="1"/>
      <c r="O34" s="1"/>
      <c r="P34" s="1"/>
      <c r="Q34" s="1"/>
      <c r="R34" s="1"/>
      <c r="S34" s="1"/>
      <c r="T34" s="1"/>
      <c r="U34" s="1"/>
      <c r="V34" s="1"/>
      <c r="W34" s="1"/>
      <c r="X34" s="1"/>
      <c r="Y34" s="1"/>
      <c r="Z34" s="1"/>
    </row>
    <row r="35" spans="1:26" ht="15.6" customHeight="1" x14ac:dyDescent="0.25">
      <c r="A35" s="283" t="s">
        <v>21</v>
      </c>
      <c r="B35" s="270"/>
      <c r="C35" s="256">
        <v>30</v>
      </c>
      <c r="D35" s="59" t="s">
        <v>80</v>
      </c>
      <c r="E35" s="60" t="s">
        <v>81</v>
      </c>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57"/>
      <c r="B36" s="258" t="s">
        <v>406</v>
      </c>
      <c r="C36" s="257">
        <v>24</v>
      </c>
      <c r="D36" s="264">
        <v>417800</v>
      </c>
      <c r="E36" s="265">
        <v>29920</v>
      </c>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61"/>
      <c r="B121" s="23"/>
      <c r="C121" s="24"/>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61"/>
      <c r="B122" s="23"/>
      <c r="C122" s="24"/>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61"/>
      <c r="B123" s="23"/>
      <c r="C123" s="24"/>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61"/>
      <c r="B124" s="23"/>
      <c r="C124" s="24"/>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61"/>
      <c r="B125" s="23"/>
      <c r="C125" s="24"/>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61"/>
      <c r="B126" s="23"/>
      <c r="C126" s="24"/>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61"/>
      <c r="B127" s="23"/>
      <c r="C127" s="24"/>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61"/>
      <c r="B128" s="23"/>
      <c r="C128" s="24"/>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61"/>
      <c r="B129" s="23"/>
      <c r="C129" s="24"/>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61"/>
      <c r="B130" s="23"/>
      <c r="C130" s="24"/>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61"/>
      <c r="B131" s="23"/>
      <c r="C131" s="24"/>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61"/>
      <c r="B132" s="23"/>
      <c r="C132" s="24"/>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61"/>
      <c r="B133" s="23"/>
      <c r="C133" s="24"/>
      <c r="D133" s="25"/>
      <c r="E133" s="25"/>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61"/>
      <c r="B134" s="23"/>
      <c r="C134" s="24"/>
      <c r="D134" s="25"/>
      <c r="E134" s="25"/>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61"/>
      <c r="B135" s="23"/>
      <c r="C135" s="24"/>
      <c r="D135" s="25"/>
      <c r="E135" s="25"/>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61"/>
      <c r="B136" s="23"/>
      <c r="C136" s="24"/>
      <c r="D136" s="25"/>
      <c r="E136" s="25"/>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61"/>
      <c r="B137" s="23"/>
      <c r="C137" s="24"/>
      <c r="D137" s="25"/>
      <c r="E137" s="25"/>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61"/>
      <c r="B138" s="23"/>
      <c r="C138" s="24"/>
      <c r="D138" s="25"/>
      <c r="E138" s="25"/>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61"/>
      <c r="B139" s="23"/>
      <c r="C139" s="24"/>
      <c r="D139" s="25"/>
      <c r="E139" s="25"/>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61"/>
      <c r="B140" s="23"/>
      <c r="C140" s="24"/>
      <c r="D140" s="25"/>
      <c r="E140" s="25"/>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61"/>
      <c r="B141" s="23"/>
      <c r="C141" s="24"/>
      <c r="D141" s="25"/>
      <c r="E141" s="25"/>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61"/>
      <c r="B142" s="23"/>
      <c r="C142" s="24"/>
      <c r="D142" s="25"/>
      <c r="E142" s="25"/>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25"/>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25"/>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25"/>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25"/>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25"/>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25"/>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25"/>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25"/>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25"/>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25"/>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25"/>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25"/>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sheetData>
  <mergeCells count="9">
    <mergeCell ref="A33:B33"/>
    <mergeCell ref="A34:B34"/>
    <mergeCell ref="A35:B35"/>
    <mergeCell ref="A1:A2"/>
    <mergeCell ref="B1:F1"/>
    <mergeCell ref="C3:C10"/>
    <mergeCell ref="F3:F18"/>
    <mergeCell ref="C12:C19"/>
    <mergeCell ref="A32:B32"/>
  </mergeCells>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89"/>
  <sheetViews>
    <sheetView topLeftCell="A19" zoomScale="79" zoomScaleNormal="79" workbookViewId="0">
      <selection activeCell="D8" sqref="D8"/>
    </sheetView>
  </sheetViews>
  <sheetFormatPr defaultColWidth="14.42578125" defaultRowHeight="15" customHeight="1" x14ac:dyDescent="0.25"/>
  <cols>
    <col min="1" max="1" width="8.140625" customWidth="1"/>
    <col min="2" max="2" width="33.140625" customWidth="1"/>
    <col min="3" max="3" width="20" customWidth="1"/>
    <col min="4" max="4" width="56.5703125" customWidth="1"/>
    <col min="5" max="5" width="46" customWidth="1"/>
    <col min="6" max="6" width="48.85546875" customWidth="1"/>
    <col min="7" max="7" width="42.85546875" customWidth="1"/>
    <col min="8" max="8" width="32.85546875" customWidth="1"/>
    <col min="9" max="9" width="39.5703125" customWidth="1"/>
    <col min="10" max="26" width="8.85546875" customWidth="1"/>
  </cols>
  <sheetData>
    <row r="1" spans="1:26" ht="31.5" customHeight="1" thickBot="1" x14ac:dyDescent="0.3">
      <c r="A1" s="271" t="s">
        <v>0</v>
      </c>
      <c r="B1" s="273" t="s">
        <v>1</v>
      </c>
      <c r="C1" s="274"/>
      <c r="D1" s="274"/>
      <c r="E1" s="274"/>
      <c r="F1" s="275"/>
      <c r="G1" s="1"/>
      <c r="H1" s="1"/>
      <c r="I1" s="1"/>
      <c r="J1" s="1"/>
      <c r="K1" s="1"/>
      <c r="L1" s="1"/>
      <c r="M1" s="1"/>
      <c r="N1" s="1"/>
      <c r="O1" s="1"/>
      <c r="P1" s="1"/>
      <c r="Q1" s="1"/>
      <c r="R1" s="1"/>
      <c r="S1" s="1"/>
      <c r="T1" s="1"/>
      <c r="U1" s="1"/>
      <c r="V1" s="1"/>
      <c r="W1" s="1"/>
      <c r="X1" s="1"/>
      <c r="Y1" s="1"/>
      <c r="Z1" s="1"/>
    </row>
    <row r="2" spans="1:26" ht="16.5" thickBot="1" x14ac:dyDescent="0.3">
      <c r="A2" s="272"/>
      <c r="B2" s="2" t="s">
        <v>2</v>
      </c>
      <c r="C2" s="3" t="s">
        <v>3</v>
      </c>
      <c r="D2" s="3" t="s">
        <v>4</v>
      </c>
      <c r="E2" s="3" t="s">
        <v>5</v>
      </c>
      <c r="F2" s="3" t="s">
        <v>6</v>
      </c>
      <c r="G2" s="4"/>
      <c r="H2" s="4"/>
      <c r="I2" s="4"/>
      <c r="J2" s="4"/>
      <c r="K2" s="4"/>
      <c r="L2" s="4"/>
      <c r="M2" s="4"/>
      <c r="N2" s="4"/>
      <c r="O2" s="4"/>
      <c r="P2" s="4"/>
      <c r="Q2" s="4"/>
      <c r="R2" s="4"/>
      <c r="S2" s="4"/>
      <c r="T2" s="4"/>
      <c r="U2" s="4"/>
      <c r="V2" s="4"/>
      <c r="W2" s="4"/>
      <c r="X2" s="4"/>
      <c r="Y2" s="4"/>
      <c r="Z2" s="4"/>
    </row>
    <row r="3" spans="1:26" ht="18.75" customHeight="1" thickBot="1" x14ac:dyDescent="0.3">
      <c r="A3" s="3">
        <v>1</v>
      </c>
      <c r="B3" s="5" t="s">
        <v>7</v>
      </c>
      <c r="C3" s="276" t="s">
        <v>393</v>
      </c>
      <c r="D3" s="6">
        <v>79930</v>
      </c>
      <c r="E3" s="6">
        <v>37920</v>
      </c>
      <c r="F3" s="278" t="s">
        <v>402</v>
      </c>
      <c r="G3" s="1"/>
      <c r="H3" s="1"/>
      <c r="I3" s="1"/>
      <c r="J3" s="1"/>
      <c r="K3" s="1"/>
      <c r="L3" s="1"/>
      <c r="M3" s="1"/>
      <c r="N3" s="1"/>
      <c r="O3" s="1"/>
      <c r="P3" s="1"/>
      <c r="Q3" s="1"/>
      <c r="R3" s="1"/>
      <c r="S3" s="1"/>
      <c r="T3" s="1"/>
      <c r="U3" s="1"/>
      <c r="V3" s="1"/>
      <c r="W3" s="1"/>
      <c r="X3" s="1"/>
      <c r="Y3" s="1"/>
      <c r="Z3" s="1"/>
    </row>
    <row r="4" spans="1:26" ht="21" customHeight="1" thickBot="1" x14ac:dyDescent="0.3">
      <c r="A4" s="3">
        <v>2</v>
      </c>
      <c r="B4" s="5" t="s">
        <v>11</v>
      </c>
      <c r="C4" s="277"/>
      <c r="D4" s="7">
        <v>7</v>
      </c>
      <c r="E4" s="7">
        <v>5</v>
      </c>
      <c r="F4" s="277"/>
      <c r="G4" s="1"/>
      <c r="H4" s="1"/>
      <c r="I4" s="1"/>
      <c r="J4" s="1"/>
      <c r="K4" s="1"/>
      <c r="L4" s="1"/>
      <c r="M4" s="1"/>
      <c r="N4" s="1"/>
      <c r="O4" s="1"/>
      <c r="P4" s="1"/>
      <c r="Q4" s="1"/>
      <c r="R4" s="1"/>
      <c r="S4" s="1"/>
      <c r="T4" s="1"/>
      <c r="U4" s="1"/>
      <c r="V4" s="1"/>
      <c r="W4" s="1"/>
      <c r="X4" s="1"/>
      <c r="Y4" s="1"/>
      <c r="Z4" s="1"/>
    </row>
    <row r="5" spans="1:26" ht="19.5" customHeight="1" thickBot="1" x14ac:dyDescent="0.3">
      <c r="A5" s="3">
        <v>3</v>
      </c>
      <c r="B5" s="5" t="s">
        <v>12</v>
      </c>
      <c r="C5" s="277"/>
      <c r="D5" s="6">
        <v>11419</v>
      </c>
      <c r="E5" s="6">
        <v>7584</v>
      </c>
      <c r="F5" s="277"/>
      <c r="G5" s="1"/>
      <c r="H5" s="1"/>
      <c r="I5" s="1"/>
      <c r="J5" s="1"/>
      <c r="K5" s="1"/>
      <c r="L5" s="1"/>
      <c r="M5" s="1"/>
      <c r="N5" s="1"/>
      <c r="O5" s="1"/>
      <c r="P5" s="1"/>
      <c r="Q5" s="1"/>
      <c r="R5" s="1"/>
      <c r="S5" s="1"/>
      <c r="T5" s="1"/>
      <c r="U5" s="1"/>
      <c r="V5" s="1"/>
      <c r="W5" s="1"/>
      <c r="X5" s="1"/>
      <c r="Y5" s="1"/>
      <c r="Z5" s="1"/>
    </row>
    <row r="6" spans="1:26" ht="29.25" customHeight="1" thickBot="1" x14ac:dyDescent="0.3">
      <c r="A6" s="3">
        <v>4</v>
      </c>
      <c r="B6" s="5" t="s">
        <v>13</v>
      </c>
      <c r="C6" s="277"/>
      <c r="D6" s="5">
        <v>0</v>
      </c>
      <c r="E6" s="5">
        <v>0</v>
      </c>
      <c r="F6" s="277"/>
      <c r="G6" s="1"/>
      <c r="H6" s="1"/>
      <c r="I6" s="1"/>
      <c r="J6" s="1"/>
      <c r="K6" s="1"/>
      <c r="L6" s="1"/>
      <c r="M6" s="1"/>
      <c r="N6" s="1"/>
      <c r="O6" s="1"/>
      <c r="P6" s="1"/>
      <c r="Q6" s="1"/>
      <c r="R6" s="1"/>
      <c r="S6" s="1"/>
      <c r="T6" s="1"/>
      <c r="U6" s="1"/>
      <c r="V6" s="1"/>
      <c r="W6" s="1"/>
      <c r="X6" s="1"/>
      <c r="Y6" s="1"/>
      <c r="Z6" s="1"/>
    </row>
    <row r="7" spans="1:26" ht="36.75" customHeight="1" thickBot="1" x14ac:dyDescent="0.3">
      <c r="A7" s="3">
        <v>5</v>
      </c>
      <c r="B7" s="8" t="s">
        <v>14</v>
      </c>
      <c r="C7" s="277"/>
      <c r="D7" s="9">
        <v>0</v>
      </c>
      <c r="E7" s="10">
        <v>0</v>
      </c>
      <c r="F7" s="277"/>
      <c r="G7" s="1"/>
      <c r="H7" s="1"/>
      <c r="I7" s="1"/>
      <c r="J7" s="1"/>
      <c r="K7" s="1"/>
      <c r="L7" s="1"/>
      <c r="M7" s="1"/>
      <c r="N7" s="1"/>
      <c r="O7" s="1"/>
      <c r="P7" s="1"/>
      <c r="Q7" s="1"/>
      <c r="R7" s="1"/>
      <c r="S7" s="1"/>
      <c r="T7" s="1"/>
      <c r="U7" s="1"/>
      <c r="V7" s="1"/>
      <c r="W7" s="1"/>
      <c r="X7" s="1"/>
      <c r="Y7" s="1"/>
      <c r="Z7" s="1"/>
    </row>
    <row r="8" spans="1:26" ht="72" customHeight="1" thickBot="1" x14ac:dyDescent="0.3">
      <c r="A8" s="3">
        <v>6</v>
      </c>
      <c r="B8" s="8" t="s">
        <v>15</v>
      </c>
      <c r="C8" s="277"/>
      <c r="D8" s="11" t="s">
        <v>419</v>
      </c>
      <c r="E8" s="12" t="s">
        <v>399</v>
      </c>
      <c r="F8" s="277"/>
      <c r="G8" s="1"/>
      <c r="H8" s="1"/>
      <c r="I8" s="1"/>
      <c r="J8" s="1"/>
      <c r="K8" s="1"/>
      <c r="L8" s="1"/>
      <c r="M8" s="1"/>
      <c r="N8" s="1"/>
      <c r="O8" s="1"/>
      <c r="P8" s="1"/>
      <c r="Q8" s="1"/>
      <c r="R8" s="1"/>
      <c r="S8" s="1"/>
      <c r="T8" s="1"/>
      <c r="U8" s="1"/>
      <c r="V8" s="1"/>
      <c r="W8" s="1"/>
      <c r="X8" s="1"/>
      <c r="Y8" s="1"/>
      <c r="Z8" s="1"/>
    </row>
    <row r="9" spans="1:26" ht="57" customHeight="1" thickBot="1" x14ac:dyDescent="0.3">
      <c r="A9" s="3">
        <v>7</v>
      </c>
      <c r="B9" s="8" t="s">
        <v>18</v>
      </c>
      <c r="C9" s="277"/>
      <c r="D9" s="8">
        <v>0</v>
      </c>
      <c r="E9" s="8">
        <v>0</v>
      </c>
      <c r="F9" s="277"/>
      <c r="G9" s="1"/>
      <c r="H9" s="1"/>
      <c r="I9" s="1"/>
      <c r="J9" s="1"/>
      <c r="K9" s="1"/>
      <c r="L9" s="1"/>
      <c r="M9" s="1"/>
      <c r="N9" s="1"/>
      <c r="O9" s="1"/>
      <c r="P9" s="1"/>
      <c r="Q9" s="1"/>
      <c r="R9" s="1"/>
      <c r="S9" s="1"/>
      <c r="T9" s="1"/>
      <c r="U9" s="1"/>
      <c r="V9" s="1"/>
      <c r="W9" s="1"/>
      <c r="X9" s="1"/>
      <c r="Y9" s="1"/>
      <c r="Z9" s="1"/>
    </row>
    <row r="10" spans="1:26" ht="43.5" customHeight="1" thickBot="1" x14ac:dyDescent="0.3">
      <c r="A10" s="3">
        <v>8</v>
      </c>
      <c r="B10" s="5" t="s">
        <v>19</v>
      </c>
      <c r="C10" s="272"/>
      <c r="D10" s="13">
        <v>0</v>
      </c>
      <c r="E10" s="14">
        <v>0</v>
      </c>
      <c r="F10" s="277"/>
      <c r="G10" s="1"/>
      <c r="H10" s="1"/>
      <c r="I10" s="1"/>
      <c r="J10" s="1"/>
      <c r="K10" s="1"/>
      <c r="L10" s="1"/>
      <c r="M10" s="1"/>
      <c r="N10" s="1"/>
      <c r="O10" s="1"/>
      <c r="P10" s="1"/>
      <c r="Q10" s="1"/>
      <c r="R10" s="1"/>
      <c r="S10" s="1"/>
      <c r="T10" s="1"/>
      <c r="U10" s="1"/>
      <c r="V10" s="1"/>
      <c r="W10" s="1"/>
      <c r="X10" s="1"/>
      <c r="Y10" s="1"/>
      <c r="Z10" s="1"/>
    </row>
    <row r="11" spans="1:26" ht="90.75" customHeight="1" thickTop="1" thickBot="1" x14ac:dyDescent="0.3">
      <c r="A11" s="3">
        <v>9</v>
      </c>
      <c r="B11" s="5" t="s">
        <v>20</v>
      </c>
      <c r="C11" s="15" t="s">
        <v>403</v>
      </c>
      <c r="D11" s="16" t="s">
        <v>404</v>
      </c>
      <c r="E11" s="17" t="s">
        <v>405</v>
      </c>
      <c r="F11" s="277"/>
      <c r="G11" s="1"/>
      <c r="H11" s="1"/>
      <c r="I11" s="1"/>
      <c r="J11" s="1"/>
      <c r="K11" s="1"/>
      <c r="L11" s="1"/>
      <c r="M11" s="1"/>
      <c r="N11" s="1"/>
      <c r="O11" s="1"/>
      <c r="P11" s="1"/>
      <c r="Q11" s="1"/>
      <c r="R11" s="1"/>
      <c r="S11" s="1"/>
      <c r="T11" s="1"/>
      <c r="U11" s="1"/>
      <c r="V11" s="1"/>
      <c r="W11" s="1"/>
      <c r="X11" s="1"/>
      <c r="Y11" s="1"/>
      <c r="Z11" s="1"/>
    </row>
    <row r="12" spans="1:26" ht="116.25" customHeight="1" thickBot="1" x14ac:dyDescent="0.3">
      <c r="A12" s="3">
        <v>10</v>
      </c>
      <c r="B12" s="5" t="s">
        <v>24</v>
      </c>
      <c r="C12" s="276" t="s">
        <v>370</v>
      </c>
      <c r="D12" s="18" t="s">
        <v>394</v>
      </c>
      <c r="E12" s="18" t="s">
        <v>389</v>
      </c>
      <c r="F12" s="277"/>
      <c r="G12" s="1"/>
      <c r="H12" s="1"/>
      <c r="I12" s="1"/>
      <c r="J12" s="1"/>
      <c r="K12" s="1"/>
      <c r="L12" s="1"/>
      <c r="M12" s="1"/>
      <c r="N12" s="1"/>
      <c r="O12" s="1"/>
      <c r="P12" s="1"/>
      <c r="Q12" s="1"/>
      <c r="R12" s="1"/>
      <c r="S12" s="1"/>
      <c r="T12" s="1"/>
      <c r="U12" s="1"/>
      <c r="V12" s="1"/>
      <c r="W12" s="1"/>
      <c r="X12" s="1"/>
      <c r="Y12" s="1"/>
      <c r="Z12" s="1"/>
    </row>
    <row r="13" spans="1:26" ht="132" customHeight="1" thickTop="1" thickBot="1" x14ac:dyDescent="0.3">
      <c r="A13" s="3">
        <v>11</v>
      </c>
      <c r="B13" s="5" t="s">
        <v>27</v>
      </c>
      <c r="C13" s="277"/>
      <c r="D13" s="17" t="s">
        <v>395</v>
      </c>
      <c r="E13" s="17" t="s">
        <v>400</v>
      </c>
      <c r="F13" s="277"/>
      <c r="G13" s="1"/>
      <c r="H13" s="1"/>
      <c r="I13" s="1"/>
      <c r="J13" s="1"/>
      <c r="K13" s="1"/>
      <c r="L13" s="1"/>
      <c r="M13" s="1"/>
      <c r="N13" s="1"/>
      <c r="O13" s="1"/>
      <c r="P13" s="1"/>
      <c r="Q13" s="1"/>
      <c r="R13" s="1"/>
      <c r="S13" s="1"/>
      <c r="T13" s="1"/>
      <c r="U13" s="1"/>
      <c r="V13" s="1"/>
      <c r="W13" s="1"/>
      <c r="X13" s="1"/>
      <c r="Y13" s="1"/>
      <c r="Z13" s="1"/>
    </row>
    <row r="14" spans="1:26" ht="52.5" customHeight="1" thickBot="1" x14ac:dyDescent="0.3">
      <c r="A14" s="3">
        <v>12</v>
      </c>
      <c r="B14" s="8" t="s">
        <v>30</v>
      </c>
      <c r="C14" s="277"/>
      <c r="D14" s="19" t="s">
        <v>350</v>
      </c>
      <c r="E14" s="20">
        <v>1</v>
      </c>
      <c r="F14" s="277"/>
      <c r="G14" s="1"/>
      <c r="H14" s="1"/>
      <c r="I14" s="1"/>
      <c r="J14" s="1"/>
      <c r="K14" s="1"/>
      <c r="L14" s="1"/>
      <c r="M14" s="1"/>
      <c r="N14" s="1"/>
      <c r="O14" s="1"/>
      <c r="P14" s="1"/>
      <c r="Q14" s="1"/>
      <c r="R14" s="1"/>
      <c r="S14" s="1"/>
      <c r="T14" s="1"/>
      <c r="U14" s="1"/>
      <c r="V14" s="1"/>
      <c r="W14" s="1"/>
      <c r="X14" s="1"/>
      <c r="Y14" s="1"/>
      <c r="Z14" s="1"/>
    </row>
    <row r="15" spans="1:26" ht="81.75" customHeight="1" thickBot="1" x14ac:dyDescent="0.3">
      <c r="A15" s="3">
        <v>13</v>
      </c>
      <c r="B15" s="5" t="s">
        <v>32</v>
      </c>
      <c r="C15" s="277"/>
      <c r="D15" s="21" t="s">
        <v>396</v>
      </c>
      <c r="E15" s="21" t="s">
        <v>401</v>
      </c>
      <c r="F15" s="277"/>
      <c r="G15" s="1"/>
      <c r="H15" s="1"/>
      <c r="I15" s="1"/>
      <c r="J15" s="1"/>
      <c r="K15" s="1"/>
      <c r="L15" s="1"/>
      <c r="M15" s="1"/>
      <c r="N15" s="1"/>
      <c r="O15" s="1"/>
      <c r="P15" s="1"/>
      <c r="Q15" s="1"/>
      <c r="R15" s="1"/>
      <c r="S15" s="1"/>
      <c r="T15" s="1"/>
      <c r="U15" s="1"/>
      <c r="V15" s="1"/>
      <c r="W15" s="1"/>
      <c r="X15" s="1"/>
      <c r="Y15" s="1"/>
      <c r="Z15" s="1"/>
    </row>
    <row r="16" spans="1:26" ht="97.5" customHeight="1" thickBot="1" x14ac:dyDescent="0.3">
      <c r="A16" s="3">
        <v>14</v>
      </c>
      <c r="B16" s="8" t="s">
        <v>35</v>
      </c>
      <c r="C16" s="277"/>
      <c r="D16" s="12" t="s">
        <v>374</v>
      </c>
      <c r="E16" s="12" t="s">
        <v>390</v>
      </c>
      <c r="F16" s="277"/>
      <c r="G16" s="1"/>
      <c r="H16" s="1"/>
      <c r="I16" s="1"/>
      <c r="J16" s="1"/>
      <c r="K16" s="1"/>
      <c r="L16" s="1"/>
      <c r="M16" s="1"/>
      <c r="N16" s="1"/>
      <c r="O16" s="1"/>
      <c r="P16" s="1"/>
      <c r="Q16" s="1"/>
      <c r="R16" s="1"/>
      <c r="S16" s="1"/>
      <c r="T16" s="1"/>
      <c r="U16" s="1"/>
      <c r="V16" s="1"/>
      <c r="W16" s="1"/>
      <c r="X16" s="1"/>
      <c r="Y16" s="1"/>
      <c r="Z16" s="1"/>
    </row>
    <row r="17" spans="1:26" ht="90.75" customHeight="1" thickBot="1" x14ac:dyDescent="0.3">
      <c r="A17" s="3">
        <v>15</v>
      </c>
      <c r="B17" s="5" t="s">
        <v>38</v>
      </c>
      <c r="C17" s="277"/>
      <c r="D17" s="21" t="s">
        <v>397</v>
      </c>
      <c r="E17" s="21" t="s">
        <v>40</v>
      </c>
      <c r="F17" s="277"/>
      <c r="G17" s="1"/>
      <c r="H17" s="1"/>
      <c r="I17" s="1"/>
      <c r="J17" s="1"/>
      <c r="K17" s="1"/>
      <c r="L17" s="1"/>
      <c r="M17" s="1"/>
      <c r="N17" s="1"/>
      <c r="O17" s="1"/>
      <c r="P17" s="1"/>
      <c r="Q17" s="1"/>
      <c r="R17" s="1"/>
      <c r="S17" s="1"/>
      <c r="T17" s="1"/>
      <c r="U17" s="1"/>
      <c r="V17" s="1"/>
      <c r="W17" s="1"/>
      <c r="X17" s="1"/>
      <c r="Y17" s="1"/>
      <c r="Z17" s="1"/>
    </row>
    <row r="18" spans="1:26" ht="133.5" customHeight="1" thickBot="1" x14ac:dyDescent="0.3">
      <c r="A18" s="3">
        <v>16</v>
      </c>
      <c r="B18" s="5" t="s">
        <v>41</v>
      </c>
      <c r="C18" s="277"/>
      <c r="D18" s="21" t="s">
        <v>398</v>
      </c>
      <c r="E18" s="22"/>
      <c r="F18" s="272"/>
      <c r="G18" s="1"/>
      <c r="H18" s="1"/>
      <c r="I18" s="1"/>
      <c r="J18" s="1"/>
      <c r="K18" s="1"/>
      <c r="L18" s="1"/>
      <c r="M18" s="1"/>
      <c r="N18" s="1"/>
      <c r="O18" s="1"/>
      <c r="P18" s="1"/>
      <c r="Q18" s="1"/>
      <c r="R18" s="1"/>
      <c r="S18" s="1"/>
      <c r="T18" s="1"/>
      <c r="U18" s="1"/>
      <c r="V18" s="1"/>
      <c r="W18" s="1"/>
      <c r="X18" s="1"/>
      <c r="Y18" s="1"/>
      <c r="Z18" s="1"/>
    </row>
    <row r="19" spans="1:26" ht="1.5" customHeight="1" thickBot="1" x14ac:dyDescent="0.3">
      <c r="A19" s="23"/>
      <c r="B19" s="24"/>
      <c r="C19" s="272"/>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26"/>
      <c r="B20" s="26" t="s">
        <v>43</v>
      </c>
      <c r="C20" s="27"/>
      <c r="D20" s="27"/>
      <c r="E20" s="27"/>
      <c r="F20" s="27"/>
      <c r="G20" s="27"/>
      <c r="H20" s="27"/>
      <c r="I20" s="27"/>
      <c r="J20" s="1"/>
      <c r="K20" s="1"/>
      <c r="L20" s="1"/>
      <c r="M20" s="1"/>
      <c r="N20" s="1"/>
      <c r="O20" s="1"/>
      <c r="P20" s="1"/>
      <c r="Q20" s="1"/>
      <c r="R20" s="1"/>
      <c r="S20" s="1"/>
      <c r="T20" s="1"/>
      <c r="U20" s="1"/>
      <c r="V20" s="1"/>
      <c r="W20" s="1"/>
      <c r="X20" s="1"/>
      <c r="Y20" s="1"/>
      <c r="Z20" s="1"/>
    </row>
    <row r="21" spans="1:26" ht="36" customHeight="1" x14ac:dyDescent="0.25">
      <c r="A21" s="28" t="s">
        <v>44</v>
      </c>
      <c r="B21" s="29" t="s">
        <v>45</v>
      </c>
      <c r="C21" s="28" t="s">
        <v>46</v>
      </c>
      <c r="D21" s="28" t="s">
        <v>47</v>
      </c>
      <c r="E21" s="28" t="s">
        <v>48</v>
      </c>
      <c r="F21" s="28" t="s">
        <v>49</v>
      </c>
      <c r="G21" s="28"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259" t="s">
        <v>407</v>
      </c>
      <c r="B22" s="33" t="s">
        <v>53</v>
      </c>
      <c r="C22" s="34"/>
      <c r="D22" s="33"/>
      <c r="E22" s="34"/>
      <c r="F22" s="34"/>
      <c r="G22" s="35"/>
      <c r="H22" s="36"/>
      <c r="I22" s="37"/>
      <c r="J22" s="1"/>
      <c r="K22" s="1"/>
      <c r="L22" s="1"/>
      <c r="M22" s="1"/>
      <c r="N22" s="1"/>
      <c r="O22" s="1"/>
      <c r="P22" s="1"/>
      <c r="Q22" s="1"/>
      <c r="R22" s="1"/>
      <c r="S22" s="1"/>
      <c r="T22" s="1"/>
      <c r="U22" s="1"/>
      <c r="V22" s="1"/>
      <c r="W22" s="1"/>
      <c r="X22" s="1"/>
      <c r="Y22" s="1"/>
      <c r="Z22" s="1"/>
    </row>
    <row r="23" spans="1:26" ht="15.75" customHeight="1" x14ac:dyDescent="0.25">
      <c r="A23" s="259" t="s">
        <v>408</v>
      </c>
      <c r="B23" s="33" t="s">
        <v>58</v>
      </c>
      <c r="C23" s="34">
        <v>2</v>
      </c>
      <c r="D23" s="33">
        <v>28000</v>
      </c>
      <c r="E23" s="34">
        <v>4200</v>
      </c>
      <c r="F23" s="34"/>
      <c r="G23" s="260" t="s">
        <v>416</v>
      </c>
      <c r="H23" s="38"/>
      <c r="I23" s="262" t="s">
        <v>417</v>
      </c>
      <c r="J23" s="1"/>
      <c r="K23" s="1"/>
      <c r="L23" s="1"/>
      <c r="M23" s="1"/>
      <c r="N23" s="1"/>
      <c r="O23" s="1"/>
      <c r="P23" s="1"/>
      <c r="Q23" s="1"/>
      <c r="R23" s="1"/>
      <c r="S23" s="1"/>
      <c r="T23" s="1"/>
      <c r="U23" s="1"/>
      <c r="V23" s="1"/>
      <c r="W23" s="1"/>
      <c r="X23" s="1"/>
      <c r="Y23" s="1"/>
      <c r="Z23" s="1"/>
    </row>
    <row r="24" spans="1:26" ht="15.75" customHeight="1" x14ac:dyDescent="0.25">
      <c r="A24" s="259" t="s">
        <v>409</v>
      </c>
      <c r="B24" s="33" t="s">
        <v>62</v>
      </c>
      <c r="C24" s="34"/>
      <c r="D24" s="33"/>
      <c r="E24" s="34"/>
      <c r="F24" s="34"/>
      <c r="G24" s="38"/>
      <c r="H24" s="39"/>
      <c r="I24" s="37"/>
      <c r="J24" s="1"/>
      <c r="K24" s="1"/>
      <c r="L24" s="1"/>
      <c r="M24" s="1"/>
      <c r="N24" s="1"/>
      <c r="O24" s="1"/>
      <c r="P24" s="1"/>
      <c r="Q24" s="1"/>
      <c r="R24" s="1"/>
      <c r="S24" s="1"/>
      <c r="T24" s="1"/>
      <c r="U24" s="1"/>
      <c r="V24" s="1"/>
      <c r="W24" s="1"/>
      <c r="X24" s="1"/>
      <c r="Y24" s="1"/>
      <c r="Z24" s="1"/>
    </row>
    <row r="25" spans="1:26" ht="15.75" customHeight="1" x14ac:dyDescent="0.25">
      <c r="A25" s="259" t="s">
        <v>410</v>
      </c>
      <c r="B25" s="33" t="s">
        <v>66</v>
      </c>
      <c r="C25" s="34">
        <v>1</v>
      </c>
      <c r="D25" s="34">
        <v>15600</v>
      </c>
      <c r="E25" s="34">
        <v>990</v>
      </c>
      <c r="F25" s="34"/>
      <c r="G25" s="260" t="s">
        <v>415</v>
      </c>
      <c r="H25" s="39"/>
      <c r="I25" s="262" t="s">
        <v>417</v>
      </c>
      <c r="J25" s="1"/>
      <c r="K25" s="1"/>
      <c r="L25" s="1"/>
      <c r="M25" s="1"/>
      <c r="N25" s="1"/>
      <c r="O25" s="1"/>
      <c r="P25" s="1"/>
      <c r="Q25" s="1"/>
      <c r="R25" s="1"/>
      <c r="S25" s="1"/>
      <c r="T25" s="1"/>
      <c r="U25" s="1"/>
      <c r="V25" s="1"/>
      <c r="W25" s="1"/>
      <c r="X25" s="1"/>
      <c r="Y25" s="1"/>
      <c r="Z25" s="1"/>
    </row>
    <row r="26" spans="1:26" ht="15.75" customHeight="1" x14ac:dyDescent="0.25">
      <c r="A26" s="259" t="s">
        <v>411</v>
      </c>
      <c r="B26" s="33" t="s">
        <v>69</v>
      </c>
      <c r="C26" s="34"/>
      <c r="D26" s="33"/>
      <c r="E26" s="34"/>
      <c r="F26" s="34"/>
      <c r="G26" s="40"/>
      <c r="H26" s="41"/>
      <c r="I26" s="37"/>
      <c r="J26" s="1"/>
      <c r="K26" s="1"/>
      <c r="L26" s="1"/>
      <c r="M26" s="1"/>
      <c r="N26" s="1"/>
      <c r="O26" s="1"/>
      <c r="P26" s="1"/>
      <c r="Q26" s="1"/>
      <c r="R26" s="1"/>
      <c r="S26" s="1"/>
      <c r="T26" s="1"/>
      <c r="U26" s="1"/>
      <c r="V26" s="1"/>
      <c r="W26" s="1"/>
      <c r="X26" s="1"/>
      <c r="Y26" s="1"/>
      <c r="Z26" s="1"/>
    </row>
    <row r="27" spans="1:26" ht="15.75" customHeight="1" x14ac:dyDescent="0.25">
      <c r="A27" s="259" t="s">
        <v>412</v>
      </c>
      <c r="B27" s="33" t="s">
        <v>70</v>
      </c>
      <c r="C27" s="34">
        <v>2</v>
      </c>
      <c r="D27" s="33">
        <v>43000</v>
      </c>
      <c r="E27" s="34">
        <v>2000</v>
      </c>
      <c r="F27" s="34"/>
      <c r="G27" s="260" t="s">
        <v>414</v>
      </c>
      <c r="H27" s="42"/>
      <c r="I27" s="263" t="s">
        <v>387</v>
      </c>
      <c r="J27" s="1"/>
      <c r="K27" s="1"/>
      <c r="L27" s="1"/>
      <c r="M27" s="1"/>
      <c r="N27" s="1"/>
      <c r="O27" s="1"/>
      <c r="P27" s="1"/>
      <c r="Q27" s="1"/>
      <c r="R27" s="1"/>
      <c r="S27" s="1"/>
      <c r="T27" s="1"/>
      <c r="U27" s="1"/>
      <c r="V27" s="1"/>
      <c r="W27" s="1"/>
      <c r="X27" s="1"/>
      <c r="Y27" s="1"/>
      <c r="Z27" s="1"/>
    </row>
    <row r="28" spans="1:26" ht="25.5" customHeight="1" x14ac:dyDescent="0.25">
      <c r="A28" s="259" t="s">
        <v>413</v>
      </c>
      <c r="B28" s="33" t="s">
        <v>71</v>
      </c>
      <c r="C28" s="34"/>
      <c r="D28" s="33"/>
      <c r="E28" s="34"/>
      <c r="F28" s="261"/>
      <c r="G28" s="40"/>
      <c r="H28" s="41"/>
      <c r="I28" s="37"/>
      <c r="J28" s="1"/>
      <c r="K28" s="1"/>
      <c r="L28" s="1"/>
      <c r="M28" s="1"/>
      <c r="N28" s="1"/>
      <c r="O28" s="1"/>
      <c r="P28" s="1"/>
      <c r="Q28" s="1"/>
      <c r="R28" s="1"/>
      <c r="S28" s="1"/>
      <c r="T28" s="1"/>
      <c r="U28" s="1"/>
      <c r="V28" s="1"/>
      <c r="W28" s="1"/>
      <c r="X28" s="1"/>
      <c r="Y28" s="1"/>
      <c r="Z28" s="1"/>
    </row>
    <row r="29" spans="1:26" ht="15.75" customHeight="1" x14ac:dyDescent="0.25">
      <c r="A29" s="44"/>
      <c r="B29" s="45" t="s">
        <v>346</v>
      </c>
      <c r="C29" s="46">
        <v>5</v>
      </c>
      <c r="D29" s="45">
        <v>86600</v>
      </c>
      <c r="E29" s="46">
        <v>7190</v>
      </c>
      <c r="F29" s="46"/>
      <c r="G29" s="46"/>
      <c r="H29" s="47"/>
      <c r="I29" s="43"/>
      <c r="J29" s="1"/>
      <c r="K29" s="1"/>
      <c r="L29" s="1"/>
      <c r="M29" s="1"/>
      <c r="N29" s="1"/>
      <c r="O29" s="1"/>
      <c r="P29" s="1"/>
      <c r="Q29" s="1"/>
      <c r="R29" s="1"/>
      <c r="S29" s="1"/>
      <c r="T29" s="1"/>
      <c r="U29" s="1"/>
      <c r="V29" s="1"/>
      <c r="W29" s="1"/>
      <c r="X29" s="1"/>
      <c r="Y29" s="1"/>
      <c r="Z29" s="1"/>
    </row>
    <row r="30" spans="1:26" ht="15.75" customHeight="1" x14ac:dyDescent="0.25">
      <c r="A30" s="48"/>
      <c r="B30" s="48" t="s">
        <v>347</v>
      </c>
      <c r="C30" s="48">
        <v>5</v>
      </c>
      <c r="D30" s="48">
        <v>76500</v>
      </c>
      <c r="E30" s="48">
        <v>7730</v>
      </c>
      <c r="F30" s="48"/>
      <c r="G30" s="49"/>
      <c r="H30" s="50"/>
      <c r="I30" s="5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69" t="s">
        <v>72</v>
      </c>
      <c r="B32" s="270"/>
      <c r="C32" s="52" t="s">
        <v>73</v>
      </c>
      <c r="D32" s="52" t="s">
        <v>74</v>
      </c>
      <c r="E32" s="52" t="s">
        <v>75</v>
      </c>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80" t="s">
        <v>76</v>
      </c>
      <c r="B33" s="281"/>
      <c r="C33" s="53">
        <v>9</v>
      </c>
      <c r="D33" s="54">
        <v>81400</v>
      </c>
      <c r="E33" s="55">
        <v>14120</v>
      </c>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82" t="s">
        <v>77</v>
      </c>
      <c r="B34" s="270"/>
      <c r="C34" s="56">
        <v>23</v>
      </c>
      <c r="D34" s="56" t="s">
        <v>78</v>
      </c>
      <c r="E34" s="56" t="s">
        <v>79</v>
      </c>
      <c r="F34" s="57"/>
      <c r="G34" s="1"/>
      <c r="H34" s="1"/>
      <c r="I34" s="1"/>
      <c r="J34" s="1"/>
      <c r="K34" s="1"/>
      <c r="L34" s="1"/>
      <c r="M34" s="1"/>
      <c r="N34" s="1"/>
      <c r="O34" s="1"/>
      <c r="P34" s="1"/>
      <c r="Q34" s="1"/>
      <c r="R34" s="1"/>
      <c r="S34" s="1"/>
      <c r="T34" s="1"/>
      <c r="U34" s="1"/>
      <c r="V34" s="1"/>
      <c r="W34" s="1"/>
      <c r="X34" s="1"/>
      <c r="Y34" s="1"/>
      <c r="Z34" s="1"/>
    </row>
    <row r="35" spans="1:26" ht="15.6" customHeight="1" x14ac:dyDescent="0.25">
      <c r="A35" s="283" t="s">
        <v>21</v>
      </c>
      <c r="B35" s="270"/>
      <c r="C35" s="256">
        <v>30</v>
      </c>
      <c r="D35" s="59" t="s">
        <v>80</v>
      </c>
      <c r="E35" s="60" t="s">
        <v>81</v>
      </c>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57"/>
      <c r="B36" s="258" t="s">
        <v>406</v>
      </c>
      <c r="C36" s="257">
        <v>24</v>
      </c>
      <c r="D36" s="264">
        <v>417800</v>
      </c>
      <c r="E36" s="265">
        <v>29920</v>
      </c>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61"/>
      <c r="B121" s="23"/>
      <c r="C121" s="24"/>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61"/>
      <c r="B122" s="23"/>
      <c r="C122" s="24"/>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61"/>
      <c r="B123" s="23"/>
      <c r="C123" s="24"/>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61"/>
      <c r="B124" s="23"/>
      <c r="C124" s="24"/>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61"/>
      <c r="B125" s="23"/>
      <c r="C125" s="24"/>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61"/>
      <c r="B126" s="23"/>
      <c r="C126" s="24"/>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61"/>
      <c r="B127" s="23"/>
      <c r="C127" s="24"/>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61"/>
      <c r="B128" s="23"/>
      <c r="C128" s="24"/>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61"/>
      <c r="B129" s="23"/>
      <c r="C129" s="24"/>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61"/>
      <c r="B130" s="23"/>
      <c r="C130" s="24"/>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61"/>
      <c r="B131" s="23"/>
      <c r="C131" s="24"/>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61"/>
      <c r="B132" s="23"/>
      <c r="C132" s="24"/>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61"/>
      <c r="B133" s="23"/>
      <c r="C133" s="24"/>
      <c r="D133" s="25"/>
      <c r="E133" s="25"/>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61"/>
      <c r="B134" s="23"/>
      <c r="C134" s="24"/>
      <c r="D134" s="25"/>
      <c r="E134" s="25"/>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61"/>
      <c r="B135" s="23"/>
      <c r="C135" s="24"/>
      <c r="D135" s="25"/>
      <c r="E135" s="25"/>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61"/>
      <c r="B136" s="23"/>
      <c r="C136" s="24"/>
      <c r="D136" s="25"/>
      <c r="E136" s="25"/>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61"/>
      <c r="B137" s="23"/>
      <c r="C137" s="24"/>
      <c r="D137" s="25"/>
      <c r="E137" s="25"/>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61"/>
      <c r="B138" s="23"/>
      <c r="C138" s="24"/>
      <c r="D138" s="25"/>
      <c r="E138" s="25"/>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61"/>
      <c r="B139" s="23"/>
      <c r="C139" s="24"/>
      <c r="D139" s="25"/>
      <c r="E139" s="25"/>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61"/>
      <c r="B140" s="23"/>
      <c r="C140" s="24"/>
      <c r="D140" s="25"/>
      <c r="E140" s="25"/>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61"/>
      <c r="B141" s="23"/>
      <c r="C141" s="24"/>
      <c r="D141" s="25"/>
      <c r="E141" s="25"/>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61"/>
      <c r="B142" s="23"/>
      <c r="C142" s="24"/>
      <c r="D142" s="25"/>
      <c r="E142" s="25"/>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25"/>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25"/>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25"/>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25"/>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25"/>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25"/>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25"/>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25"/>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25"/>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25"/>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25"/>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25"/>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sheetData>
  <mergeCells count="9">
    <mergeCell ref="A33:B33"/>
    <mergeCell ref="A34:B34"/>
    <mergeCell ref="A35:B35"/>
    <mergeCell ref="A1:A2"/>
    <mergeCell ref="B1:F1"/>
    <mergeCell ref="C3:C10"/>
    <mergeCell ref="F3:F18"/>
    <mergeCell ref="C12:C19"/>
    <mergeCell ref="A32:B32"/>
  </mergeCells>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89"/>
  <sheetViews>
    <sheetView zoomScale="79" zoomScaleNormal="79" workbookViewId="0">
      <selection activeCell="C29" sqref="C29"/>
    </sheetView>
  </sheetViews>
  <sheetFormatPr defaultColWidth="14.42578125" defaultRowHeight="15" customHeight="1" x14ac:dyDescent="0.25"/>
  <cols>
    <col min="1" max="1" width="8.140625" customWidth="1"/>
    <col min="2" max="2" width="33.140625" customWidth="1"/>
    <col min="3" max="3" width="20" customWidth="1"/>
    <col min="4" max="4" width="56.5703125" customWidth="1"/>
    <col min="5" max="5" width="46" customWidth="1"/>
    <col min="6" max="6" width="48.85546875" customWidth="1"/>
    <col min="7" max="7" width="42.85546875" customWidth="1"/>
    <col min="8" max="8" width="32.85546875" customWidth="1"/>
    <col min="9" max="9" width="39.5703125" customWidth="1"/>
    <col min="10" max="26" width="8.85546875" customWidth="1"/>
  </cols>
  <sheetData>
    <row r="1" spans="1:26" ht="31.5" customHeight="1" thickBot="1" x14ac:dyDescent="0.3">
      <c r="A1" s="271" t="s">
        <v>0</v>
      </c>
      <c r="B1" s="273" t="s">
        <v>1</v>
      </c>
      <c r="C1" s="274"/>
      <c r="D1" s="274"/>
      <c r="E1" s="274"/>
      <c r="F1" s="275"/>
      <c r="G1" s="1"/>
      <c r="H1" s="1"/>
      <c r="I1" s="1"/>
      <c r="J1" s="1"/>
      <c r="K1" s="1"/>
      <c r="L1" s="1"/>
      <c r="M1" s="1"/>
      <c r="N1" s="1"/>
      <c r="O1" s="1"/>
      <c r="P1" s="1"/>
      <c r="Q1" s="1"/>
      <c r="R1" s="1"/>
      <c r="S1" s="1"/>
      <c r="T1" s="1"/>
      <c r="U1" s="1"/>
      <c r="V1" s="1"/>
      <c r="W1" s="1"/>
      <c r="X1" s="1"/>
      <c r="Y1" s="1"/>
      <c r="Z1" s="1"/>
    </row>
    <row r="2" spans="1:26" ht="16.5" thickBot="1" x14ac:dyDescent="0.3">
      <c r="A2" s="272"/>
      <c r="B2" s="2" t="s">
        <v>2</v>
      </c>
      <c r="C2" s="3" t="s">
        <v>3</v>
      </c>
      <c r="D2" s="3" t="s">
        <v>4</v>
      </c>
      <c r="E2" s="3" t="s">
        <v>5</v>
      </c>
      <c r="F2" s="3" t="s">
        <v>6</v>
      </c>
      <c r="G2" s="4"/>
      <c r="H2" s="4"/>
      <c r="I2" s="4"/>
      <c r="J2" s="4"/>
      <c r="K2" s="4"/>
      <c r="L2" s="4"/>
      <c r="M2" s="4"/>
      <c r="N2" s="4"/>
      <c r="O2" s="4"/>
      <c r="P2" s="4"/>
      <c r="Q2" s="4"/>
      <c r="R2" s="4"/>
      <c r="S2" s="4"/>
      <c r="T2" s="4"/>
      <c r="U2" s="4"/>
      <c r="V2" s="4"/>
      <c r="W2" s="4"/>
      <c r="X2" s="4"/>
      <c r="Y2" s="4"/>
      <c r="Z2" s="4"/>
    </row>
    <row r="3" spans="1:26" ht="18.75" customHeight="1" thickBot="1" x14ac:dyDescent="0.3">
      <c r="A3" s="3">
        <v>1</v>
      </c>
      <c r="B3" s="5" t="s">
        <v>7</v>
      </c>
      <c r="C3" s="276" t="s">
        <v>370</v>
      </c>
      <c r="D3" s="6">
        <v>74060</v>
      </c>
      <c r="E3" s="6">
        <v>21980</v>
      </c>
      <c r="F3" s="278" t="s">
        <v>391</v>
      </c>
      <c r="G3" s="1"/>
      <c r="H3" s="1"/>
      <c r="I3" s="1"/>
      <c r="J3" s="1"/>
      <c r="K3" s="1"/>
      <c r="L3" s="1"/>
      <c r="M3" s="1"/>
      <c r="N3" s="1"/>
      <c r="O3" s="1"/>
      <c r="P3" s="1"/>
      <c r="Q3" s="1"/>
      <c r="R3" s="1"/>
      <c r="S3" s="1"/>
      <c r="T3" s="1"/>
      <c r="U3" s="1"/>
      <c r="V3" s="1"/>
      <c r="W3" s="1"/>
      <c r="X3" s="1"/>
      <c r="Y3" s="1"/>
      <c r="Z3" s="1"/>
    </row>
    <row r="4" spans="1:26" ht="21" customHeight="1" thickBot="1" x14ac:dyDescent="0.3">
      <c r="A4" s="3">
        <v>2</v>
      </c>
      <c r="B4" s="5" t="s">
        <v>11</v>
      </c>
      <c r="C4" s="277"/>
      <c r="D4" s="7">
        <v>10</v>
      </c>
      <c r="E4" s="7">
        <v>6</v>
      </c>
      <c r="F4" s="277"/>
      <c r="G4" s="1"/>
      <c r="H4" s="1"/>
      <c r="I4" s="1"/>
      <c r="J4" s="1"/>
      <c r="K4" s="1"/>
      <c r="L4" s="1"/>
      <c r="M4" s="1"/>
      <c r="N4" s="1"/>
      <c r="O4" s="1"/>
      <c r="P4" s="1"/>
      <c r="Q4" s="1"/>
      <c r="R4" s="1"/>
      <c r="S4" s="1"/>
      <c r="T4" s="1"/>
      <c r="U4" s="1"/>
      <c r="V4" s="1"/>
      <c r="W4" s="1"/>
      <c r="X4" s="1"/>
      <c r="Y4" s="1"/>
      <c r="Z4" s="1"/>
    </row>
    <row r="5" spans="1:26" ht="19.5" customHeight="1" thickBot="1" x14ac:dyDescent="0.3">
      <c r="A5" s="3">
        <v>3</v>
      </c>
      <c r="B5" s="5" t="s">
        <v>12</v>
      </c>
      <c r="C5" s="277"/>
      <c r="D5" s="6">
        <v>8229</v>
      </c>
      <c r="E5" s="6">
        <v>3663</v>
      </c>
      <c r="F5" s="277"/>
      <c r="G5" s="1"/>
      <c r="H5" s="1"/>
      <c r="I5" s="1"/>
      <c r="J5" s="1"/>
      <c r="K5" s="1"/>
      <c r="L5" s="1"/>
      <c r="M5" s="1"/>
      <c r="N5" s="1"/>
      <c r="O5" s="1"/>
      <c r="P5" s="1"/>
      <c r="Q5" s="1"/>
      <c r="R5" s="1"/>
      <c r="S5" s="1"/>
      <c r="T5" s="1"/>
      <c r="U5" s="1"/>
      <c r="V5" s="1"/>
      <c r="W5" s="1"/>
      <c r="X5" s="1"/>
      <c r="Y5" s="1"/>
      <c r="Z5" s="1"/>
    </row>
    <row r="6" spans="1:26" ht="29.25" customHeight="1" thickBot="1" x14ac:dyDescent="0.3">
      <c r="A6" s="3">
        <v>4</v>
      </c>
      <c r="B6" s="5" t="s">
        <v>13</v>
      </c>
      <c r="C6" s="277"/>
      <c r="D6" s="5">
        <v>1</v>
      </c>
      <c r="E6" s="5">
        <v>0</v>
      </c>
      <c r="F6" s="277"/>
      <c r="G6" s="1"/>
      <c r="H6" s="1"/>
      <c r="I6" s="1"/>
      <c r="J6" s="1"/>
      <c r="K6" s="1"/>
      <c r="L6" s="1"/>
      <c r="M6" s="1"/>
      <c r="N6" s="1"/>
      <c r="O6" s="1"/>
      <c r="P6" s="1"/>
      <c r="Q6" s="1"/>
      <c r="R6" s="1"/>
      <c r="S6" s="1"/>
      <c r="T6" s="1"/>
      <c r="U6" s="1"/>
      <c r="V6" s="1"/>
      <c r="W6" s="1"/>
      <c r="X6" s="1"/>
      <c r="Y6" s="1"/>
      <c r="Z6" s="1"/>
    </row>
    <row r="7" spans="1:26" ht="36.75" customHeight="1" thickBot="1" x14ac:dyDescent="0.3">
      <c r="A7" s="3">
        <v>5</v>
      </c>
      <c r="B7" s="8" t="s">
        <v>14</v>
      </c>
      <c r="C7" s="277"/>
      <c r="D7" s="9">
        <v>0</v>
      </c>
      <c r="E7" s="10">
        <v>0</v>
      </c>
      <c r="F7" s="277"/>
      <c r="G7" s="1"/>
      <c r="H7" s="1"/>
      <c r="I7" s="1"/>
      <c r="J7" s="1"/>
      <c r="K7" s="1"/>
      <c r="L7" s="1"/>
      <c r="M7" s="1"/>
      <c r="N7" s="1"/>
      <c r="O7" s="1"/>
      <c r="P7" s="1"/>
      <c r="Q7" s="1"/>
      <c r="R7" s="1"/>
      <c r="S7" s="1"/>
      <c r="T7" s="1"/>
      <c r="U7" s="1"/>
      <c r="V7" s="1"/>
      <c r="W7" s="1"/>
      <c r="X7" s="1"/>
      <c r="Y7" s="1"/>
      <c r="Z7" s="1"/>
    </row>
    <row r="8" spans="1:26" ht="72" customHeight="1" thickBot="1" x14ac:dyDescent="0.3">
      <c r="A8" s="3">
        <v>6</v>
      </c>
      <c r="B8" s="8" t="s">
        <v>15</v>
      </c>
      <c r="C8" s="277"/>
      <c r="D8" s="11" t="s">
        <v>369</v>
      </c>
      <c r="E8" s="12" t="s">
        <v>388</v>
      </c>
      <c r="F8" s="277"/>
      <c r="G8" s="1"/>
      <c r="H8" s="1"/>
      <c r="I8" s="1"/>
      <c r="J8" s="1"/>
      <c r="K8" s="1"/>
      <c r="L8" s="1"/>
      <c r="M8" s="1"/>
      <c r="N8" s="1"/>
      <c r="O8" s="1"/>
      <c r="P8" s="1"/>
      <c r="Q8" s="1"/>
      <c r="R8" s="1"/>
      <c r="S8" s="1"/>
      <c r="T8" s="1"/>
      <c r="U8" s="1"/>
      <c r="V8" s="1"/>
      <c r="W8" s="1"/>
      <c r="X8" s="1"/>
      <c r="Y8" s="1"/>
      <c r="Z8" s="1"/>
    </row>
    <row r="9" spans="1:26" ht="57" customHeight="1" thickBot="1" x14ac:dyDescent="0.3">
      <c r="A9" s="3">
        <v>7</v>
      </c>
      <c r="B9" s="8" t="s">
        <v>18</v>
      </c>
      <c r="C9" s="277"/>
      <c r="D9" s="8">
        <v>0</v>
      </c>
      <c r="E9" s="8">
        <v>0</v>
      </c>
      <c r="F9" s="277"/>
      <c r="G9" s="1"/>
      <c r="H9" s="1"/>
      <c r="I9" s="1"/>
      <c r="J9" s="1"/>
      <c r="K9" s="1"/>
      <c r="L9" s="1"/>
      <c r="M9" s="1"/>
      <c r="N9" s="1"/>
      <c r="O9" s="1"/>
      <c r="P9" s="1"/>
      <c r="Q9" s="1"/>
      <c r="R9" s="1"/>
      <c r="S9" s="1"/>
      <c r="T9" s="1"/>
      <c r="U9" s="1"/>
      <c r="V9" s="1"/>
      <c r="W9" s="1"/>
      <c r="X9" s="1"/>
      <c r="Y9" s="1"/>
      <c r="Z9" s="1"/>
    </row>
    <row r="10" spans="1:26" ht="43.5" customHeight="1" thickBot="1" x14ac:dyDescent="0.3">
      <c r="A10" s="3">
        <v>8</v>
      </c>
      <c r="B10" s="5" t="s">
        <v>19</v>
      </c>
      <c r="C10" s="272"/>
      <c r="D10" s="13">
        <v>0</v>
      </c>
      <c r="E10" s="14">
        <v>0</v>
      </c>
      <c r="F10" s="277"/>
      <c r="G10" s="1"/>
      <c r="H10" s="1"/>
      <c r="I10" s="1"/>
      <c r="J10" s="1"/>
      <c r="K10" s="1"/>
      <c r="L10" s="1"/>
      <c r="M10" s="1"/>
      <c r="N10" s="1"/>
      <c r="O10" s="1"/>
      <c r="P10" s="1"/>
      <c r="Q10" s="1"/>
      <c r="R10" s="1"/>
      <c r="S10" s="1"/>
      <c r="T10" s="1"/>
      <c r="U10" s="1"/>
      <c r="V10" s="1"/>
      <c r="W10" s="1"/>
      <c r="X10" s="1"/>
      <c r="Y10" s="1"/>
      <c r="Z10" s="1"/>
    </row>
    <row r="11" spans="1:26" ht="90.75" customHeight="1" thickTop="1" thickBot="1" x14ac:dyDescent="0.3">
      <c r="A11" s="3">
        <v>9</v>
      </c>
      <c r="B11" s="5" t="s">
        <v>20</v>
      </c>
      <c r="C11" s="15" t="s">
        <v>21</v>
      </c>
      <c r="D11" s="16" t="s">
        <v>22</v>
      </c>
      <c r="E11" s="17" t="s">
        <v>23</v>
      </c>
      <c r="F11" s="277"/>
      <c r="G11" s="1"/>
      <c r="H11" s="1"/>
      <c r="I11" s="1"/>
      <c r="J11" s="1"/>
      <c r="K11" s="1"/>
      <c r="L11" s="1"/>
      <c r="M11" s="1"/>
      <c r="N11" s="1"/>
      <c r="O11" s="1"/>
      <c r="P11" s="1"/>
      <c r="Q11" s="1"/>
      <c r="R11" s="1"/>
      <c r="S11" s="1"/>
      <c r="T11" s="1"/>
      <c r="U11" s="1"/>
      <c r="V11" s="1"/>
      <c r="W11" s="1"/>
      <c r="X11" s="1"/>
      <c r="Y11" s="1"/>
      <c r="Z11" s="1"/>
    </row>
    <row r="12" spans="1:26" ht="116.25" customHeight="1" thickBot="1" x14ac:dyDescent="0.3">
      <c r="A12" s="3">
        <v>10</v>
      </c>
      <c r="B12" s="5" t="s">
        <v>24</v>
      </c>
      <c r="C12" s="276" t="s">
        <v>370</v>
      </c>
      <c r="D12" s="18" t="s">
        <v>371</v>
      </c>
      <c r="E12" s="18" t="s">
        <v>389</v>
      </c>
      <c r="F12" s="277"/>
      <c r="G12" s="1"/>
      <c r="H12" s="1"/>
      <c r="I12" s="1"/>
      <c r="J12" s="1"/>
      <c r="K12" s="1"/>
      <c r="L12" s="1"/>
      <c r="M12" s="1"/>
      <c r="N12" s="1"/>
      <c r="O12" s="1"/>
      <c r="P12" s="1"/>
      <c r="Q12" s="1"/>
      <c r="R12" s="1"/>
      <c r="S12" s="1"/>
      <c r="T12" s="1"/>
      <c r="U12" s="1"/>
      <c r="V12" s="1"/>
      <c r="W12" s="1"/>
      <c r="X12" s="1"/>
      <c r="Y12" s="1"/>
      <c r="Z12" s="1"/>
    </row>
    <row r="13" spans="1:26" ht="132" customHeight="1" thickTop="1" thickBot="1" x14ac:dyDescent="0.3">
      <c r="A13" s="3">
        <v>11</v>
      </c>
      <c r="B13" s="5" t="s">
        <v>27</v>
      </c>
      <c r="C13" s="277"/>
      <c r="D13" s="17" t="s">
        <v>372</v>
      </c>
      <c r="E13" s="17" t="s">
        <v>392</v>
      </c>
      <c r="F13" s="277"/>
      <c r="G13" s="1"/>
      <c r="H13" s="1"/>
      <c r="I13" s="1"/>
      <c r="J13" s="1"/>
      <c r="K13" s="1"/>
      <c r="L13" s="1"/>
      <c r="M13" s="1"/>
      <c r="N13" s="1"/>
      <c r="O13" s="1"/>
      <c r="P13" s="1"/>
      <c r="Q13" s="1"/>
      <c r="R13" s="1"/>
      <c r="S13" s="1"/>
      <c r="T13" s="1"/>
      <c r="U13" s="1"/>
      <c r="V13" s="1"/>
      <c r="W13" s="1"/>
      <c r="X13" s="1"/>
      <c r="Y13" s="1"/>
      <c r="Z13" s="1"/>
    </row>
    <row r="14" spans="1:26" ht="52.5" customHeight="1" thickBot="1" x14ac:dyDescent="0.3">
      <c r="A14" s="3">
        <v>12</v>
      </c>
      <c r="B14" s="8" t="s">
        <v>30</v>
      </c>
      <c r="C14" s="277"/>
      <c r="D14" s="19" t="s">
        <v>350</v>
      </c>
      <c r="E14" s="20">
        <v>1</v>
      </c>
      <c r="F14" s="277"/>
      <c r="G14" s="1"/>
      <c r="H14" s="1"/>
      <c r="I14" s="1"/>
      <c r="J14" s="1"/>
      <c r="K14" s="1"/>
      <c r="L14" s="1"/>
      <c r="M14" s="1"/>
      <c r="N14" s="1"/>
      <c r="O14" s="1"/>
      <c r="P14" s="1"/>
      <c r="Q14" s="1"/>
      <c r="R14" s="1"/>
      <c r="S14" s="1"/>
      <c r="T14" s="1"/>
      <c r="U14" s="1"/>
      <c r="V14" s="1"/>
      <c r="W14" s="1"/>
      <c r="X14" s="1"/>
      <c r="Y14" s="1"/>
      <c r="Z14" s="1"/>
    </row>
    <row r="15" spans="1:26" ht="81.75" customHeight="1" thickBot="1" x14ac:dyDescent="0.3">
      <c r="A15" s="3">
        <v>13</v>
      </c>
      <c r="B15" s="5" t="s">
        <v>32</v>
      </c>
      <c r="C15" s="277"/>
      <c r="D15" s="21" t="s">
        <v>373</v>
      </c>
      <c r="E15" s="21" t="s">
        <v>239</v>
      </c>
      <c r="F15" s="277"/>
      <c r="G15" s="1"/>
      <c r="H15" s="1"/>
      <c r="I15" s="1"/>
      <c r="J15" s="1"/>
      <c r="K15" s="1"/>
      <c r="L15" s="1"/>
      <c r="M15" s="1"/>
      <c r="N15" s="1"/>
      <c r="O15" s="1"/>
      <c r="P15" s="1"/>
      <c r="Q15" s="1"/>
      <c r="R15" s="1"/>
      <c r="S15" s="1"/>
      <c r="T15" s="1"/>
      <c r="U15" s="1"/>
      <c r="V15" s="1"/>
      <c r="W15" s="1"/>
      <c r="X15" s="1"/>
      <c r="Y15" s="1"/>
      <c r="Z15" s="1"/>
    </row>
    <row r="16" spans="1:26" ht="97.5" customHeight="1" thickBot="1" x14ac:dyDescent="0.3">
      <c r="A16" s="3">
        <v>14</v>
      </c>
      <c r="B16" s="8" t="s">
        <v>35</v>
      </c>
      <c r="C16" s="277"/>
      <c r="D16" s="12" t="s">
        <v>374</v>
      </c>
      <c r="E16" s="12" t="s">
        <v>390</v>
      </c>
      <c r="F16" s="277"/>
      <c r="G16" s="1"/>
      <c r="H16" s="1"/>
      <c r="I16" s="1"/>
      <c r="J16" s="1"/>
      <c r="K16" s="1"/>
      <c r="L16" s="1"/>
      <c r="M16" s="1"/>
      <c r="N16" s="1"/>
      <c r="O16" s="1"/>
      <c r="P16" s="1"/>
      <c r="Q16" s="1"/>
      <c r="R16" s="1"/>
      <c r="S16" s="1"/>
      <c r="T16" s="1"/>
      <c r="U16" s="1"/>
      <c r="V16" s="1"/>
      <c r="W16" s="1"/>
      <c r="X16" s="1"/>
      <c r="Y16" s="1"/>
      <c r="Z16" s="1"/>
    </row>
    <row r="17" spans="1:26" ht="90.75" customHeight="1" thickBot="1" x14ac:dyDescent="0.3">
      <c r="A17" s="3">
        <v>15</v>
      </c>
      <c r="B17" s="5" t="s">
        <v>38</v>
      </c>
      <c r="C17" s="277"/>
      <c r="D17" s="21" t="s">
        <v>353</v>
      </c>
      <c r="E17" s="21" t="s">
        <v>40</v>
      </c>
      <c r="F17" s="277"/>
      <c r="G17" s="1"/>
      <c r="H17" s="1"/>
      <c r="I17" s="1"/>
      <c r="J17" s="1"/>
      <c r="K17" s="1"/>
      <c r="L17" s="1"/>
      <c r="M17" s="1"/>
      <c r="N17" s="1"/>
      <c r="O17" s="1"/>
      <c r="P17" s="1"/>
      <c r="Q17" s="1"/>
      <c r="R17" s="1"/>
      <c r="S17" s="1"/>
      <c r="T17" s="1"/>
      <c r="U17" s="1"/>
      <c r="V17" s="1"/>
      <c r="W17" s="1"/>
      <c r="X17" s="1"/>
      <c r="Y17" s="1"/>
      <c r="Z17" s="1"/>
    </row>
    <row r="18" spans="1:26" ht="133.5" customHeight="1" thickBot="1" x14ac:dyDescent="0.3">
      <c r="A18" s="3">
        <v>16</v>
      </c>
      <c r="B18" s="5" t="s">
        <v>41</v>
      </c>
      <c r="C18" s="277"/>
      <c r="D18" s="21" t="s">
        <v>375</v>
      </c>
      <c r="E18" s="22"/>
      <c r="F18" s="272"/>
      <c r="G18" s="1"/>
      <c r="H18" s="1"/>
      <c r="I18" s="1"/>
      <c r="J18" s="1"/>
      <c r="K18" s="1"/>
      <c r="L18" s="1"/>
      <c r="M18" s="1"/>
      <c r="N18" s="1"/>
      <c r="O18" s="1"/>
      <c r="P18" s="1"/>
      <c r="Q18" s="1"/>
      <c r="R18" s="1"/>
      <c r="S18" s="1"/>
      <c r="T18" s="1"/>
      <c r="U18" s="1"/>
      <c r="V18" s="1"/>
      <c r="W18" s="1"/>
      <c r="X18" s="1"/>
      <c r="Y18" s="1"/>
      <c r="Z18" s="1"/>
    </row>
    <row r="19" spans="1:26" ht="1.5" customHeight="1" thickBot="1" x14ac:dyDescent="0.3">
      <c r="A19" s="23"/>
      <c r="B19" s="24"/>
      <c r="C19" s="272"/>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26"/>
      <c r="B20" s="26" t="s">
        <v>43</v>
      </c>
      <c r="C20" s="27"/>
      <c r="D20" s="27"/>
      <c r="E20" s="27"/>
      <c r="F20" s="27"/>
      <c r="G20" s="27"/>
      <c r="H20" s="27"/>
      <c r="I20" s="27"/>
      <c r="J20" s="1"/>
      <c r="K20" s="1"/>
      <c r="L20" s="1"/>
      <c r="M20" s="1"/>
      <c r="N20" s="1"/>
      <c r="O20" s="1"/>
      <c r="P20" s="1"/>
      <c r="Q20" s="1"/>
      <c r="R20" s="1"/>
      <c r="S20" s="1"/>
      <c r="T20" s="1"/>
      <c r="U20" s="1"/>
      <c r="V20" s="1"/>
      <c r="W20" s="1"/>
      <c r="X20" s="1"/>
      <c r="Y20" s="1"/>
      <c r="Z20" s="1"/>
    </row>
    <row r="21" spans="1:26" ht="36" customHeight="1" x14ac:dyDescent="0.25">
      <c r="A21" s="28" t="s">
        <v>44</v>
      </c>
      <c r="B21" s="29" t="s">
        <v>45</v>
      </c>
      <c r="C21" s="28" t="s">
        <v>46</v>
      </c>
      <c r="D21" s="28" t="s">
        <v>47</v>
      </c>
      <c r="E21" s="28" t="s">
        <v>48</v>
      </c>
      <c r="F21" s="28" t="s">
        <v>49</v>
      </c>
      <c r="G21" s="28"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32" t="s">
        <v>376</v>
      </c>
      <c r="B22" s="33" t="s">
        <v>53</v>
      </c>
      <c r="C22" s="34"/>
      <c r="D22" s="33"/>
      <c r="E22" s="34"/>
      <c r="F22" s="34"/>
      <c r="G22" s="35"/>
      <c r="H22" s="36"/>
      <c r="I22" s="37"/>
      <c r="J22" s="1"/>
      <c r="K22" s="1"/>
      <c r="L22" s="1"/>
      <c r="M22" s="1"/>
      <c r="N22" s="1"/>
      <c r="O22" s="1"/>
      <c r="P22" s="1"/>
      <c r="Q22" s="1"/>
      <c r="R22" s="1"/>
      <c r="S22" s="1"/>
      <c r="T22" s="1"/>
      <c r="U22" s="1"/>
      <c r="V22" s="1"/>
      <c r="W22" s="1"/>
      <c r="X22" s="1"/>
      <c r="Y22" s="1"/>
      <c r="Z22" s="1"/>
    </row>
    <row r="23" spans="1:26" ht="15.75" customHeight="1" x14ac:dyDescent="0.25">
      <c r="A23" s="32" t="s">
        <v>377</v>
      </c>
      <c r="B23" s="33" t="s">
        <v>58</v>
      </c>
      <c r="C23" s="34"/>
      <c r="D23" s="33"/>
      <c r="E23" s="34"/>
      <c r="F23" s="34"/>
      <c r="G23" s="38"/>
      <c r="H23" s="38"/>
      <c r="I23" s="37"/>
      <c r="J23" s="1"/>
      <c r="K23" s="1"/>
      <c r="L23" s="1"/>
      <c r="M23" s="1"/>
      <c r="N23" s="1"/>
      <c r="O23" s="1"/>
      <c r="P23" s="1"/>
      <c r="Q23" s="1"/>
      <c r="R23" s="1"/>
      <c r="S23" s="1"/>
      <c r="T23" s="1"/>
      <c r="U23" s="1"/>
      <c r="V23" s="1"/>
      <c r="W23" s="1"/>
      <c r="X23" s="1"/>
      <c r="Y23" s="1"/>
      <c r="Z23" s="1"/>
    </row>
    <row r="24" spans="1:26" ht="15.75" customHeight="1" x14ac:dyDescent="0.25">
      <c r="A24" s="32" t="s">
        <v>378</v>
      </c>
      <c r="B24" s="33" t="s">
        <v>62</v>
      </c>
      <c r="C24" s="34"/>
      <c r="D24" s="33"/>
      <c r="E24" s="34"/>
      <c r="F24" s="34"/>
      <c r="G24" s="38"/>
      <c r="H24" s="39"/>
      <c r="I24" s="37"/>
      <c r="J24" s="1"/>
      <c r="K24" s="1"/>
      <c r="L24" s="1"/>
      <c r="M24" s="1"/>
      <c r="N24" s="1"/>
      <c r="O24" s="1"/>
      <c r="P24" s="1"/>
      <c r="Q24" s="1"/>
      <c r="R24" s="1"/>
      <c r="S24" s="1"/>
      <c r="T24" s="1"/>
      <c r="U24" s="1"/>
      <c r="V24" s="1"/>
      <c r="W24" s="1"/>
      <c r="X24" s="1"/>
      <c r="Y24" s="1"/>
      <c r="Z24" s="1"/>
    </row>
    <row r="25" spans="1:26" ht="15.75" customHeight="1" x14ac:dyDescent="0.25">
      <c r="A25" s="32" t="s">
        <v>379</v>
      </c>
      <c r="B25" s="33" t="s">
        <v>66</v>
      </c>
      <c r="C25" s="34"/>
      <c r="D25" s="34">
        <v>35700</v>
      </c>
      <c r="E25" s="34" t="s">
        <v>97</v>
      </c>
      <c r="F25" s="34"/>
      <c r="G25" s="38" t="s">
        <v>383</v>
      </c>
      <c r="H25" s="39"/>
      <c r="I25" s="37"/>
      <c r="J25" s="1"/>
      <c r="K25" s="1"/>
      <c r="L25" s="1"/>
      <c r="M25" s="1"/>
      <c r="N25" s="1"/>
      <c r="O25" s="1"/>
      <c r="P25" s="1"/>
      <c r="Q25" s="1"/>
      <c r="R25" s="1"/>
      <c r="S25" s="1"/>
      <c r="T25" s="1"/>
      <c r="U25" s="1"/>
      <c r="V25" s="1"/>
      <c r="W25" s="1"/>
      <c r="X25" s="1"/>
      <c r="Y25" s="1"/>
      <c r="Z25" s="1"/>
    </row>
    <row r="26" spans="1:26" ht="15.75" customHeight="1" x14ac:dyDescent="0.25">
      <c r="A26" s="32" t="s">
        <v>380</v>
      </c>
      <c r="B26" s="33" t="s">
        <v>69</v>
      </c>
      <c r="C26" s="34"/>
      <c r="D26" s="33">
        <v>14400</v>
      </c>
      <c r="E26" s="34">
        <v>2540</v>
      </c>
      <c r="F26" s="34"/>
      <c r="G26" s="40" t="s">
        <v>385</v>
      </c>
      <c r="H26" s="41">
        <v>87716253764</v>
      </c>
      <c r="I26" s="37" t="s">
        <v>387</v>
      </c>
      <c r="J26" s="1"/>
      <c r="K26" s="1"/>
      <c r="L26" s="1"/>
      <c r="M26" s="1"/>
      <c r="N26" s="1"/>
      <c r="O26" s="1"/>
      <c r="P26" s="1"/>
      <c r="Q26" s="1"/>
      <c r="R26" s="1"/>
      <c r="S26" s="1"/>
      <c r="T26" s="1"/>
      <c r="U26" s="1"/>
      <c r="V26" s="1"/>
      <c r="W26" s="1"/>
      <c r="X26" s="1"/>
      <c r="Y26" s="1"/>
      <c r="Z26" s="1"/>
    </row>
    <row r="27" spans="1:26" ht="15.75" customHeight="1" x14ac:dyDescent="0.25">
      <c r="A27" s="32" t="s">
        <v>381</v>
      </c>
      <c r="B27" s="33" t="s">
        <v>70</v>
      </c>
      <c r="C27" s="34"/>
      <c r="D27" s="33"/>
      <c r="E27" s="34"/>
      <c r="F27" s="34"/>
      <c r="G27" s="38" t="s">
        <v>384</v>
      </c>
      <c r="H27" s="42" t="s">
        <v>386</v>
      </c>
      <c r="I27" s="43" t="s">
        <v>387</v>
      </c>
      <c r="J27" s="1"/>
      <c r="K27" s="1"/>
      <c r="L27" s="1"/>
      <c r="M27" s="1"/>
      <c r="N27" s="1"/>
      <c r="O27" s="1"/>
      <c r="P27" s="1"/>
      <c r="Q27" s="1"/>
      <c r="R27" s="1"/>
      <c r="S27" s="1"/>
      <c r="T27" s="1"/>
      <c r="U27" s="1"/>
      <c r="V27" s="1"/>
      <c r="W27" s="1"/>
      <c r="X27" s="1"/>
      <c r="Y27" s="1"/>
      <c r="Z27" s="1"/>
    </row>
    <row r="28" spans="1:26" ht="25.5" customHeight="1" x14ac:dyDescent="0.25">
      <c r="A28" s="32" t="s">
        <v>382</v>
      </c>
      <c r="B28" s="33" t="s">
        <v>71</v>
      </c>
      <c r="C28" s="34"/>
      <c r="D28" s="33">
        <v>26400</v>
      </c>
      <c r="E28" s="34">
        <v>5190</v>
      </c>
      <c r="F28" s="34"/>
      <c r="G28" s="40"/>
      <c r="H28" s="41"/>
      <c r="I28" s="37"/>
      <c r="J28" s="1"/>
      <c r="K28" s="1"/>
      <c r="L28" s="1"/>
      <c r="M28" s="1"/>
      <c r="N28" s="1"/>
      <c r="O28" s="1"/>
      <c r="P28" s="1"/>
      <c r="Q28" s="1"/>
      <c r="R28" s="1"/>
      <c r="S28" s="1"/>
      <c r="T28" s="1"/>
      <c r="U28" s="1"/>
      <c r="V28" s="1"/>
      <c r="W28" s="1"/>
      <c r="X28" s="1"/>
      <c r="Y28" s="1"/>
      <c r="Z28" s="1"/>
    </row>
    <row r="29" spans="1:26" ht="15.75" customHeight="1" x14ac:dyDescent="0.25">
      <c r="A29" s="44"/>
      <c r="B29" s="45" t="s">
        <v>346</v>
      </c>
      <c r="C29" s="46">
        <v>5</v>
      </c>
      <c r="D29" s="45">
        <v>76500</v>
      </c>
      <c r="E29" s="46">
        <v>7730</v>
      </c>
      <c r="F29" s="46"/>
      <c r="G29" s="46"/>
      <c r="H29" s="47"/>
      <c r="I29" s="43"/>
      <c r="J29" s="1"/>
      <c r="K29" s="1"/>
      <c r="L29" s="1"/>
      <c r="M29" s="1"/>
      <c r="N29" s="1"/>
      <c r="O29" s="1"/>
      <c r="P29" s="1"/>
      <c r="Q29" s="1"/>
      <c r="R29" s="1"/>
      <c r="S29" s="1"/>
      <c r="T29" s="1"/>
      <c r="U29" s="1"/>
      <c r="V29" s="1"/>
      <c r="W29" s="1"/>
      <c r="X29" s="1"/>
      <c r="Y29" s="1"/>
      <c r="Z29" s="1"/>
    </row>
    <row r="30" spans="1:26" ht="15.75" customHeight="1" x14ac:dyDescent="0.25">
      <c r="A30" s="48"/>
      <c r="B30" s="48" t="s">
        <v>347</v>
      </c>
      <c r="C30" s="48">
        <v>1</v>
      </c>
      <c r="D30" s="48">
        <v>6800</v>
      </c>
      <c r="E30" s="48">
        <v>0</v>
      </c>
      <c r="F30" s="48"/>
      <c r="G30" s="49"/>
      <c r="H30" s="50"/>
      <c r="I30" s="5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69" t="s">
        <v>72</v>
      </c>
      <c r="B32" s="270"/>
      <c r="C32" s="52" t="s">
        <v>73</v>
      </c>
      <c r="D32" s="52" t="s">
        <v>74</v>
      </c>
      <c r="E32" s="52" t="s">
        <v>75</v>
      </c>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80" t="s">
        <v>76</v>
      </c>
      <c r="B33" s="281"/>
      <c r="C33" s="53">
        <v>9</v>
      </c>
      <c r="D33" s="54">
        <v>81400</v>
      </c>
      <c r="E33" s="55">
        <v>14120</v>
      </c>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82" t="s">
        <v>77</v>
      </c>
      <c r="B34" s="270"/>
      <c r="C34" s="56">
        <v>23</v>
      </c>
      <c r="D34" s="56" t="s">
        <v>78</v>
      </c>
      <c r="E34" s="56" t="s">
        <v>79</v>
      </c>
      <c r="F34" s="57"/>
      <c r="G34" s="1"/>
      <c r="H34" s="1"/>
      <c r="I34" s="1"/>
      <c r="J34" s="1"/>
      <c r="K34" s="1"/>
      <c r="L34" s="1"/>
      <c r="M34" s="1"/>
      <c r="N34" s="1"/>
      <c r="O34" s="1"/>
      <c r="P34" s="1"/>
      <c r="Q34" s="1"/>
      <c r="R34" s="1"/>
      <c r="S34" s="1"/>
      <c r="T34" s="1"/>
      <c r="U34" s="1"/>
      <c r="V34" s="1"/>
      <c r="W34" s="1"/>
      <c r="X34" s="1"/>
      <c r="Y34" s="1"/>
      <c r="Z34" s="1"/>
    </row>
    <row r="35" spans="1:26" ht="15.75" customHeight="1" x14ac:dyDescent="0.25">
      <c r="A35" s="283" t="s">
        <v>21</v>
      </c>
      <c r="B35" s="270"/>
      <c r="C35" s="256">
        <v>30</v>
      </c>
      <c r="D35" s="59" t="s">
        <v>80</v>
      </c>
      <c r="E35" s="60" t="s">
        <v>81</v>
      </c>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61"/>
      <c r="B121" s="23"/>
      <c r="C121" s="24"/>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61"/>
      <c r="B122" s="23"/>
      <c r="C122" s="24"/>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61"/>
      <c r="B123" s="23"/>
      <c r="C123" s="24"/>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61"/>
      <c r="B124" s="23"/>
      <c r="C124" s="24"/>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61"/>
      <c r="B125" s="23"/>
      <c r="C125" s="24"/>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61"/>
      <c r="B126" s="23"/>
      <c r="C126" s="24"/>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61"/>
      <c r="B127" s="23"/>
      <c r="C127" s="24"/>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61"/>
      <c r="B128" s="23"/>
      <c r="C128" s="24"/>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61"/>
      <c r="B129" s="23"/>
      <c r="C129" s="24"/>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61"/>
      <c r="B130" s="23"/>
      <c r="C130" s="24"/>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61"/>
      <c r="B131" s="23"/>
      <c r="C131" s="24"/>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61"/>
      <c r="B132" s="23"/>
      <c r="C132" s="24"/>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61"/>
      <c r="B133" s="23"/>
      <c r="C133" s="24"/>
      <c r="D133" s="25"/>
      <c r="E133" s="25"/>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61"/>
      <c r="B134" s="23"/>
      <c r="C134" s="24"/>
      <c r="D134" s="25"/>
      <c r="E134" s="25"/>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61"/>
      <c r="B135" s="23"/>
      <c r="C135" s="24"/>
      <c r="D135" s="25"/>
      <c r="E135" s="25"/>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61"/>
      <c r="B136" s="23"/>
      <c r="C136" s="24"/>
      <c r="D136" s="25"/>
      <c r="E136" s="25"/>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61"/>
      <c r="B137" s="23"/>
      <c r="C137" s="24"/>
      <c r="D137" s="25"/>
      <c r="E137" s="25"/>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61"/>
      <c r="B138" s="23"/>
      <c r="C138" s="24"/>
      <c r="D138" s="25"/>
      <c r="E138" s="25"/>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61"/>
      <c r="B139" s="23"/>
      <c r="C139" s="24"/>
      <c r="D139" s="25"/>
      <c r="E139" s="25"/>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61"/>
      <c r="B140" s="23"/>
      <c r="C140" s="24"/>
      <c r="D140" s="25"/>
      <c r="E140" s="25"/>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61"/>
      <c r="B141" s="23"/>
      <c r="C141" s="24"/>
      <c r="D141" s="25"/>
      <c r="E141" s="25"/>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61"/>
      <c r="B142" s="23"/>
      <c r="C142" s="24"/>
      <c r="D142" s="25"/>
      <c r="E142" s="25"/>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25"/>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25"/>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25"/>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25"/>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25"/>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25"/>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25"/>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25"/>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25"/>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25"/>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25"/>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25"/>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sheetData>
  <mergeCells count="9">
    <mergeCell ref="A33:B33"/>
    <mergeCell ref="A34:B34"/>
    <mergeCell ref="A35:B35"/>
    <mergeCell ref="A1:A2"/>
    <mergeCell ref="B1:F1"/>
    <mergeCell ref="C3:C10"/>
    <mergeCell ref="F3:F18"/>
    <mergeCell ref="C12:C19"/>
    <mergeCell ref="A32:B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89"/>
  <sheetViews>
    <sheetView topLeftCell="A19" zoomScale="79" zoomScaleNormal="79" workbookViewId="0">
      <selection activeCell="D9" sqref="D9"/>
    </sheetView>
  </sheetViews>
  <sheetFormatPr defaultColWidth="14.42578125" defaultRowHeight="15" customHeight="1" x14ac:dyDescent="0.25"/>
  <cols>
    <col min="1" max="1" width="8.140625" customWidth="1"/>
    <col min="2" max="2" width="33.140625" customWidth="1"/>
    <col min="3" max="3" width="20" customWidth="1"/>
    <col min="4" max="4" width="56.5703125" customWidth="1"/>
    <col min="5" max="5" width="46" customWidth="1"/>
    <col min="6" max="6" width="48.85546875" customWidth="1"/>
    <col min="7" max="7" width="42.85546875" customWidth="1"/>
    <col min="8" max="8" width="32.85546875" customWidth="1"/>
    <col min="9" max="9" width="39.5703125" customWidth="1"/>
    <col min="10" max="26" width="8.85546875" customWidth="1"/>
  </cols>
  <sheetData>
    <row r="1" spans="1:26" ht="31.5" customHeight="1" thickBot="1" x14ac:dyDescent="0.3">
      <c r="A1" s="271" t="s">
        <v>0</v>
      </c>
      <c r="B1" s="273" t="s">
        <v>1</v>
      </c>
      <c r="C1" s="274"/>
      <c r="D1" s="274"/>
      <c r="E1" s="274"/>
      <c r="F1" s="275"/>
      <c r="G1" s="1"/>
      <c r="H1" s="1"/>
      <c r="I1" s="1"/>
      <c r="J1" s="1"/>
      <c r="K1" s="1"/>
      <c r="L1" s="1"/>
      <c r="M1" s="1"/>
      <c r="N1" s="1"/>
      <c r="O1" s="1"/>
      <c r="P1" s="1"/>
      <c r="Q1" s="1"/>
      <c r="R1" s="1"/>
      <c r="S1" s="1"/>
      <c r="T1" s="1"/>
      <c r="U1" s="1"/>
      <c r="V1" s="1"/>
      <c r="W1" s="1"/>
      <c r="X1" s="1"/>
      <c r="Y1" s="1"/>
      <c r="Z1" s="1"/>
    </row>
    <row r="2" spans="1:26" ht="16.5" thickBot="1" x14ac:dyDescent="0.3">
      <c r="A2" s="272"/>
      <c r="B2" s="2" t="s">
        <v>2</v>
      </c>
      <c r="C2" s="3" t="s">
        <v>3</v>
      </c>
      <c r="D2" s="3" t="s">
        <v>4</v>
      </c>
      <c r="E2" s="3" t="s">
        <v>5</v>
      </c>
      <c r="F2" s="3" t="s">
        <v>6</v>
      </c>
      <c r="G2" s="4"/>
      <c r="H2" s="4"/>
      <c r="I2" s="4"/>
      <c r="J2" s="4"/>
      <c r="K2" s="4"/>
      <c r="L2" s="4"/>
      <c r="M2" s="4"/>
      <c r="N2" s="4"/>
      <c r="O2" s="4"/>
      <c r="P2" s="4"/>
      <c r="Q2" s="4"/>
      <c r="R2" s="4"/>
      <c r="S2" s="4"/>
      <c r="T2" s="4"/>
      <c r="U2" s="4"/>
      <c r="V2" s="4"/>
      <c r="W2" s="4"/>
      <c r="X2" s="4"/>
      <c r="Y2" s="4"/>
      <c r="Z2" s="4"/>
    </row>
    <row r="3" spans="1:26" ht="18.75" customHeight="1" thickBot="1" x14ac:dyDescent="0.3">
      <c r="A3" s="3">
        <v>1</v>
      </c>
      <c r="B3" s="5" t="s">
        <v>7</v>
      </c>
      <c r="C3" s="276" t="s">
        <v>8</v>
      </c>
      <c r="D3" s="6">
        <v>83490</v>
      </c>
      <c r="E3" s="6">
        <v>0</v>
      </c>
      <c r="F3" s="278" t="s">
        <v>10</v>
      </c>
      <c r="G3" s="1"/>
      <c r="H3" s="1"/>
      <c r="I3" s="1"/>
      <c r="J3" s="1"/>
      <c r="K3" s="1"/>
      <c r="L3" s="1"/>
      <c r="M3" s="1"/>
      <c r="N3" s="1"/>
      <c r="O3" s="1"/>
      <c r="P3" s="1"/>
      <c r="Q3" s="1"/>
      <c r="R3" s="1"/>
      <c r="S3" s="1"/>
      <c r="T3" s="1"/>
      <c r="U3" s="1"/>
      <c r="V3" s="1"/>
      <c r="W3" s="1"/>
      <c r="X3" s="1"/>
      <c r="Y3" s="1"/>
      <c r="Z3" s="1"/>
    </row>
    <row r="4" spans="1:26" ht="21" customHeight="1" thickBot="1" x14ac:dyDescent="0.3">
      <c r="A4" s="3">
        <v>2</v>
      </c>
      <c r="B4" s="5" t="s">
        <v>11</v>
      </c>
      <c r="C4" s="277"/>
      <c r="D4" s="7">
        <v>13</v>
      </c>
      <c r="E4" s="7">
        <v>1</v>
      </c>
      <c r="F4" s="277"/>
      <c r="G4" s="1"/>
      <c r="H4" s="1"/>
      <c r="I4" s="1"/>
      <c r="J4" s="1"/>
      <c r="K4" s="1"/>
      <c r="L4" s="1"/>
      <c r="M4" s="1"/>
      <c r="N4" s="1"/>
      <c r="O4" s="1"/>
      <c r="P4" s="1"/>
      <c r="Q4" s="1"/>
      <c r="R4" s="1"/>
      <c r="S4" s="1"/>
      <c r="T4" s="1"/>
      <c r="U4" s="1"/>
      <c r="V4" s="1"/>
      <c r="W4" s="1"/>
      <c r="X4" s="1"/>
      <c r="Y4" s="1"/>
      <c r="Z4" s="1"/>
    </row>
    <row r="5" spans="1:26" ht="19.5" customHeight="1" thickBot="1" x14ac:dyDescent="0.3">
      <c r="A5" s="3">
        <v>3</v>
      </c>
      <c r="B5" s="5" t="s">
        <v>12</v>
      </c>
      <c r="C5" s="277"/>
      <c r="D5" s="6">
        <v>6420</v>
      </c>
      <c r="E5" s="6">
        <v>2940</v>
      </c>
      <c r="F5" s="277"/>
      <c r="G5" s="1"/>
      <c r="H5" s="1"/>
      <c r="I5" s="1"/>
      <c r="J5" s="1"/>
      <c r="K5" s="1"/>
      <c r="L5" s="1"/>
      <c r="M5" s="1"/>
      <c r="N5" s="1"/>
      <c r="O5" s="1"/>
      <c r="P5" s="1"/>
      <c r="Q5" s="1"/>
      <c r="R5" s="1"/>
      <c r="S5" s="1"/>
      <c r="T5" s="1"/>
      <c r="U5" s="1"/>
      <c r="V5" s="1"/>
      <c r="W5" s="1"/>
      <c r="X5" s="1"/>
      <c r="Y5" s="1"/>
      <c r="Z5" s="1"/>
    </row>
    <row r="6" spans="1:26" ht="29.25" customHeight="1" thickBot="1" x14ac:dyDescent="0.3">
      <c r="A6" s="3">
        <v>4</v>
      </c>
      <c r="B6" s="5" t="s">
        <v>13</v>
      </c>
      <c r="C6" s="277"/>
      <c r="D6" s="5">
        <v>0</v>
      </c>
      <c r="E6" s="5">
        <v>1</v>
      </c>
      <c r="F6" s="277"/>
      <c r="G6" s="1"/>
      <c r="H6" s="1"/>
      <c r="I6" s="1"/>
      <c r="J6" s="1"/>
      <c r="K6" s="1"/>
      <c r="L6" s="1"/>
      <c r="M6" s="1"/>
      <c r="N6" s="1"/>
      <c r="O6" s="1"/>
      <c r="P6" s="1"/>
      <c r="Q6" s="1"/>
      <c r="R6" s="1"/>
      <c r="S6" s="1"/>
      <c r="T6" s="1"/>
      <c r="U6" s="1"/>
      <c r="V6" s="1"/>
      <c r="W6" s="1"/>
      <c r="X6" s="1"/>
      <c r="Y6" s="1"/>
      <c r="Z6" s="1"/>
    </row>
    <row r="7" spans="1:26" ht="36.75" customHeight="1" thickBot="1" x14ac:dyDescent="0.3">
      <c r="A7" s="3">
        <v>5</v>
      </c>
      <c r="B7" s="8" t="s">
        <v>14</v>
      </c>
      <c r="C7" s="277"/>
      <c r="D7" s="9">
        <v>0</v>
      </c>
      <c r="E7" s="10">
        <v>0</v>
      </c>
      <c r="F7" s="277"/>
      <c r="G7" s="1"/>
      <c r="H7" s="1"/>
      <c r="I7" s="1"/>
      <c r="J7" s="1"/>
      <c r="K7" s="1"/>
      <c r="L7" s="1"/>
      <c r="M7" s="1"/>
      <c r="N7" s="1"/>
      <c r="O7" s="1"/>
      <c r="P7" s="1"/>
      <c r="Q7" s="1"/>
      <c r="R7" s="1"/>
      <c r="S7" s="1"/>
      <c r="T7" s="1"/>
      <c r="U7" s="1"/>
      <c r="V7" s="1"/>
      <c r="W7" s="1"/>
      <c r="X7" s="1"/>
      <c r="Y7" s="1"/>
      <c r="Z7" s="1"/>
    </row>
    <row r="8" spans="1:26" ht="72" customHeight="1" thickBot="1" x14ac:dyDescent="0.3">
      <c r="A8" s="3">
        <v>6</v>
      </c>
      <c r="B8" s="8" t="s">
        <v>15</v>
      </c>
      <c r="C8" s="277"/>
      <c r="D8" s="11" t="s">
        <v>355</v>
      </c>
      <c r="E8" s="12" t="s">
        <v>356</v>
      </c>
      <c r="F8" s="277"/>
      <c r="G8" s="1"/>
      <c r="H8" s="1"/>
      <c r="I8" s="1"/>
      <c r="J8" s="1"/>
      <c r="K8" s="1"/>
      <c r="L8" s="1"/>
      <c r="M8" s="1"/>
      <c r="N8" s="1"/>
      <c r="O8" s="1"/>
      <c r="P8" s="1"/>
      <c r="Q8" s="1"/>
      <c r="R8" s="1"/>
      <c r="S8" s="1"/>
      <c r="T8" s="1"/>
      <c r="U8" s="1"/>
      <c r="V8" s="1"/>
      <c r="W8" s="1"/>
      <c r="X8" s="1"/>
      <c r="Y8" s="1"/>
      <c r="Z8" s="1"/>
    </row>
    <row r="9" spans="1:26" ht="57" customHeight="1" thickBot="1" x14ac:dyDescent="0.3">
      <c r="A9" s="3">
        <v>7</v>
      </c>
      <c r="B9" s="8" t="s">
        <v>18</v>
      </c>
      <c r="C9" s="277"/>
      <c r="D9" s="8">
        <v>1</v>
      </c>
      <c r="E9" s="8">
        <v>0</v>
      </c>
      <c r="F9" s="277"/>
      <c r="G9" s="1"/>
      <c r="H9" s="1"/>
      <c r="I9" s="1"/>
      <c r="J9" s="1"/>
      <c r="K9" s="1"/>
      <c r="L9" s="1"/>
      <c r="M9" s="1"/>
      <c r="N9" s="1"/>
      <c r="O9" s="1"/>
      <c r="P9" s="1"/>
      <c r="Q9" s="1"/>
      <c r="R9" s="1"/>
      <c r="S9" s="1"/>
      <c r="T9" s="1"/>
      <c r="U9" s="1"/>
      <c r="V9" s="1"/>
      <c r="W9" s="1"/>
      <c r="X9" s="1"/>
      <c r="Y9" s="1"/>
      <c r="Z9" s="1"/>
    </row>
    <row r="10" spans="1:26" ht="43.5" customHeight="1" thickBot="1" x14ac:dyDescent="0.3">
      <c r="A10" s="3">
        <v>8</v>
      </c>
      <c r="B10" s="5" t="s">
        <v>19</v>
      </c>
      <c r="C10" s="272"/>
      <c r="D10" s="13">
        <v>1</v>
      </c>
      <c r="E10" s="14">
        <v>0</v>
      </c>
      <c r="F10" s="277"/>
      <c r="G10" s="1"/>
      <c r="H10" s="1"/>
      <c r="I10" s="1"/>
      <c r="J10" s="1"/>
      <c r="K10" s="1"/>
      <c r="L10" s="1"/>
      <c r="M10" s="1"/>
      <c r="N10" s="1"/>
      <c r="O10" s="1"/>
      <c r="P10" s="1"/>
      <c r="Q10" s="1"/>
      <c r="R10" s="1"/>
      <c r="S10" s="1"/>
      <c r="T10" s="1"/>
      <c r="U10" s="1"/>
      <c r="V10" s="1"/>
      <c r="W10" s="1"/>
      <c r="X10" s="1"/>
      <c r="Y10" s="1"/>
      <c r="Z10" s="1"/>
    </row>
    <row r="11" spans="1:26" ht="90.75" customHeight="1" thickTop="1" thickBot="1" x14ac:dyDescent="0.3">
      <c r="A11" s="3">
        <v>9</v>
      </c>
      <c r="B11" s="5" t="s">
        <v>20</v>
      </c>
      <c r="C11" s="15" t="s">
        <v>21</v>
      </c>
      <c r="D11" s="16" t="s">
        <v>22</v>
      </c>
      <c r="E11" s="17" t="s">
        <v>23</v>
      </c>
      <c r="F11" s="277"/>
      <c r="G11" s="1"/>
      <c r="H11" s="1"/>
      <c r="I11" s="1"/>
      <c r="J11" s="1"/>
      <c r="K11" s="1"/>
      <c r="L11" s="1"/>
      <c r="M11" s="1"/>
      <c r="N11" s="1"/>
      <c r="O11" s="1"/>
      <c r="P11" s="1"/>
      <c r="Q11" s="1"/>
      <c r="R11" s="1"/>
      <c r="S11" s="1"/>
      <c r="T11" s="1"/>
      <c r="U11" s="1"/>
      <c r="V11" s="1"/>
      <c r="W11" s="1"/>
      <c r="X11" s="1"/>
      <c r="Y11" s="1"/>
      <c r="Z11" s="1"/>
    </row>
    <row r="12" spans="1:26" ht="116.25" customHeight="1" thickBot="1" x14ac:dyDescent="0.3">
      <c r="A12" s="3">
        <v>10</v>
      </c>
      <c r="B12" s="5" t="s">
        <v>24</v>
      </c>
      <c r="C12" s="276" t="s">
        <v>8</v>
      </c>
      <c r="D12" s="18" t="s">
        <v>348</v>
      </c>
      <c r="E12" s="18" t="s">
        <v>360</v>
      </c>
      <c r="F12" s="277"/>
      <c r="G12" s="1"/>
      <c r="H12" s="1"/>
      <c r="I12" s="1"/>
      <c r="J12" s="1"/>
      <c r="K12" s="1"/>
      <c r="L12" s="1"/>
      <c r="M12" s="1"/>
      <c r="N12" s="1"/>
      <c r="O12" s="1"/>
      <c r="P12" s="1"/>
      <c r="Q12" s="1"/>
      <c r="R12" s="1"/>
      <c r="S12" s="1"/>
      <c r="T12" s="1"/>
      <c r="U12" s="1"/>
      <c r="V12" s="1"/>
      <c r="W12" s="1"/>
      <c r="X12" s="1"/>
      <c r="Y12" s="1"/>
      <c r="Z12" s="1"/>
    </row>
    <row r="13" spans="1:26" ht="132" customHeight="1" thickTop="1" thickBot="1" x14ac:dyDescent="0.3">
      <c r="A13" s="3">
        <v>11</v>
      </c>
      <c r="B13" s="5" t="s">
        <v>27</v>
      </c>
      <c r="C13" s="277"/>
      <c r="D13" s="17" t="s">
        <v>349</v>
      </c>
      <c r="E13" s="17" t="s">
        <v>357</v>
      </c>
      <c r="F13" s="277"/>
      <c r="G13" s="1"/>
      <c r="H13" s="1"/>
      <c r="I13" s="1"/>
      <c r="J13" s="1"/>
      <c r="K13" s="1"/>
      <c r="L13" s="1"/>
      <c r="M13" s="1"/>
      <c r="N13" s="1"/>
      <c r="O13" s="1"/>
      <c r="P13" s="1"/>
      <c r="Q13" s="1"/>
      <c r="R13" s="1"/>
      <c r="S13" s="1"/>
      <c r="T13" s="1"/>
      <c r="U13" s="1"/>
      <c r="V13" s="1"/>
      <c r="W13" s="1"/>
      <c r="X13" s="1"/>
      <c r="Y13" s="1"/>
      <c r="Z13" s="1"/>
    </row>
    <row r="14" spans="1:26" ht="52.5" customHeight="1" thickBot="1" x14ac:dyDescent="0.3">
      <c r="A14" s="3">
        <v>12</v>
      </c>
      <c r="B14" s="8" t="s">
        <v>30</v>
      </c>
      <c r="C14" s="277"/>
      <c r="D14" s="19" t="s">
        <v>350</v>
      </c>
      <c r="E14" s="20">
        <v>1</v>
      </c>
      <c r="F14" s="277"/>
      <c r="G14" s="1"/>
      <c r="H14" s="1"/>
      <c r="I14" s="1"/>
      <c r="J14" s="1"/>
      <c r="K14" s="1"/>
      <c r="L14" s="1"/>
      <c r="M14" s="1"/>
      <c r="N14" s="1"/>
      <c r="O14" s="1"/>
      <c r="P14" s="1"/>
      <c r="Q14" s="1"/>
      <c r="R14" s="1"/>
      <c r="S14" s="1"/>
      <c r="T14" s="1"/>
      <c r="U14" s="1"/>
      <c r="V14" s="1"/>
      <c r="W14" s="1"/>
      <c r="X14" s="1"/>
      <c r="Y14" s="1"/>
      <c r="Z14" s="1"/>
    </row>
    <row r="15" spans="1:26" ht="81.75" customHeight="1" thickBot="1" x14ac:dyDescent="0.3">
      <c r="A15" s="3">
        <v>13</v>
      </c>
      <c r="B15" s="5" t="s">
        <v>32</v>
      </c>
      <c r="C15" s="277"/>
      <c r="D15" s="21" t="s">
        <v>351</v>
      </c>
      <c r="E15" s="21" t="s">
        <v>358</v>
      </c>
      <c r="F15" s="277"/>
      <c r="G15" s="1"/>
      <c r="H15" s="1"/>
      <c r="I15" s="1"/>
      <c r="J15" s="1"/>
      <c r="K15" s="1"/>
      <c r="L15" s="1"/>
      <c r="M15" s="1"/>
      <c r="N15" s="1"/>
      <c r="O15" s="1"/>
      <c r="P15" s="1"/>
      <c r="Q15" s="1"/>
      <c r="R15" s="1"/>
      <c r="S15" s="1"/>
      <c r="T15" s="1"/>
      <c r="U15" s="1"/>
      <c r="V15" s="1"/>
      <c r="W15" s="1"/>
      <c r="X15" s="1"/>
      <c r="Y15" s="1"/>
      <c r="Z15" s="1"/>
    </row>
    <row r="16" spans="1:26" ht="97.5" customHeight="1" thickBot="1" x14ac:dyDescent="0.3">
      <c r="A16" s="3">
        <v>14</v>
      </c>
      <c r="B16" s="8" t="s">
        <v>35</v>
      </c>
      <c r="C16" s="277"/>
      <c r="D16" s="12" t="s">
        <v>352</v>
      </c>
      <c r="E16" s="12" t="s">
        <v>359</v>
      </c>
      <c r="F16" s="277"/>
      <c r="G16" s="1"/>
      <c r="H16" s="1"/>
      <c r="I16" s="1"/>
      <c r="J16" s="1"/>
      <c r="K16" s="1"/>
      <c r="L16" s="1"/>
      <c r="M16" s="1"/>
      <c r="N16" s="1"/>
      <c r="O16" s="1"/>
      <c r="P16" s="1"/>
      <c r="Q16" s="1"/>
      <c r="R16" s="1"/>
      <c r="S16" s="1"/>
      <c r="T16" s="1"/>
      <c r="U16" s="1"/>
      <c r="V16" s="1"/>
      <c r="W16" s="1"/>
      <c r="X16" s="1"/>
      <c r="Y16" s="1"/>
      <c r="Z16" s="1"/>
    </row>
    <row r="17" spans="1:26" ht="90.75" customHeight="1" thickBot="1" x14ac:dyDescent="0.3">
      <c r="A17" s="3">
        <v>15</v>
      </c>
      <c r="B17" s="5" t="s">
        <v>38</v>
      </c>
      <c r="C17" s="277"/>
      <c r="D17" s="21" t="s">
        <v>353</v>
      </c>
      <c r="E17" s="21" t="s">
        <v>40</v>
      </c>
      <c r="F17" s="277"/>
      <c r="G17" s="1"/>
      <c r="H17" s="1"/>
      <c r="I17" s="1"/>
      <c r="J17" s="1"/>
      <c r="K17" s="1"/>
      <c r="L17" s="1"/>
      <c r="M17" s="1"/>
      <c r="N17" s="1"/>
      <c r="O17" s="1"/>
      <c r="P17" s="1"/>
      <c r="Q17" s="1"/>
      <c r="R17" s="1"/>
      <c r="S17" s="1"/>
      <c r="T17" s="1"/>
      <c r="U17" s="1"/>
      <c r="V17" s="1"/>
      <c r="W17" s="1"/>
      <c r="X17" s="1"/>
      <c r="Y17" s="1"/>
      <c r="Z17" s="1"/>
    </row>
    <row r="18" spans="1:26" ht="133.5" customHeight="1" thickBot="1" x14ac:dyDescent="0.3">
      <c r="A18" s="3">
        <v>16</v>
      </c>
      <c r="B18" s="5" t="s">
        <v>41</v>
      </c>
      <c r="C18" s="277"/>
      <c r="D18" s="21" t="s">
        <v>354</v>
      </c>
      <c r="E18" s="22"/>
      <c r="F18" s="272"/>
      <c r="G18" s="1"/>
      <c r="H18" s="1"/>
      <c r="I18" s="1"/>
      <c r="J18" s="1"/>
      <c r="K18" s="1"/>
      <c r="L18" s="1"/>
      <c r="M18" s="1"/>
      <c r="N18" s="1"/>
      <c r="O18" s="1"/>
      <c r="P18" s="1"/>
      <c r="Q18" s="1"/>
      <c r="R18" s="1"/>
      <c r="S18" s="1"/>
      <c r="T18" s="1"/>
      <c r="U18" s="1"/>
      <c r="V18" s="1"/>
      <c r="W18" s="1"/>
      <c r="X18" s="1"/>
      <c r="Y18" s="1"/>
      <c r="Z18" s="1"/>
    </row>
    <row r="19" spans="1:26" ht="1.5" customHeight="1" thickBot="1" x14ac:dyDescent="0.3">
      <c r="A19" s="23"/>
      <c r="B19" s="24"/>
      <c r="C19" s="272"/>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26"/>
      <c r="B20" s="26" t="s">
        <v>43</v>
      </c>
      <c r="C20" s="27"/>
      <c r="D20" s="27"/>
      <c r="E20" s="27"/>
      <c r="F20" s="27"/>
      <c r="G20" s="27"/>
      <c r="H20" s="27"/>
      <c r="I20" s="27"/>
      <c r="J20" s="1"/>
      <c r="K20" s="1"/>
      <c r="L20" s="1"/>
      <c r="M20" s="1"/>
      <c r="N20" s="1"/>
      <c r="O20" s="1"/>
      <c r="P20" s="1"/>
      <c r="Q20" s="1"/>
      <c r="R20" s="1"/>
      <c r="S20" s="1"/>
      <c r="T20" s="1"/>
      <c r="U20" s="1"/>
      <c r="V20" s="1"/>
      <c r="W20" s="1"/>
      <c r="X20" s="1"/>
      <c r="Y20" s="1"/>
      <c r="Z20" s="1"/>
    </row>
    <row r="21" spans="1:26" ht="36" customHeight="1" x14ac:dyDescent="0.25">
      <c r="A21" s="28" t="s">
        <v>44</v>
      </c>
      <c r="B21" s="29" t="s">
        <v>45</v>
      </c>
      <c r="C21" s="28" t="s">
        <v>46</v>
      </c>
      <c r="D21" s="28" t="s">
        <v>47</v>
      </c>
      <c r="E21" s="28" t="s">
        <v>48</v>
      </c>
      <c r="F21" s="28" t="s">
        <v>49</v>
      </c>
      <c r="G21" s="28"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32" t="s">
        <v>361</v>
      </c>
      <c r="B22" s="33" t="s">
        <v>53</v>
      </c>
      <c r="C22" s="34"/>
      <c r="D22" s="33"/>
      <c r="E22" s="34"/>
      <c r="F22" s="34"/>
      <c r="G22" s="35"/>
      <c r="H22" s="36"/>
      <c r="I22" s="37"/>
      <c r="J22" s="1"/>
      <c r="K22" s="1"/>
      <c r="L22" s="1"/>
      <c r="M22" s="1"/>
      <c r="N22" s="1"/>
      <c r="O22" s="1"/>
      <c r="P22" s="1"/>
      <c r="Q22" s="1"/>
      <c r="R22" s="1"/>
      <c r="S22" s="1"/>
      <c r="T22" s="1"/>
      <c r="U22" s="1"/>
      <c r="V22" s="1"/>
      <c r="W22" s="1"/>
      <c r="X22" s="1"/>
      <c r="Y22" s="1"/>
      <c r="Z22" s="1"/>
    </row>
    <row r="23" spans="1:26" ht="15.75" customHeight="1" x14ac:dyDescent="0.25">
      <c r="A23" s="32" t="s">
        <v>362</v>
      </c>
      <c r="B23" s="33" t="s">
        <v>58</v>
      </c>
      <c r="C23" s="34"/>
      <c r="D23" s="33"/>
      <c r="E23" s="34"/>
      <c r="F23" s="34"/>
      <c r="G23" s="38"/>
      <c r="H23" s="38"/>
      <c r="I23" s="37"/>
      <c r="J23" s="1"/>
      <c r="K23" s="1"/>
      <c r="L23" s="1"/>
      <c r="M23" s="1"/>
      <c r="N23" s="1"/>
      <c r="O23" s="1"/>
      <c r="P23" s="1"/>
      <c r="Q23" s="1"/>
      <c r="R23" s="1"/>
      <c r="S23" s="1"/>
      <c r="T23" s="1"/>
      <c r="U23" s="1"/>
      <c r="V23" s="1"/>
      <c r="W23" s="1"/>
      <c r="X23" s="1"/>
      <c r="Y23" s="1"/>
      <c r="Z23" s="1"/>
    </row>
    <row r="24" spans="1:26" ht="15.75" customHeight="1" x14ac:dyDescent="0.25">
      <c r="A24" s="32" t="s">
        <v>367</v>
      </c>
      <c r="B24" s="33" t="s">
        <v>62</v>
      </c>
      <c r="C24" s="34"/>
      <c r="D24" s="33"/>
      <c r="E24" s="34"/>
      <c r="F24" s="34"/>
      <c r="G24" s="38"/>
      <c r="H24" s="39"/>
      <c r="I24" s="37"/>
      <c r="J24" s="1"/>
      <c r="K24" s="1"/>
      <c r="L24" s="1"/>
      <c r="M24" s="1"/>
      <c r="N24" s="1"/>
      <c r="O24" s="1"/>
      <c r="P24" s="1"/>
      <c r="Q24" s="1"/>
      <c r="R24" s="1"/>
      <c r="S24" s="1"/>
      <c r="T24" s="1"/>
      <c r="U24" s="1"/>
      <c r="V24" s="1"/>
      <c r="W24" s="1"/>
      <c r="X24" s="1"/>
      <c r="Y24" s="1"/>
      <c r="Z24" s="1"/>
    </row>
    <row r="25" spans="1:26" ht="15.75" customHeight="1" x14ac:dyDescent="0.25">
      <c r="A25" s="32" t="s">
        <v>363</v>
      </c>
      <c r="B25" s="33" t="s">
        <v>66</v>
      </c>
      <c r="C25" s="34"/>
      <c r="D25" s="34"/>
      <c r="E25" s="34"/>
      <c r="F25" s="34"/>
      <c r="G25" s="38"/>
      <c r="H25" s="39"/>
      <c r="I25" s="37"/>
      <c r="J25" s="1"/>
      <c r="K25" s="1"/>
      <c r="L25" s="1"/>
      <c r="M25" s="1"/>
      <c r="N25" s="1"/>
      <c r="O25" s="1"/>
      <c r="P25" s="1"/>
      <c r="Q25" s="1"/>
      <c r="R25" s="1"/>
      <c r="S25" s="1"/>
      <c r="T25" s="1"/>
      <c r="U25" s="1"/>
      <c r="V25" s="1"/>
      <c r="W25" s="1"/>
      <c r="X25" s="1"/>
      <c r="Y25" s="1"/>
      <c r="Z25" s="1"/>
    </row>
    <row r="26" spans="1:26" ht="15.75" customHeight="1" x14ac:dyDescent="0.25">
      <c r="A26" s="32" t="s">
        <v>364</v>
      </c>
      <c r="B26" s="33" t="s">
        <v>69</v>
      </c>
      <c r="C26" s="34">
        <v>1</v>
      </c>
      <c r="D26" s="33">
        <v>6800</v>
      </c>
      <c r="E26" s="34"/>
      <c r="F26" s="34"/>
      <c r="G26" s="40" t="s">
        <v>368</v>
      </c>
      <c r="H26" s="41">
        <v>87716253764</v>
      </c>
      <c r="I26" s="37"/>
      <c r="J26" s="1"/>
      <c r="K26" s="1"/>
      <c r="L26" s="1"/>
      <c r="M26" s="1"/>
      <c r="N26" s="1"/>
      <c r="O26" s="1"/>
      <c r="P26" s="1"/>
      <c r="Q26" s="1"/>
      <c r="R26" s="1"/>
      <c r="S26" s="1"/>
      <c r="T26" s="1"/>
      <c r="U26" s="1"/>
      <c r="V26" s="1"/>
      <c r="W26" s="1"/>
      <c r="X26" s="1"/>
      <c r="Y26" s="1"/>
      <c r="Z26" s="1"/>
    </row>
    <row r="27" spans="1:26" ht="15.75" customHeight="1" x14ac:dyDescent="0.25">
      <c r="A27" s="32" t="s">
        <v>365</v>
      </c>
      <c r="B27" s="33" t="s">
        <v>70</v>
      </c>
      <c r="C27" s="34"/>
      <c r="D27" s="33"/>
      <c r="E27" s="34"/>
      <c r="F27" s="34"/>
      <c r="G27" s="38"/>
      <c r="H27" s="42"/>
      <c r="I27" s="43"/>
      <c r="J27" s="1"/>
      <c r="K27" s="1"/>
      <c r="L27" s="1"/>
      <c r="M27" s="1"/>
      <c r="N27" s="1"/>
      <c r="O27" s="1"/>
      <c r="P27" s="1"/>
      <c r="Q27" s="1"/>
      <c r="R27" s="1"/>
      <c r="S27" s="1"/>
      <c r="T27" s="1"/>
      <c r="U27" s="1"/>
      <c r="V27" s="1"/>
      <c r="W27" s="1"/>
      <c r="X27" s="1"/>
      <c r="Y27" s="1"/>
      <c r="Z27" s="1"/>
    </row>
    <row r="28" spans="1:26" ht="25.5" customHeight="1" x14ac:dyDescent="0.25">
      <c r="A28" s="32" t="s">
        <v>366</v>
      </c>
      <c r="B28" s="33" t="s">
        <v>71</v>
      </c>
      <c r="C28" s="34"/>
      <c r="D28" s="33"/>
      <c r="E28" s="34"/>
      <c r="F28" s="34"/>
      <c r="G28" s="40"/>
      <c r="H28" s="41"/>
      <c r="I28" s="37"/>
      <c r="J28" s="1"/>
      <c r="K28" s="1"/>
      <c r="L28" s="1"/>
      <c r="M28" s="1"/>
      <c r="N28" s="1"/>
      <c r="O28" s="1"/>
      <c r="P28" s="1"/>
      <c r="Q28" s="1"/>
      <c r="R28" s="1"/>
      <c r="S28" s="1"/>
      <c r="T28" s="1"/>
      <c r="U28" s="1"/>
      <c r="V28" s="1"/>
      <c r="W28" s="1"/>
      <c r="X28" s="1"/>
      <c r="Y28" s="1"/>
      <c r="Z28" s="1"/>
    </row>
    <row r="29" spans="1:26" ht="15.75" customHeight="1" x14ac:dyDescent="0.25">
      <c r="A29" s="44"/>
      <c r="B29" s="45" t="s">
        <v>346</v>
      </c>
      <c r="C29" s="46">
        <v>1</v>
      </c>
      <c r="D29" s="45">
        <v>6800</v>
      </c>
      <c r="E29" s="46">
        <v>0</v>
      </c>
      <c r="F29" s="46"/>
      <c r="G29" s="46"/>
      <c r="H29" s="47"/>
      <c r="I29" s="43"/>
      <c r="J29" s="1"/>
      <c r="K29" s="1"/>
      <c r="L29" s="1"/>
      <c r="M29" s="1"/>
      <c r="N29" s="1"/>
      <c r="O29" s="1"/>
      <c r="P29" s="1"/>
      <c r="Q29" s="1"/>
      <c r="R29" s="1"/>
      <c r="S29" s="1"/>
      <c r="T29" s="1"/>
      <c r="U29" s="1"/>
      <c r="V29" s="1"/>
      <c r="W29" s="1"/>
      <c r="X29" s="1"/>
      <c r="Y29" s="1"/>
      <c r="Z29" s="1"/>
    </row>
    <row r="30" spans="1:26" ht="15.75" customHeight="1" x14ac:dyDescent="0.25">
      <c r="A30" s="48"/>
      <c r="B30" s="48" t="s">
        <v>347</v>
      </c>
      <c r="C30" s="48">
        <v>8</v>
      </c>
      <c r="D30" s="48">
        <v>117600</v>
      </c>
      <c r="E30" s="48">
        <v>12500</v>
      </c>
      <c r="F30" s="48"/>
      <c r="G30" s="49"/>
      <c r="H30" s="50"/>
      <c r="I30" s="5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69" t="s">
        <v>72</v>
      </c>
      <c r="B32" s="270"/>
      <c r="C32" s="52" t="s">
        <v>73</v>
      </c>
      <c r="D32" s="52" t="s">
        <v>74</v>
      </c>
      <c r="E32" s="52" t="s">
        <v>75</v>
      </c>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80" t="s">
        <v>76</v>
      </c>
      <c r="B33" s="281"/>
      <c r="C33" s="53">
        <v>9</v>
      </c>
      <c r="D33" s="54">
        <v>81400</v>
      </c>
      <c r="E33" s="55">
        <v>14120</v>
      </c>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82" t="s">
        <v>77</v>
      </c>
      <c r="B34" s="270"/>
      <c r="C34" s="56">
        <v>23</v>
      </c>
      <c r="D34" s="56" t="s">
        <v>78</v>
      </c>
      <c r="E34" s="56" t="s">
        <v>79</v>
      </c>
      <c r="F34" s="57"/>
      <c r="G34" s="1"/>
      <c r="H34" s="1"/>
      <c r="I34" s="1"/>
      <c r="J34" s="1"/>
      <c r="K34" s="1"/>
      <c r="L34" s="1"/>
      <c r="M34" s="1"/>
      <c r="N34" s="1"/>
      <c r="O34" s="1"/>
      <c r="P34" s="1"/>
      <c r="Q34" s="1"/>
      <c r="R34" s="1"/>
      <c r="S34" s="1"/>
      <c r="T34" s="1"/>
      <c r="U34" s="1"/>
      <c r="V34" s="1"/>
      <c r="W34" s="1"/>
      <c r="X34" s="1"/>
      <c r="Y34" s="1"/>
      <c r="Z34" s="1"/>
    </row>
    <row r="35" spans="1:26" ht="15.75" customHeight="1" x14ac:dyDescent="0.25">
      <c r="A35" s="283" t="s">
        <v>21</v>
      </c>
      <c r="B35" s="270"/>
      <c r="C35" s="256">
        <v>30</v>
      </c>
      <c r="D35" s="59" t="s">
        <v>80</v>
      </c>
      <c r="E35" s="60" t="s">
        <v>81</v>
      </c>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61"/>
      <c r="B121" s="23"/>
      <c r="C121" s="24"/>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61"/>
      <c r="B122" s="23"/>
      <c r="C122" s="24"/>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61"/>
      <c r="B123" s="23"/>
      <c r="C123" s="24"/>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61"/>
      <c r="B124" s="23"/>
      <c r="C124" s="24"/>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61"/>
      <c r="B125" s="23"/>
      <c r="C125" s="24"/>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61"/>
      <c r="B126" s="23"/>
      <c r="C126" s="24"/>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61"/>
      <c r="B127" s="23"/>
      <c r="C127" s="24"/>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61"/>
      <c r="B128" s="23"/>
      <c r="C128" s="24"/>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61"/>
      <c r="B129" s="23"/>
      <c r="C129" s="24"/>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61"/>
      <c r="B130" s="23"/>
      <c r="C130" s="24"/>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61"/>
      <c r="B131" s="23"/>
      <c r="C131" s="24"/>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61"/>
      <c r="B132" s="23"/>
      <c r="C132" s="24"/>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61"/>
      <c r="B133" s="23"/>
      <c r="C133" s="24"/>
      <c r="D133" s="25"/>
      <c r="E133" s="25"/>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61"/>
      <c r="B134" s="23"/>
      <c r="C134" s="24"/>
      <c r="D134" s="25"/>
      <c r="E134" s="25"/>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61"/>
      <c r="B135" s="23"/>
      <c r="C135" s="24"/>
      <c r="D135" s="25"/>
      <c r="E135" s="25"/>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61"/>
      <c r="B136" s="23"/>
      <c r="C136" s="24"/>
      <c r="D136" s="25"/>
      <c r="E136" s="25"/>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61"/>
      <c r="B137" s="23"/>
      <c r="C137" s="24"/>
      <c r="D137" s="25"/>
      <c r="E137" s="25"/>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61"/>
      <c r="B138" s="23"/>
      <c r="C138" s="24"/>
      <c r="D138" s="25"/>
      <c r="E138" s="25"/>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61"/>
      <c r="B139" s="23"/>
      <c r="C139" s="24"/>
      <c r="D139" s="25"/>
      <c r="E139" s="25"/>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61"/>
      <c r="B140" s="23"/>
      <c r="C140" s="24"/>
      <c r="D140" s="25"/>
      <c r="E140" s="25"/>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61"/>
      <c r="B141" s="23"/>
      <c r="C141" s="24"/>
      <c r="D141" s="25"/>
      <c r="E141" s="25"/>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61"/>
      <c r="B142" s="23"/>
      <c r="C142" s="24"/>
      <c r="D142" s="25"/>
      <c r="E142" s="25"/>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25"/>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25"/>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25"/>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25"/>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25"/>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25"/>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25"/>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25"/>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25"/>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25"/>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25"/>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25"/>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sheetData>
  <mergeCells count="9">
    <mergeCell ref="A33:B33"/>
    <mergeCell ref="A34:B34"/>
    <mergeCell ref="A35:B35"/>
    <mergeCell ref="A1:A2"/>
    <mergeCell ref="B1:F1"/>
    <mergeCell ref="C3:C10"/>
    <mergeCell ref="F3:F18"/>
    <mergeCell ref="C12:C19"/>
    <mergeCell ref="A32: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89"/>
  <sheetViews>
    <sheetView topLeftCell="A19" workbookViewId="0">
      <selection activeCell="D22" sqref="D22"/>
    </sheetView>
  </sheetViews>
  <sheetFormatPr defaultColWidth="14.42578125" defaultRowHeight="15" customHeight="1" x14ac:dyDescent="0.25"/>
  <cols>
    <col min="1" max="1" width="8.140625" customWidth="1"/>
    <col min="2" max="2" width="33.140625" customWidth="1"/>
    <col min="3" max="3" width="20" customWidth="1"/>
    <col min="4" max="4" width="56.5703125" customWidth="1"/>
    <col min="5" max="5" width="46" customWidth="1"/>
    <col min="6" max="6" width="48.85546875" customWidth="1"/>
    <col min="7" max="7" width="42.85546875" customWidth="1"/>
    <col min="8" max="8" width="32.85546875" customWidth="1"/>
    <col min="9" max="9" width="39.5703125" customWidth="1"/>
    <col min="10" max="26" width="8.85546875" customWidth="1"/>
  </cols>
  <sheetData>
    <row r="1" spans="1:26" ht="31.5" customHeight="1" x14ac:dyDescent="0.25">
      <c r="A1" s="271" t="s">
        <v>0</v>
      </c>
      <c r="B1" s="273" t="s">
        <v>1</v>
      </c>
      <c r="C1" s="274"/>
      <c r="D1" s="274"/>
      <c r="E1" s="274"/>
      <c r="F1" s="275"/>
      <c r="G1" s="1"/>
      <c r="H1" s="1"/>
      <c r="I1" s="1"/>
      <c r="J1" s="1"/>
      <c r="K1" s="1"/>
      <c r="L1" s="1"/>
      <c r="M1" s="1"/>
      <c r="N1" s="1"/>
      <c r="O1" s="1"/>
      <c r="P1" s="1"/>
      <c r="Q1" s="1"/>
      <c r="R1" s="1"/>
      <c r="S1" s="1"/>
      <c r="T1" s="1"/>
      <c r="U1" s="1"/>
      <c r="V1" s="1"/>
      <c r="W1" s="1"/>
      <c r="X1" s="1"/>
      <c r="Y1" s="1"/>
      <c r="Z1" s="1"/>
    </row>
    <row r="2" spans="1:26" ht="15.75" x14ac:dyDescent="0.25">
      <c r="A2" s="272"/>
      <c r="B2" s="2" t="s">
        <v>2</v>
      </c>
      <c r="C2" s="3" t="s">
        <v>3</v>
      </c>
      <c r="D2" s="3" t="s">
        <v>4</v>
      </c>
      <c r="E2" s="3" t="s">
        <v>5</v>
      </c>
      <c r="F2" s="3" t="s">
        <v>6</v>
      </c>
      <c r="G2" s="4"/>
      <c r="H2" s="4"/>
      <c r="I2" s="4"/>
      <c r="J2" s="4"/>
      <c r="K2" s="4"/>
      <c r="L2" s="4"/>
      <c r="M2" s="4"/>
      <c r="N2" s="4"/>
      <c r="O2" s="4"/>
      <c r="P2" s="4"/>
      <c r="Q2" s="4"/>
      <c r="R2" s="4"/>
      <c r="S2" s="4"/>
      <c r="T2" s="4"/>
      <c r="U2" s="4"/>
      <c r="V2" s="4"/>
      <c r="W2" s="4"/>
      <c r="X2" s="4"/>
      <c r="Y2" s="4"/>
      <c r="Z2" s="4"/>
    </row>
    <row r="3" spans="1:26" ht="18.75" customHeight="1" x14ac:dyDescent="0.25">
      <c r="A3" s="3">
        <v>1</v>
      </c>
      <c r="B3" s="5" t="s">
        <v>7</v>
      </c>
      <c r="C3" s="276" t="s">
        <v>8</v>
      </c>
      <c r="D3" s="6">
        <v>44030</v>
      </c>
      <c r="E3" s="6" t="s">
        <v>9</v>
      </c>
      <c r="F3" s="278" t="s">
        <v>10</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7">
        <v>6</v>
      </c>
      <c r="E4" s="7">
        <v>5</v>
      </c>
      <c r="F4" s="277"/>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6">
        <v>7338</v>
      </c>
      <c r="E5" s="6">
        <v>6400</v>
      </c>
      <c r="F5" s="277"/>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5">
        <v>0</v>
      </c>
      <c r="E6" s="5">
        <v>1</v>
      </c>
      <c r="F6" s="277"/>
      <c r="G6" s="1"/>
      <c r="H6" s="1"/>
      <c r="I6" s="1"/>
      <c r="J6" s="1"/>
      <c r="K6" s="1"/>
      <c r="L6" s="1"/>
      <c r="M6" s="1"/>
      <c r="N6" s="1"/>
      <c r="O6" s="1"/>
      <c r="P6" s="1"/>
      <c r="Q6" s="1"/>
      <c r="R6" s="1"/>
      <c r="S6" s="1"/>
      <c r="T6" s="1"/>
      <c r="U6" s="1"/>
      <c r="V6" s="1"/>
      <c r="W6" s="1"/>
      <c r="X6" s="1"/>
      <c r="Y6" s="1"/>
      <c r="Z6" s="1"/>
    </row>
    <row r="7" spans="1:26" ht="36.75" customHeight="1" x14ac:dyDescent="0.25">
      <c r="A7" s="3">
        <v>5</v>
      </c>
      <c r="B7" s="8" t="s">
        <v>14</v>
      </c>
      <c r="C7" s="277"/>
      <c r="D7" s="9">
        <v>0</v>
      </c>
      <c r="E7" s="10">
        <v>0</v>
      </c>
      <c r="F7" s="277"/>
      <c r="G7" s="1"/>
      <c r="H7" s="1"/>
      <c r="I7" s="1"/>
      <c r="J7" s="1"/>
      <c r="K7" s="1"/>
      <c r="L7" s="1"/>
      <c r="M7" s="1"/>
      <c r="N7" s="1"/>
      <c r="O7" s="1"/>
      <c r="P7" s="1"/>
      <c r="Q7" s="1"/>
      <c r="R7" s="1"/>
      <c r="S7" s="1"/>
      <c r="T7" s="1"/>
      <c r="U7" s="1"/>
      <c r="V7" s="1"/>
      <c r="W7" s="1"/>
      <c r="X7" s="1"/>
      <c r="Y7" s="1"/>
      <c r="Z7" s="1"/>
    </row>
    <row r="8" spans="1:26" ht="72" customHeight="1" x14ac:dyDescent="0.25">
      <c r="A8" s="3">
        <v>6</v>
      </c>
      <c r="B8" s="8" t="s">
        <v>15</v>
      </c>
      <c r="C8" s="277"/>
      <c r="D8" s="11" t="s">
        <v>16</v>
      </c>
      <c r="E8" s="12" t="s">
        <v>17</v>
      </c>
      <c r="F8" s="277"/>
      <c r="G8" s="1"/>
      <c r="H8" s="1"/>
      <c r="I8" s="1"/>
      <c r="J8" s="1"/>
      <c r="K8" s="1"/>
      <c r="L8" s="1"/>
      <c r="M8" s="1"/>
      <c r="N8" s="1"/>
      <c r="O8" s="1"/>
      <c r="P8" s="1"/>
      <c r="Q8" s="1"/>
      <c r="R8" s="1"/>
      <c r="S8" s="1"/>
      <c r="T8" s="1"/>
      <c r="U8" s="1"/>
      <c r="V8" s="1"/>
      <c r="W8" s="1"/>
      <c r="X8" s="1"/>
      <c r="Y8" s="1"/>
      <c r="Z8" s="1"/>
    </row>
    <row r="9" spans="1:26" ht="57" customHeight="1" x14ac:dyDescent="0.25">
      <c r="A9" s="3">
        <v>7</v>
      </c>
      <c r="B9" s="8" t="s">
        <v>18</v>
      </c>
      <c r="C9" s="277"/>
      <c r="D9" s="8">
        <v>0</v>
      </c>
      <c r="E9" s="8">
        <v>0</v>
      </c>
      <c r="F9" s="277"/>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2"/>
      <c r="D10" s="13">
        <v>0</v>
      </c>
      <c r="E10" s="14">
        <v>0</v>
      </c>
      <c r="F10" s="277"/>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15" t="s">
        <v>21</v>
      </c>
      <c r="D11" s="16" t="s">
        <v>22</v>
      </c>
      <c r="E11" s="17" t="s">
        <v>23</v>
      </c>
      <c r="F11" s="277"/>
      <c r="G11" s="1"/>
      <c r="H11" s="1"/>
      <c r="I11" s="1"/>
      <c r="J11" s="1"/>
      <c r="K11" s="1"/>
      <c r="L11" s="1"/>
      <c r="M11" s="1"/>
      <c r="N11" s="1"/>
      <c r="O11" s="1"/>
      <c r="P11" s="1"/>
      <c r="Q11" s="1"/>
      <c r="R11" s="1"/>
      <c r="S11" s="1"/>
      <c r="T11" s="1"/>
      <c r="U11" s="1"/>
      <c r="V11" s="1"/>
      <c r="W11" s="1"/>
      <c r="X11" s="1"/>
      <c r="Y11" s="1"/>
      <c r="Z11" s="1"/>
    </row>
    <row r="12" spans="1:26" ht="116.25" customHeight="1" x14ac:dyDescent="0.25">
      <c r="A12" s="3">
        <v>10</v>
      </c>
      <c r="B12" s="5" t="s">
        <v>24</v>
      </c>
      <c r="C12" s="276" t="s">
        <v>8</v>
      </c>
      <c r="D12" s="18" t="s">
        <v>25</v>
      </c>
      <c r="E12" s="18" t="s">
        <v>26</v>
      </c>
      <c r="F12" s="277"/>
      <c r="G12" s="1"/>
      <c r="H12" s="1"/>
      <c r="I12" s="1"/>
      <c r="J12" s="1"/>
      <c r="K12" s="1"/>
      <c r="L12" s="1"/>
      <c r="M12" s="1"/>
      <c r="N12" s="1"/>
      <c r="O12" s="1"/>
      <c r="P12" s="1"/>
      <c r="Q12" s="1"/>
      <c r="R12" s="1"/>
      <c r="S12" s="1"/>
      <c r="T12" s="1"/>
      <c r="U12" s="1"/>
      <c r="V12" s="1"/>
      <c r="W12" s="1"/>
      <c r="X12" s="1"/>
      <c r="Y12" s="1"/>
      <c r="Z12" s="1"/>
    </row>
    <row r="13" spans="1:26" ht="132" customHeight="1" x14ac:dyDescent="0.25">
      <c r="A13" s="3">
        <v>11</v>
      </c>
      <c r="B13" s="5" t="s">
        <v>27</v>
      </c>
      <c r="C13" s="277"/>
      <c r="D13" s="17" t="s">
        <v>28</v>
      </c>
      <c r="E13" s="17" t="s">
        <v>29</v>
      </c>
      <c r="F13" s="277"/>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77"/>
      <c r="D14" s="19" t="s">
        <v>31</v>
      </c>
      <c r="E14" s="20">
        <v>1</v>
      </c>
      <c r="F14" s="277"/>
      <c r="G14" s="1"/>
      <c r="H14" s="1"/>
      <c r="I14" s="1"/>
      <c r="J14" s="1"/>
      <c r="K14" s="1"/>
      <c r="L14" s="1"/>
      <c r="M14" s="1"/>
      <c r="N14" s="1"/>
      <c r="O14" s="1"/>
      <c r="P14" s="1"/>
      <c r="Q14" s="1"/>
      <c r="R14" s="1"/>
      <c r="S14" s="1"/>
      <c r="T14" s="1"/>
      <c r="U14" s="1"/>
      <c r="V14" s="1"/>
      <c r="W14" s="1"/>
      <c r="X14" s="1"/>
      <c r="Y14" s="1"/>
      <c r="Z14" s="1"/>
    </row>
    <row r="15" spans="1:26" ht="81.75" customHeight="1" x14ac:dyDescent="0.25">
      <c r="A15" s="3">
        <v>13</v>
      </c>
      <c r="B15" s="5" t="s">
        <v>32</v>
      </c>
      <c r="C15" s="277"/>
      <c r="D15" s="21" t="s">
        <v>33</v>
      </c>
      <c r="E15" s="21" t="s">
        <v>34</v>
      </c>
      <c r="F15" s="277"/>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277"/>
      <c r="D16" s="12" t="s">
        <v>36</v>
      </c>
      <c r="E16" s="12" t="s">
        <v>37</v>
      </c>
      <c r="F16" s="277"/>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277"/>
      <c r="D17" s="21" t="s">
        <v>39</v>
      </c>
      <c r="E17" s="21" t="s">
        <v>40</v>
      </c>
      <c r="F17" s="277"/>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277"/>
      <c r="D18" s="21" t="s">
        <v>42</v>
      </c>
      <c r="E18" s="22"/>
      <c r="F18" s="272"/>
      <c r="G18" s="1"/>
      <c r="H18" s="1"/>
      <c r="I18" s="1"/>
      <c r="J18" s="1"/>
      <c r="K18" s="1"/>
      <c r="L18" s="1"/>
      <c r="M18" s="1"/>
      <c r="N18" s="1"/>
      <c r="O18" s="1"/>
      <c r="P18" s="1"/>
      <c r="Q18" s="1"/>
      <c r="R18" s="1"/>
      <c r="S18" s="1"/>
      <c r="T18" s="1"/>
      <c r="U18" s="1"/>
      <c r="V18" s="1"/>
      <c r="W18" s="1"/>
      <c r="X18" s="1"/>
      <c r="Y18" s="1"/>
      <c r="Z18" s="1"/>
    </row>
    <row r="19" spans="1:26" ht="1.5" customHeight="1" x14ac:dyDescent="0.25">
      <c r="A19" s="23"/>
      <c r="B19" s="24"/>
      <c r="C19" s="272"/>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26"/>
      <c r="B20" s="26" t="s">
        <v>43</v>
      </c>
      <c r="C20" s="27"/>
      <c r="D20" s="27"/>
      <c r="E20" s="27"/>
      <c r="F20" s="27"/>
      <c r="G20" s="27"/>
      <c r="H20" s="27"/>
      <c r="I20" s="27"/>
      <c r="J20" s="1"/>
      <c r="K20" s="1"/>
      <c r="L20" s="1"/>
      <c r="M20" s="1"/>
      <c r="N20" s="1"/>
      <c r="O20" s="1"/>
      <c r="P20" s="1"/>
      <c r="Q20" s="1"/>
      <c r="R20" s="1"/>
      <c r="S20" s="1"/>
      <c r="T20" s="1"/>
      <c r="U20" s="1"/>
      <c r="V20" s="1"/>
      <c r="W20" s="1"/>
      <c r="X20" s="1"/>
      <c r="Y20" s="1"/>
      <c r="Z20" s="1"/>
    </row>
    <row r="21" spans="1:26" ht="36" customHeight="1" x14ac:dyDescent="0.25">
      <c r="A21" s="28" t="s">
        <v>44</v>
      </c>
      <c r="B21" s="29" t="s">
        <v>45</v>
      </c>
      <c r="C21" s="28" t="s">
        <v>46</v>
      </c>
      <c r="D21" s="28" t="s">
        <v>47</v>
      </c>
      <c r="E21" s="28" t="s">
        <v>48</v>
      </c>
      <c r="F21" s="28" t="s">
        <v>49</v>
      </c>
      <c r="G21" s="28"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32">
        <v>46181</v>
      </c>
      <c r="B22" s="33" t="s">
        <v>53</v>
      </c>
      <c r="C22" s="34">
        <v>2</v>
      </c>
      <c r="D22" s="33" t="s">
        <v>54</v>
      </c>
      <c r="E22" s="34">
        <v>3250</v>
      </c>
      <c r="F22" s="34"/>
      <c r="G22" s="35" t="s">
        <v>55</v>
      </c>
      <c r="H22" s="36" t="s">
        <v>56</v>
      </c>
      <c r="I22" s="37" t="s">
        <v>57</v>
      </c>
      <c r="J22" s="1"/>
      <c r="K22" s="1"/>
      <c r="L22" s="1"/>
      <c r="M22" s="1"/>
      <c r="N22" s="1"/>
      <c r="O22" s="1"/>
      <c r="P22" s="1"/>
      <c r="Q22" s="1"/>
      <c r="R22" s="1"/>
      <c r="S22" s="1"/>
      <c r="T22" s="1"/>
      <c r="U22" s="1"/>
      <c r="V22" s="1"/>
      <c r="W22" s="1"/>
      <c r="X22" s="1"/>
      <c r="Y22" s="1"/>
      <c r="Z22" s="1"/>
    </row>
    <row r="23" spans="1:26" ht="15.75" customHeight="1" x14ac:dyDescent="0.25">
      <c r="A23" s="32">
        <v>46182</v>
      </c>
      <c r="B23" s="33" t="s">
        <v>58</v>
      </c>
      <c r="C23" s="34">
        <v>2</v>
      </c>
      <c r="D23" s="33" t="s">
        <v>59</v>
      </c>
      <c r="E23" s="34">
        <v>2000</v>
      </c>
      <c r="F23" s="34"/>
      <c r="G23" s="38" t="s">
        <v>60</v>
      </c>
      <c r="H23" s="38" t="s">
        <v>61</v>
      </c>
      <c r="I23" s="37" t="s">
        <v>57</v>
      </c>
      <c r="J23" s="1"/>
      <c r="K23" s="1"/>
      <c r="L23" s="1"/>
      <c r="M23" s="1"/>
      <c r="N23" s="1"/>
      <c r="O23" s="1"/>
      <c r="P23" s="1"/>
      <c r="Q23" s="1"/>
      <c r="R23" s="1"/>
      <c r="S23" s="1"/>
      <c r="T23" s="1"/>
      <c r="U23" s="1"/>
      <c r="V23" s="1"/>
      <c r="W23" s="1"/>
      <c r="X23" s="1"/>
      <c r="Y23" s="1"/>
      <c r="Z23" s="1"/>
    </row>
    <row r="24" spans="1:26" ht="15.75" customHeight="1" x14ac:dyDescent="0.25">
      <c r="A24" s="32">
        <v>46183</v>
      </c>
      <c r="B24" s="33" t="s">
        <v>62</v>
      </c>
      <c r="C24" s="34">
        <v>3</v>
      </c>
      <c r="D24" s="33" t="s">
        <v>63</v>
      </c>
      <c r="E24" s="34">
        <v>5400</v>
      </c>
      <c r="F24" s="34"/>
      <c r="G24" s="38" t="s">
        <v>64</v>
      </c>
      <c r="H24" s="39" t="s">
        <v>65</v>
      </c>
      <c r="I24" s="37" t="s">
        <v>57</v>
      </c>
      <c r="J24" s="1"/>
      <c r="K24" s="1"/>
      <c r="L24" s="1"/>
      <c r="M24" s="1"/>
      <c r="N24" s="1"/>
      <c r="O24" s="1"/>
      <c r="P24" s="1"/>
      <c r="Q24" s="1"/>
      <c r="R24" s="1"/>
      <c r="S24" s="1"/>
      <c r="T24" s="1"/>
      <c r="U24" s="1"/>
      <c r="V24" s="1"/>
      <c r="W24" s="1"/>
      <c r="X24" s="1"/>
      <c r="Y24" s="1"/>
      <c r="Z24" s="1"/>
    </row>
    <row r="25" spans="1:26" ht="15.75" customHeight="1" x14ac:dyDescent="0.25">
      <c r="A25" s="32">
        <v>46184</v>
      </c>
      <c r="B25" s="33" t="s">
        <v>66</v>
      </c>
      <c r="C25" s="34">
        <v>1</v>
      </c>
      <c r="D25" s="34" t="s">
        <v>67</v>
      </c>
      <c r="E25" s="34">
        <v>1850</v>
      </c>
      <c r="F25" s="34"/>
      <c r="G25" s="38" t="s">
        <v>68</v>
      </c>
      <c r="H25" s="39">
        <v>87475620765</v>
      </c>
      <c r="I25" s="37" t="s">
        <v>57</v>
      </c>
      <c r="J25" s="1"/>
      <c r="K25" s="1"/>
      <c r="L25" s="1"/>
      <c r="M25" s="1"/>
      <c r="N25" s="1"/>
      <c r="O25" s="1"/>
      <c r="P25" s="1"/>
      <c r="Q25" s="1"/>
      <c r="R25" s="1"/>
      <c r="S25" s="1"/>
      <c r="T25" s="1"/>
      <c r="U25" s="1"/>
      <c r="V25" s="1"/>
      <c r="W25" s="1"/>
      <c r="X25" s="1"/>
      <c r="Y25" s="1"/>
      <c r="Z25" s="1"/>
    </row>
    <row r="26" spans="1:26" ht="15.75" customHeight="1" x14ac:dyDescent="0.25">
      <c r="A26" s="32">
        <v>46185</v>
      </c>
      <c r="B26" s="33" t="s">
        <v>69</v>
      </c>
      <c r="C26" s="34"/>
      <c r="D26" s="33"/>
      <c r="E26" s="34"/>
      <c r="F26" s="34"/>
      <c r="G26" s="40"/>
      <c r="H26" s="41"/>
      <c r="I26" s="37"/>
      <c r="J26" s="1"/>
      <c r="K26" s="1"/>
      <c r="L26" s="1"/>
      <c r="M26" s="1"/>
      <c r="N26" s="1"/>
      <c r="O26" s="1"/>
      <c r="P26" s="1"/>
      <c r="Q26" s="1"/>
      <c r="R26" s="1"/>
      <c r="S26" s="1"/>
      <c r="T26" s="1"/>
      <c r="U26" s="1"/>
      <c r="V26" s="1"/>
      <c r="W26" s="1"/>
      <c r="X26" s="1"/>
      <c r="Y26" s="1"/>
      <c r="Z26" s="1"/>
    </row>
    <row r="27" spans="1:26" ht="15.75" customHeight="1" x14ac:dyDescent="0.25">
      <c r="A27" s="32">
        <v>46186</v>
      </c>
      <c r="B27" s="33" t="s">
        <v>70</v>
      </c>
      <c r="C27" s="34"/>
      <c r="D27" s="33"/>
      <c r="E27" s="34"/>
      <c r="F27" s="34"/>
      <c r="G27" s="38"/>
      <c r="H27" s="42"/>
      <c r="I27" s="43"/>
      <c r="J27" s="1"/>
      <c r="K27" s="1"/>
      <c r="L27" s="1"/>
      <c r="M27" s="1"/>
      <c r="N27" s="1"/>
      <c r="O27" s="1"/>
      <c r="P27" s="1"/>
      <c r="Q27" s="1"/>
      <c r="R27" s="1"/>
      <c r="S27" s="1"/>
      <c r="T27" s="1"/>
      <c r="U27" s="1"/>
      <c r="V27" s="1"/>
      <c r="W27" s="1"/>
      <c r="X27" s="1"/>
      <c r="Y27" s="1"/>
      <c r="Z27" s="1"/>
    </row>
    <row r="28" spans="1:26" ht="25.5" customHeight="1" x14ac:dyDescent="0.25">
      <c r="A28" s="32">
        <v>46187</v>
      </c>
      <c r="B28" s="33" t="s">
        <v>71</v>
      </c>
      <c r="C28" s="34"/>
      <c r="D28" s="33"/>
      <c r="E28" s="34"/>
      <c r="F28" s="34"/>
      <c r="G28" s="40"/>
      <c r="H28" s="41"/>
      <c r="I28" s="37"/>
      <c r="J28" s="1"/>
      <c r="K28" s="1"/>
      <c r="L28" s="1"/>
      <c r="M28" s="1"/>
      <c r="N28" s="1"/>
      <c r="O28" s="1"/>
      <c r="P28" s="1"/>
      <c r="Q28" s="1"/>
      <c r="R28" s="1"/>
      <c r="S28" s="1"/>
      <c r="T28" s="1"/>
      <c r="U28" s="1"/>
      <c r="V28" s="1"/>
      <c r="W28" s="1"/>
      <c r="X28" s="1"/>
      <c r="Y28" s="1"/>
      <c r="Z28" s="1"/>
    </row>
    <row r="29" spans="1:26" ht="15.75" customHeight="1" x14ac:dyDescent="0.25">
      <c r="A29" s="44"/>
      <c r="B29" s="45" t="s">
        <v>346</v>
      </c>
      <c r="C29" s="46">
        <v>8</v>
      </c>
      <c r="D29" s="45">
        <v>117600</v>
      </c>
      <c r="E29" s="46">
        <f>SUM(E22:E28)</f>
        <v>12500</v>
      </c>
      <c r="F29" s="46"/>
      <c r="G29" s="46"/>
      <c r="H29" s="47"/>
      <c r="I29" s="43"/>
      <c r="J29" s="1"/>
      <c r="K29" s="1"/>
      <c r="L29" s="1"/>
      <c r="M29" s="1"/>
      <c r="N29" s="1"/>
      <c r="O29" s="1"/>
      <c r="P29" s="1"/>
      <c r="Q29" s="1"/>
      <c r="R29" s="1"/>
      <c r="S29" s="1"/>
      <c r="T29" s="1"/>
      <c r="U29" s="1"/>
      <c r="V29" s="1"/>
      <c r="W29" s="1"/>
      <c r="X29" s="1"/>
      <c r="Y29" s="1"/>
      <c r="Z29" s="1"/>
    </row>
    <row r="30" spans="1:26" ht="15.75" customHeight="1" x14ac:dyDescent="0.25">
      <c r="A30" s="48"/>
      <c r="B30" s="48" t="s">
        <v>347</v>
      </c>
      <c r="C30" s="48">
        <v>5</v>
      </c>
      <c r="D30" s="48">
        <v>65000</v>
      </c>
      <c r="E30" s="48">
        <v>2000</v>
      </c>
      <c r="F30" s="48"/>
      <c r="G30" s="49"/>
      <c r="H30" s="50"/>
      <c r="I30" s="5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69" t="s">
        <v>72</v>
      </c>
      <c r="B32" s="270"/>
      <c r="C32" s="52" t="s">
        <v>73</v>
      </c>
      <c r="D32" s="52" t="s">
        <v>74</v>
      </c>
      <c r="E32" s="52" t="s">
        <v>75</v>
      </c>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80" t="s">
        <v>76</v>
      </c>
      <c r="B33" s="281"/>
      <c r="C33" s="53">
        <v>9</v>
      </c>
      <c r="D33" s="54">
        <v>81400</v>
      </c>
      <c r="E33" s="55">
        <v>14120</v>
      </c>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82" t="s">
        <v>77</v>
      </c>
      <c r="B34" s="270"/>
      <c r="C34" s="56">
        <v>23</v>
      </c>
      <c r="D34" s="56" t="s">
        <v>78</v>
      </c>
      <c r="E34" s="56" t="s">
        <v>79</v>
      </c>
      <c r="F34" s="57"/>
      <c r="G34" s="1"/>
      <c r="H34" s="1"/>
      <c r="I34" s="1"/>
      <c r="J34" s="1"/>
      <c r="K34" s="1"/>
      <c r="L34" s="1"/>
      <c r="M34" s="1"/>
      <c r="N34" s="1"/>
      <c r="O34" s="1"/>
      <c r="P34" s="1"/>
      <c r="Q34" s="1"/>
      <c r="R34" s="1"/>
      <c r="S34" s="1"/>
      <c r="T34" s="1"/>
      <c r="U34" s="1"/>
      <c r="V34" s="1"/>
      <c r="W34" s="1"/>
      <c r="X34" s="1"/>
      <c r="Y34" s="1"/>
      <c r="Z34" s="1"/>
    </row>
    <row r="35" spans="1:26" ht="15.75" customHeight="1" x14ac:dyDescent="0.25">
      <c r="A35" s="283" t="s">
        <v>21</v>
      </c>
      <c r="B35" s="270"/>
      <c r="C35" s="256">
        <v>30</v>
      </c>
      <c r="D35" s="59" t="s">
        <v>80</v>
      </c>
      <c r="E35" s="60" t="s">
        <v>81</v>
      </c>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61"/>
      <c r="B121" s="23"/>
      <c r="C121" s="24"/>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61"/>
      <c r="B122" s="23"/>
      <c r="C122" s="24"/>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61"/>
      <c r="B123" s="23"/>
      <c r="C123" s="24"/>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61"/>
      <c r="B124" s="23"/>
      <c r="C124" s="24"/>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61"/>
      <c r="B125" s="23"/>
      <c r="C125" s="24"/>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61"/>
      <c r="B126" s="23"/>
      <c r="C126" s="24"/>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61"/>
      <c r="B127" s="23"/>
      <c r="C127" s="24"/>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61"/>
      <c r="B128" s="23"/>
      <c r="C128" s="24"/>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61"/>
      <c r="B129" s="23"/>
      <c r="C129" s="24"/>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61"/>
      <c r="B130" s="23"/>
      <c r="C130" s="24"/>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61"/>
      <c r="B131" s="23"/>
      <c r="C131" s="24"/>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61"/>
      <c r="B132" s="23"/>
      <c r="C132" s="24"/>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61"/>
      <c r="B133" s="23"/>
      <c r="C133" s="24"/>
      <c r="D133" s="25"/>
      <c r="E133" s="25"/>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61"/>
      <c r="B134" s="23"/>
      <c r="C134" s="24"/>
      <c r="D134" s="25"/>
      <c r="E134" s="25"/>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61"/>
      <c r="B135" s="23"/>
      <c r="C135" s="24"/>
      <c r="D135" s="25"/>
      <c r="E135" s="25"/>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61"/>
      <c r="B136" s="23"/>
      <c r="C136" s="24"/>
      <c r="D136" s="25"/>
      <c r="E136" s="25"/>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61"/>
      <c r="B137" s="23"/>
      <c r="C137" s="24"/>
      <c r="D137" s="25"/>
      <c r="E137" s="25"/>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61"/>
      <c r="B138" s="23"/>
      <c r="C138" s="24"/>
      <c r="D138" s="25"/>
      <c r="E138" s="25"/>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61"/>
      <c r="B139" s="23"/>
      <c r="C139" s="24"/>
      <c r="D139" s="25"/>
      <c r="E139" s="25"/>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61"/>
      <c r="B140" s="23"/>
      <c r="C140" s="24"/>
      <c r="D140" s="25"/>
      <c r="E140" s="25"/>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61"/>
      <c r="B141" s="23"/>
      <c r="C141" s="24"/>
      <c r="D141" s="25"/>
      <c r="E141" s="25"/>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61"/>
      <c r="B142" s="23"/>
      <c r="C142" s="24"/>
      <c r="D142" s="25"/>
      <c r="E142" s="25"/>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25"/>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25"/>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25"/>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25"/>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25"/>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25"/>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25"/>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25"/>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25"/>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25"/>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25"/>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25"/>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sheetData>
  <mergeCells count="9">
    <mergeCell ref="A32:B32"/>
    <mergeCell ref="A33:B33"/>
    <mergeCell ref="A34:B34"/>
    <mergeCell ref="A35:B35"/>
    <mergeCell ref="A1:A2"/>
    <mergeCell ref="B1:F1"/>
    <mergeCell ref="C3:C10"/>
    <mergeCell ref="F3:F18"/>
    <mergeCell ref="C12:C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89"/>
  <sheetViews>
    <sheetView topLeftCell="A19" workbookViewId="0">
      <selection sqref="A1:A2"/>
    </sheetView>
  </sheetViews>
  <sheetFormatPr defaultColWidth="14.42578125" defaultRowHeight="15" customHeight="1" x14ac:dyDescent="0.25"/>
  <cols>
    <col min="1" max="1" width="8.140625" customWidth="1"/>
    <col min="2" max="2" width="33.140625" customWidth="1"/>
    <col min="3" max="3" width="20" customWidth="1"/>
    <col min="4" max="4" width="56.5703125" customWidth="1"/>
    <col min="5" max="5" width="46" customWidth="1"/>
    <col min="6" max="6" width="48.85546875" customWidth="1"/>
    <col min="7" max="7" width="42.85546875" customWidth="1"/>
    <col min="8" max="8" width="32.85546875" customWidth="1"/>
    <col min="9" max="9" width="39.5703125" customWidth="1"/>
    <col min="10" max="26" width="8.85546875" customWidth="1"/>
  </cols>
  <sheetData>
    <row r="1" spans="1:26" ht="31.5" customHeight="1" x14ac:dyDescent="0.25">
      <c r="A1" s="271" t="s">
        <v>0</v>
      </c>
      <c r="B1" s="273" t="s">
        <v>1</v>
      </c>
      <c r="C1" s="274"/>
      <c r="D1" s="274"/>
      <c r="E1" s="274"/>
      <c r="F1" s="275"/>
      <c r="G1" s="1"/>
      <c r="H1" s="1"/>
      <c r="I1" s="1"/>
      <c r="J1" s="1"/>
      <c r="K1" s="1"/>
      <c r="L1" s="1"/>
      <c r="M1" s="1"/>
      <c r="N1" s="1"/>
      <c r="O1" s="1"/>
      <c r="P1" s="1"/>
      <c r="Q1" s="1"/>
      <c r="R1" s="1"/>
      <c r="S1" s="1"/>
      <c r="T1" s="1"/>
      <c r="U1" s="1"/>
      <c r="V1" s="1"/>
      <c r="W1" s="1"/>
      <c r="X1" s="1"/>
      <c r="Y1" s="1"/>
      <c r="Z1" s="1"/>
    </row>
    <row r="2" spans="1:26" ht="15.75" x14ac:dyDescent="0.25">
      <c r="A2" s="272"/>
      <c r="B2" s="2" t="s">
        <v>2</v>
      </c>
      <c r="C2" s="3" t="s">
        <v>3</v>
      </c>
      <c r="D2" s="3" t="s">
        <v>4</v>
      </c>
      <c r="E2" s="3" t="s">
        <v>5</v>
      </c>
      <c r="F2" s="3" t="s">
        <v>6</v>
      </c>
      <c r="G2" s="4"/>
      <c r="H2" s="4"/>
      <c r="I2" s="4"/>
      <c r="J2" s="4"/>
      <c r="K2" s="4"/>
      <c r="L2" s="4"/>
      <c r="M2" s="4"/>
      <c r="N2" s="4"/>
      <c r="O2" s="4"/>
      <c r="P2" s="4"/>
      <c r="Q2" s="4"/>
      <c r="R2" s="4"/>
      <c r="S2" s="4"/>
      <c r="T2" s="4"/>
      <c r="U2" s="4"/>
      <c r="V2" s="4"/>
      <c r="W2" s="4"/>
      <c r="X2" s="4"/>
      <c r="Y2" s="4"/>
      <c r="Z2" s="4"/>
    </row>
    <row r="3" spans="1:26" ht="18.75" customHeight="1" x14ac:dyDescent="0.25">
      <c r="A3" s="3">
        <v>1</v>
      </c>
      <c r="B3" s="5" t="s">
        <v>7</v>
      </c>
      <c r="C3" s="276" t="s">
        <v>82</v>
      </c>
      <c r="D3" s="6" t="s">
        <v>83</v>
      </c>
      <c r="E3" s="6">
        <v>18270</v>
      </c>
      <c r="F3" s="278" t="s">
        <v>84</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7">
        <v>5</v>
      </c>
      <c r="E4" s="7">
        <v>4</v>
      </c>
      <c r="F4" s="277"/>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6">
        <v>6972</v>
      </c>
      <c r="E5" s="6">
        <v>4567</v>
      </c>
      <c r="F5" s="277"/>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5">
        <v>0</v>
      </c>
      <c r="E6" s="5">
        <v>0</v>
      </c>
      <c r="F6" s="277"/>
      <c r="G6" s="1"/>
      <c r="H6" s="1"/>
      <c r="I6" s="1"/>
      <c r="J6" s="1"/>
      <c r="K6" s="1"/>
      <c r="L6" s="1"/>
      <c r="M6" s="1"/>
      <c r="N6" s="1"/>
      <c r="O6" s="1"/>
      <c r="P6" s="1"/>
      <c r="Q6" s="1"/>
      <c r="R6" s="1"/>
      <c r="S6" s="1"/>
      <c r="T6" s="1"/>
      <c r="U6" s="1"/>
      <c r="V6" s="1"/>
      <c r="W6" s="1"/>
      <c r="X6" s="1"/>
      <c r="Y6" s="1"/>
      <c r="Z6" s="1"/>
    </row>
    <row r="7" spans="1:26" ht="36.75" customHeight="1" x14ac:dyDescent="0.25">
      <c r="A7" s="3">
        <v>5</v>
      </c>
      <c r="B7" s="8" t="s">
        <v>14</v>
      </c>
      <c r="C7" s="277"/>
      <c r="D7" s="9">
        <v>0</v>
      </c>
      <c r="E7" s="10">
        <v>0</v>
      </c>
      <c r="F7" s="277"/>
      <c r="G7" s="1"/>
      <c r="H7" s="1"/>
      <c r="I7" s="1"/>
      <c r="J7" s="1"/>
      <c r="K7" s="1"/>
      <c r="L7" s="1"/>
      <c r="M7" s="1"/>
      <c r="N7" s="1"/>
      <c r="O7" s="1"/>
      <c r="P7" s="1"/>
      <c r="Q7" s="1"/>
      <c r="R7" s="1"/>
      <c r="S7" s="1"/>
      <c r="T7" s="1"/>
      <c r="U7" s="1"/>
      <c r="V7" s="1"/>
      <c r="W7" s="1"/>
      <c r="X7" s="1"/>
      <c r="Y7" s="1"/>
      <c r="Z7" s="1"/>
    </row>
    <row r="8" spans="1:26" ht="72" customHeight="1" x14ac:dyDescent="0.25">
      <c r="A8" s="3">
        <v>6</v>
      </c>
      <c r="B8" s="8" t="s">
        <v>15</v>
      </c>
      <c r="C8" s="277"/>
      <c r="D8" s="11" t="s">
        <v>85</v>
      </c>
      <c r="E8" s="12" t="s">
        <v>86</v>
      </c>
      <c r="F8" s="277"/>
      <c r="G8" s="1"/>
      <c r="H8" s="1"/>
      <c r="I8" s="1"/>
      <c r="J8" s="1"/>
      <c r="K8" s="1"/>
      <c r="L8" s="1"/>
      <c r="M8" s="1"/>
      <c r="N8" s="1"/>
      <c r="O8" s="1"/>
      <c r="P8" s="1"/>
      <c r="Q8" s="1"/>
      <c r="R8" s="1"/>
      <c r="S8" s="1"/>
      <c r="T8" s="1"/>
      <c r="U8" s="1"/>
      <c r="V8" s="1"/>
      <c r="W8" s="1"/>
      <c r="X8" s="1"/>
      <c r="Y8" s="1"/>
      <c r="Z8" s="1"/>
    </row>
    <row r="9" spans="1:26" ht="57" customHeight="1" x14ac:dyDescent="0.25">
      <c r="A9" s="3">
        <v>7</v>
      </c>
      <c r="B9" s="8" t="s">
        <v>18</v>
      </c>
      <c r="C9" s="277"/>
      <c r="D9" s="8">
        <v>0</v>
      </c>
      <c r="E9" s="8">
        <v>0</v>
      </c>
      <c r="F9" s="277"/>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2"/>
      <c r="D10" s="13">
        <v>0</v>
      </c>
      <c r="E10" s="14">
        <v>0</v>
      </c>
      <c r="F10" s="277"/>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15" t="s">
        <v>21</v>
      </c>
      <c r="D11" s="16" t="s">
        <v>22</v>
      </c>
      <c r="E11" s="17" t="s">
        <v>23</v>
      </c>
      <c r="F11" s="277"/>
      <c r="G11" s="1"/>
      <c r="H11" s="1"/>
      <c r="I11" s="1"/>
      <c r="J11" s="1"/>
      <c r="K11" s="1"/>
      <c r="L11" s="1"/>
      <c r="M11" s="1"/>
      <c r="N11" s="1"/>
      <c r="O11" s="1"/>
      <c r="P11" s="1"/>
      <c r="Q11" s="1"/>
      <c r="R11" s="1"/>
      <c r="S11" s="1"/>
      <c r="T11" s="1"/>
      <c r="U11" s="1"/>
      <c r="V11" s="1"/>
      <c r="W11" s="1"/>
      <c r="X11" s="1"/>
      <c r="Y11" s="1"/>
      <c r="Z11" s="1"/>
    </row>
    <row r="12" spans="1:26" ht="116.25" customHeight="1" x14ac:dyDescent="0.25">
      <c r="A12" s="3">
        <v>10</v>
      </c>
      <c r="B12" s="5" t="s">
        <v>24</v>
      </c>
      <c r="C12" s="276" t="s">
        <v>82</v>
      </c>
      <c r="D12" s="18" t="s">
        <v>87</v>
      </c>
      <c r="E12" s="18" t="s">
        <v>88</v>
      </c>
      <c r="F12" s="277"/>
      <c r="G12" s="1"/>
      <c r="H12" s="1"/>
      <c r="I12" s="1"/>
      <c r="J12" s="1"/>
      <c r="K12" s="1"/>
      <c r="L12" s="1"/>
      <c r="M12" s="1"/>
      <c r="N12" s="1"/>
      <c r="O12" s="1"/>
      <c r="P12" s="1"/>
      <c r="Q12" s="1"/>
      <c r="R12" s="1"/>
      <c r="S12" s="1"/>
      <c r="T12" s="1"/>
      <c r="U12" s="1"/>
      <c r="V12" s="1"/>
      <c r="W12" s="1"/>
      <c r="X12" s="1"/>
      <c r="Y12" s="1"/>
      <c r="Z12" s="1"/>
    </row>
    <row r="13" spans="1:26" ht="132" customHeight="1" x14ac:dyDescent="0.25">
      <c r="A13" s="3">
        <v>11</v>
      </c>
      <c r="B13" s="5" t="s">
        <v>27</v>
      </c>
      <c r="C13" s="277"/>
      <c r="D13" s="17" t="s">
        <v>89</v>
      </c>
      <c r="E13" s="17" t="s">
        <v>90</v>
      </c>
      <c r="F13" s="277"/>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77"/>
      <c r="D14" s="19" t="s">
        <v>91</v>
      </c>
      <c r="E14" s="20">
        <v>1</v>
      </c>
      <c r="F14" s="277"/>
      <c r="G14" s="1"/>
      <c r="H14" s="1"/>
      <c r="I14" s="1"/>
      <c r="J14" s="1"/>
      <c r="K14" s="1"/>
      <c r="L14" s="1"/>
      <c r="M14" s="1"/>
      <c r="N14" s="1"/>
      <c r="O14" s="1"/>
      <c r="P14" s="1"/>
      <c r="Q14" s="1"/>
      <c r="R14" s="1"/>
      <c r="S14" s="1"/>
      <c r="T14" s="1"/>
      <c r="U14" s="1"/>
      <c r="V14" s="1"/>
      <c r="W14" s="1"/>
      <c r="X14" s="1"/>
      <c r="Y14" s="1"/>
      <c r="Z14" s="1"/>
    </row>
    <row r="15" spans="1:26" ht="81.75" customHeight="1" x14ac:dyDescent="0.25">
      <c r="A15" s="3">
        <v>13</v>
      </c>
      <c r="B15" s="5" t="s">
        <v>32</v>
      </c>
      <c r="C15" s="277"/>
      <c r="D15" s="21" t="s">
        <v>92</v>
      </c>
      <c r="E15" s="21" t="s">
        <v>93</v>
      </c>
      <c r="F15" s="277"/>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277"/>
      <c r="D16" s="12" t="s">
        <v>94</v>
      </c>
      <c r="E16" s="12" t="s">
        <v>37</v>
      </c>
      <c r="F16" s="277"/>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277"/>
      <c r="D17" s="21" t="s">
        <v>95</v>
      </c>
      <c r="E17" s="21" t="s">
        <v>40</v>
      </c>
      <c r="F17" s="277"/>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277"/>
      <c r="D18" s="21" t="s">
        <v>96</v>
      </c>
      <c r="E18" s="22"/>
      <c r="F18" s="272"/>
      <c r="G18" s="1"/>
      <c r="H18" s="1"/>
      <c r="I18" s="1"/>
      <c r="J18" s="1"/>
      <c r="K18" s="1"/>
      <c r="L18" s="1"/>
      <c r="M18" s="1"/>
      <c r="N18" s="1"/>
      <c r="O18" s="1"/>
      <c r="P18" s="1"/>
      <c r="Q18" s="1"/>
      <c r="R18" s="1"/>
      <c r="S18" s="1"/>
      <c r="T18" s="1"/>
      <c r="U18" s="1"/>
      <c r="V18" s="1"/>
      <c r="W18" s="1"/>
      <c r="X18" s="1"/>
      <c r="Y18" s="1"/>
      <c r="Z18" s="1"/>
    </row>
    <row r="19" spans="1:26" ht="1.5" customHeight="1" x14ac:dyDescent="0.25">
      <c r="A19" s="23"/>
      <c r="B19" s="24"/>
      <c r="C19" s="272"/>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26"/>
      <c r="B20" s="26" t="s">
        <v>43</v>
      </c>
      <c r="C20" s="27"/>
      <c r="D20" s="27"/>
      <c r="E20" s="27"/>
      <c r="F20" s="27"/>
      <c r="G20" s="27"/>
      <c r="H20" s="27"/>
      <c r="I20" s="27"/>
      <c r="J20" s="1"/>
      <c r="K20" s="1"/>
      <c r="L20" s="1"/>
      <c r="M20" s="1"/>
      <c r="N20" s="1"/>
      <c r="O20" s="1"/>
      <c r="P20" s="1"/>
      <c r="Q20" s="1"/>
      <c r="R20" s="1"/>
      <c r="S20" s="1"/>
      <c r="T20" s="1"/>
      <c r="U20" s="1"/>
      <c r="V20" s="1"/>
      <c r="W20" s="1"/>
      <c r="X20" s="1"/>
      <c r="Y20" s="1"/>
      <c r="Z20" s="1"/>
    </row>
    <row r="21" spans="1:26" ht="36" customHeight="1" x14ac:dyDescent="0.25">
      <c r="A21" s="28" t="s">
        <v>44</v>
      </c>
      <c r="B21" s="29" t="s">
        <v>45</v>
      </c>
      <c r="C21" s="28" t="s">
        <v>46</v>
      </c>
      <c r="D21" s="28" t="s">
        <v>47</v>
      </c>
      <c r="E21" s="28" t="s">
        <v>48</v>
      </c>
      <c r="F21" s="28" t="s">
        <v>49</v>
      </c>
      <c r="G21" s="28"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32">
        <v>46160</v>
      </c>
      <c r="B22" s="33" t="s">
        <v>53</v>
      </c>
      <c r="C22" s="34"/>
      <c r="D22" s="33"/>
      <c r="E22" s="34"/>
      <c r="F22" s="34"/>
      <c r="G22" s="35"/>
      <c r="H22" s="36">
        <v>87073949843</v>
      </c>
      <c r="I22" s="43"/>
      <c r="J22" s="1"/>
      <c r="K22" s="1"/>
      <c r="L22" s="1"/>
      <c r="M22" s="1"/>
      <c r="N22" s="1"/>
      <c r="O22" s="1"/>
      <c r="P22" s="1"/>
      <c r="Q22" s="1"/>
      <c r="R22" s="1"/>
      <c r="S22" s="1"/>
      <c r="T22" s="1"/>
      <c r="U22" s="1"/>
      <c r="V22" s="1"/>
      <c r="W22" s="1"/>
      <c r="X22" s="1"/>
      <c r="Y22" s="1"/>
      <c r="Z22" s="1"/>
    </row>
    <row r="23" spans="1:26" ht="15.75" customHeight="1" x14ac:dyDescent="0.25">
      <c r="A23" s="32">
        <v>46161</v>
      </c>
      <c r="B23" s="33" t="s">
        <v>58</v>
      </c>
      <c r="C23" s="34"/>
      <c r="D23" s="33"/>
      <c r="E23" s="34"/>
      <c r="F23" s="34"/>
      <c r="G23" s="38"/>
      <c r="H23" s="38"/>
      <c r="I23" s="43"/>
      <c r="J23" s="1"/>
      <c r="K23" s="1"/>
      <c r="L23" s="1"/>
      <c r="M23" s="1"/>
      <c r="N23" s="1"/>
      <c r="O23" s="1"/>
      <c r="P23" s="1"/>
      <c r="Q23" s="1"/>
      <c r="R23" s="1"/>
      <c r="S23" s="1"/>
      <c r="T23" s="1"/>
      <c r="U23" s="1"/>
      <c r="V23" s="1"/>
      <c r="W23" s="1"/>
      <c r="X23" s="1"/>
      <c r="Y23" s="1"/>
      <c r="Z23" s="1"/>
    </row>
    <row r="24" spans="1:26" ht="15.75" customHeight="1" x14ac:dyDescent="0.25">
      <c r="A24" s="32">
        <v>46162</v>
      </c>
      <c r="B24" s="33" t="s">
        <v>62</v>
      </c>
      <c r="C24" s="34"/>
      <c r="D24" s="33"/>
      <c r="E24" s="34"/>
      <c r="F24" s="34"/>
      <c r="G24" s="38"/>
      <c r="H24" s="39"/>
      <c r="I24" s="43"/>
      <c r="J24" s="1"/>
      <c r="K24" s="1"/>
      <c r="L24" s="1"/>
      <c r="M24" s="1"/>
      <c r="N24" s="1"/>
      <c r="O24" s="1"/>
      <c r="P24" s="1"/>
      <c r="Q24" s="1"/>
      <c r="R24" s="1"/>
      <c r="S24" s="1"/>
      <c r="T24" s="1"/>
      <c r="U24" s="1"/>
      <c r="V24" s="1"/>
      <c r="W24" s="1"/>
      <c r="X24" s="1"/>
      <c r="Y24" s="1"/>
      <c r="Z24" s="1"/>
    </row>
    <row r="25" spans="1:26" ht="15.75" customHeight="1" x14ac:dyDescent="0.25">
      <c r="A25" s="32">
        <v>46163</v>
      </c>
      <c r="B25" s="33" t="s">
        <v>66</v>
      </c>
      <c r="C25" s="34">
        <v>1</v>
      </c>
      <c r="D25" s="34">
        <v>13400</v>
      </c>
      <c r="E25" s="34" t="s">
        <v>97</v>
      </c>
      <c r="F25" s="34"/>
      <c r="G25" s="38"/>
      <c r="H25" s="42"/>
      <c r="I25" s="43"/>
      <c r="J25" s="1"/>
      <c r="K25" s="1"/>
      <c r="L25" s="1"/>
      <c r="M25" s="1"/>
      <c r="N25" s="1"/>
      <c r="O25" s="1"/>
      <c r="P25" s="1"/>
      <c r="Q25" s="1"/>
      <c r="R25" s="1"/>
      <c r="S25" s="1"/>
      <c r="T25" s="1"/>
      <c r="U25" s="1"/>
      <c r="V25" s="1"/>
      <c r="W25" s="1"/>
      <c r="X25" s="1"/>
      <c r="Y25" s="1"/>
      <c r="Z25" s="1"/>
    </row>
    <row r="26" spans="1:26" ht="15.75" customHeight="1" x14ac:dyDescent="0.25">
      <c r="A26" s="32">
        <v>46164</v>
      </c>
      <c r="B26" s="33" t="s">
        <v>69</v>
      </c>
      <c r="C26" s="34">
        <v>3</v>
      </c>
      <c r="D26" s="33">
        <v>38250</v>
      </c>
      <c r="E26" s="34" t="s">
        <v>97</v>
      </c>
      <c r="F26" s="34"/>
      <c r="G26" s="40" t="s">
        <v>98</v>
      </c>
      <c r="H26" s="41">
        <v>77476887915</v>
      </c>
      <c r="I26" s="37"/>
      <c r="J26" s="1"/>
      <c r="K26" s="1"/>
      <c r="L26" s="1"/>
      <c r="M26" s="1"/>
      <c r="N26" s="1"/>
      <c r="O26" s="1"/>
      <c r="P26" s="1"/>
      <c r="Q26" s="1"/>
      <c r="R26" s="1"/>
      <c r="S26" s="1"/>
      <c r="T26" s="1"/>
      <c r="U26" s="1"/>
      <c r="V26" s="1"/>
      <c r="W26" s="1"/>
      <c r="X26" s="1"/>
      <c r="Y26" s="1"/>
      <c r="Z26" s="1"/>
    </row>
    <row r="27" spans="1:26" ht="15.75" customHeight="1" x14ac:dyDescent="0.25">
      <c r="A27" s="32">
        <v>46165</v>
      </c>
      <c r="B27" s="33" t="s">
        <v>70</v>
      </c>
      <c r="C27" s="34"/>
      <c r="D27" s="33"/>
      <c r="E27" s="34"/>
      <c r="F27" s="34"/>
      <c r="G27" s="38"/>
      <c r="H27" s="42"/>
      <c r="I27" s="43"/>
      <c r="J27" s="1"/>
      <c r="K27" s="1"/>
      <c r="L27" s="1"/>
      <c r="M27" s="1"/>
      <c r="N27" s="1"/>
      <c r="O27" s="1"/>
      <c r="P27" s="1"/>
      <c r="Q27" s="1"/>
      <c r="R27" s="1"/>
      <c r="S27" s="1"/>
      <c r="T27" s="1"/>
      <c r="U27" s="1"/>
      <c r="V27" s="1"/>
      <c r="W27" s="1"/>
      <c r="X27" s="1"/>
      <c r="Y27" s="1"/>
      <c r="Z27" s="1"/>
    </row>
    <row r="28" spans="1:26" ht="25.5" customHeight="1" x14ac:dyDescent="0.25">
      <c r="A28" s="32">
        <v>46166</v>
      </c>
      <c r="B28" s="33" t="s">
        <v>71</v>
      </c>
      <c r="C28" s="34">
        <v>1</v>
      </c>
      <c r="D28" s="33">
        <v>13650</v>
      </c>
      <c r="E28" s="34">
        <v>2500</v>
      </c>
      <c r="F28" s="34"/>
      <c r="G28" s="40" t="s">
        <v>99</v>
      </c>
      <c r="H28" s="41" t="s">
        <v>100</v>
      </c>
      <c r="I28" s="37" t="s">
        <v>101</v>
      </c>
      <c r="J28" s="1"/>
      <c r="K28" s="1"/>
      <c r="L28" s="1"/>
      <c r="M28" s="1"/>
      <c r="N28" s="1"/>
      <c r="O28" s="1"/>
      <c r="P28" s="1"/>
      <c r="Q28" s="1"/>
      <c r="R28" s="1"/>
      <c r="S28" s="1"/>
      <c r="T28" s="1"/>
      <c r="U28" s="1"/>
      <c r="V28" s="1"/>
      <c r="W28" s="1"/>
      <c r="X28" s="1"/>
      <c r="Y28" s="1"/>
      <c r="Z28" s="1"/>
    </row>
    <row r="29" spans="1:26" ht="15.75" customHeight="1" x14ac:dyDescent="0.25">
      <c r="A29" s="44"/>
      <c r="B29" s="45"/>
      <c r="C29" s="46"/>
      <c r="D29" s="45"/>
      <c r="E29" s="46"/>
      <c r="F29" s="46"/>
      <c r="G29" s="46"/>
      <c r="H29" s="47"/>
      <c r="I29" s="43"/>
      <c r="J29" s="1"/>
      <c r="K29" s="1"/>
      <c r="L29" s="1"/>
      <c r="M29" s="1"/>
      <c r="N29" s="1"/>
      <c r="O29" s="1"/>
      <c r="P29" s="1"/>
      <c r="Q29" s="1"/>
      <c r="R29" s="1"/>
      <c r="S29" s="1"/>
      <c r="T29" s="1"/>
      <c r="U29" s="1"/>
      <c r="V29" s="1"/>
      <c r="W29" s="1"/>
      <c r="X29" s="1"/>
      <c r="Y29" s="1"/>
      <c r="Z29" s="1"/>
    </row>
    <row r="30" spans="1:26" ht="15.75" customHeight="1" x14ac:dyDescent="0.25">
      <c r="A30" s="48"/>
      <c r="B30" s="48"/>
      <c r="C30" s="48">
        <f>SUM(C22:C29)</f>
        <v>5</v>
      </c>
      <c r="D30" s="48">
        <f>SUM(D22:D28)</f>
        <v>65300</v>
      </c>
      <c r="E30" s="48">
        <f>SUM(E22:E29)</f>
        <v>2500</v>
      </c>
      <c r="F30" s="48"/>
      <c r="G30" s="49"/>
      <c r="H30" s="50"/>
      <c r="I30" s="5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69" t="s">
        <v>72</v>
      </c>
      <c r="B32" s="270"/>
      <c r="C32" s="52" t="s">
        <v>73</v>
      </c>
      <c r="D32" s="52" t="s">
        <v>74</v>
      </c>
      <c r="E32" s="52" t="s">
        <v>75</v>
      </c>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80" t="s">
        <v>76</v>
      </c>
      <c r="B33" s="281"/>
      <c r="C33" s="53">
        <v>9</v>
      </c>
      <c r="D33" s="54">
        <v>81400</v>
      </c>
      <c r="E33" s="55">
        <v>14120</v>
      </c>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82" t="s">
        <v>77</v>
      </c>
      <c r="B34" s="270"/>
      <c r="C34" s="56">
        <v>23</v>
      </c>
      <c r="D34" s="56" t="s">
        <v>78</v>
      </c>
      <c r="E34" s="56" t="s">
        <v>79</v>
      </c>
      <c r="F34" s="57"/>
      <c r="G34" s="1"/>
      <c r="H34" s="1"/>
      <c r="I34" s="1"/>
      <c r="J34" s="1"/>
      <c r="K34" s="1"/>
      <c r="L34" s="1"/>
      <c r="M34" s="1"/>
      <c r="N34" s="1"/>
      <c r="O34" s="1"/>
      <c r="P34" s="1"/>
      <c r="Q34" s="1"/>
      <c r="R34" s="1"/>
      <c r="S34" s="1"/>
      <c r="T34" s="1"/>
      <c r="U34" s="1"/>
      <c r="V34" s="1"/>
      <c r="W34" s="1"/>
      <c r="X34" s="1"/>
      <c r="Y34" s="1"/>
      <c r="Z34" s="1"/>
    </row>
    <row r="35" spans="1:26" ht="15.75" customHeight="1" x14ac:dyDescent="0.25">
      <c r="A35" s="283" t="s">
        <v>21</v>
      </c>
      <c r="B35" s="270"/>
      <c r="C35" s="58"/>
      <c r="D35" s="59" t="s">
        <v>80</v>
      </c>
      <c r="E35" s="60" t="s">
        <v>81</v>
      </c>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61"/>
      <c r="B121" s="23"/>
      <c r="C121" s="24"/>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61"/>
      <c r="B122" s="23"/>
      <c r="C122" s="24"/>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61"/>
      <c r="B123" s="23"/>
      <c r="C123" s="24"/>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61"/>
      <c r="B124" s="23"/>
      <c r="C124" s="24"/>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61"/>
      <c r="B125" s="23"/>
      <c r="C125" s="24"/>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61"/>
      <c r="B126" s="23"/>
      <c r="C126" s="24"/>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61"/>
      <c r="B127" s="23"/>
      <c r="C127" s="24"/>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61"/>
      <c r="B128" s="23"/>
      <c r="C128" s="24"/>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61"/>
      <c r="B129" s="23"/>
      <c r="C129" s="24"/>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61"/>
      <c r="B130" s="23"/>
      <c r="C130" s="24"/>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61"/>
      <c r="B131" s="23"/>
      <c r="C131" s="24"/>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61"/>
      <c r="B132" s="23"/>
      <c r="C132" s="24"/>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61"/>
      <c r="B133" s="23"/>
      <c r="C133" s="24"/>
      <c r="D133" s="25"/>
      <c r="E133" s="25"/>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61"/>
      <c r="B134" s="23"/>
      <c r="C134" s="24"/>
      <c r="D134" s="25"/>
      <c r="E134" s="25"/>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61"/>
      <c r="B135" s="23"/>
      <c r="C135" s="24"/>
      <c r="D135" s="25"/>
      <c r="E135" s="25"/>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61"/>
      <c r="B136" s="23"/>
      <c r="C136" s="24"/>
      <c r="D136" s="25"/>
      <c r="E136" s="25"/>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61"/>
      <c r="B137" s="23"/>
      <c r="C137" s="24"/>
      <c r="D137" s="25"/>
      <c r="E137" s="25"/>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61"/>
      <c r="B138" s="23"/>
      <c r="C138" s="24"/>
      <c r="D138" s="25"/>
      <c r="E138" s="25"/>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61"/>
      <c r="B139" s="23"/>
      <c r="C139" s="24"/>
      <c r="D139" s="25"/>
      <c r="E139" s="25"/>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61"/>
      <c r="B140" s="23"/>
      <c r="C140" s="24"/>
      <c r="D140" s="25"/>
      <c r="E140" s="25"/>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61"/>
      <c r="B141" s="23"/>
      <c r="C141" s="24"/>
      <c r="D141" s="25"/>
      <c r="E141" s="25"/>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61"/>
      <c r="B142" s="23"/>
      <c r="C142" s="24"/>
      <c r="D142" s="25"/>
      <c r="E142" s="25"/>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25"/>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25"/>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25"/>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25"/>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25"/>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25"/>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25"/>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25"/>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25"/>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25"/>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25"/>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25"/>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sheetData>
  <mergeCells count="9">
    <mergeCell ref="A34:B34"/>
    <mergeCell ref="A35:B35"/>
    <mergeCell ref="A1:A2"/>
    <mergeCell ref="B1:F1"/>
    <mergeCell ref="C3:C10"/>
    <mergeCell ref="F3:F18"/>
    <mergeCell ref="C12:C19"/>
    <mergeCell ref="A32:B32"/>
    <mergeCell ref="A33:B3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89"/>
  <sheetViews>
    <sheetView topLeftCell="A19" workbookViewId="0">
      <selection sqref="A1:A2"/>
    </sheetView>
  </sheetViews>
  <sheetFormatPr defaultColWidth="14.42578125" defaultRowHeight="15" customHeight="1" x14ac:dyDescent="0.25"/>
  <cols>
    <col min="1" max="1" width="8.140625" customWidth="1"/>
    <col min="2" max="2" width="33.140625" customWidth="1"/>
    <col min="3" max="3" width="20" customWidth="1"/>
    <col min="4" max="4" width="56.5703125" customWidth="1"/>
    <col min="5" max="5" width="46" customWidth="1"/>
    <col min="6" max="6" width="48.85546875" customWidth="1"/>
    <col min="7" max="7" width="42.85546875" customWidth="1"/>
    <col min="8" max="8" width="32.85546875" customWidth="1"/>
    <col min="9" max="9" width="39.5703125" customWidth="1"/>
    <col min="10" max="26" width="8.85546875" customWidth="1"/>
  </cols>
  <sheetData>
    <row r="1" spans="1:26" ht="31.5" customHeight="1" x14ac:dyDescent="0.25">
      <c r="A1" s="271" t="s">
        <v>0</v>
      </c>
      <c r="B1" s="273" t="s">
        <v>1</v>
      </c>
      <c r="C1" s="274"/>
      <c r="D1" s="274"/>
      <c r="E1" s="274"/>
      <c r="F1" s="275"/>
      <c r="G1" s="1"/>
      <c r="H1" s="1"/>
      <c r="I1" s="1"/>
      <c r="J1" s="1"/>
      <c r="K1" s="1"/>
      <c r="L1" s="1"/>
      <c r="M1" s="1"/>
      <c r="N1" s="1"/>
      <c r="O1" s="1"/>
      <c r="P1" s="1"/>
      <c r="Q1" s="1"/>
      <c r="R1" s="1"/>
      <c r="S1" s="1"/>
      <c r="T1" s="1"/>
      <c r="U1" s="1"/>
      <c r="V1" s="1"/>
      <c r="W1" s="1"/>
      <c r="X1" s="1"/>
      <c r="Y1" s="1"/>
      <c r="Z1" s="1"/>
    </row>
    <row r="2" spans="1:26" ht="15.75" x14ac:dyDescent="0.25">
      <c r="A2" s="272"/>
      <c r="B2" s="2" t="s">
        <v>2</v>
      </c>
      <c r="C2" s="3" t="s">
        <v>3</v>
      </c>
      <c r="D2" s="3" t="s">
        <v>4</v>
      </c>
      <c r="E2" s="3" t="s">
        <v>5</v>
      </c>
      <c r="F2" s="3" t="s">
        <v>6</v>
      </c>
      <c r="G2" s="4"/>
      <c r="H2" s="4"/>
      <c r="I2" s="4"/>
      <c r="J2" s="4"/>
      <c r="K2" s="4"/>
      <c r="L2" s="4"/>
      <c r="M2" s="4"/>
      <c r="N2" s="4"/>
      <c r="O2" s="4"/>
      <c r="P2" s="4"/>
      <c r="Q2" s="4"/>
      <c r="R2" s="4"/>
      <c r="S2" s="4"/>
      <c r="T2" s="4"/>
      <c r="U2" s="4"/>
      <c r="V2" s="4"/>
      <c r="W2" s="4"/>
      <c r="X2" s="4"/>
      <c r="Y2" s="4"/>
      <c r="Z2" s="4"/>
    </row>
    <row r="3" spans="1:26" ht="18.75" customHeight="1" x14ac:dyDescent="0.25">
      <c r="A3" s="3">
        <v>1</v>
      </c>
      <c r="B3" s="5" t="s">
        <v>7</v>
      </c>
      <c r="C3" s="276" t="s">
        <v>102</v>
      </c>
      <c r="D3" s="6">
        <v>114030</v>
      </c>
      <c r="E3" s="6" t="s">
        <v>103</v>
      </c>
      <c r="F3" s="278" t="s">
        <v>84</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7">
        <v>14</v>
      </c>
      <c r="E4" s="7">
        <v>2</v>
      </c>
      <c r="F4" s="277"/>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6">
        <v>8145</v>
      </c>
      <c r="E5" s="6" t="s">
        <v>104</v>
      </c>
      <c r="F5" s="277"/>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5">
        <v>0</v>
      </c>
      <c r="E6" s="5">
        <v>0</v>
      </c>
      <c r="F6" s="277"/>
      <c r="G6" s="1"/>
      <c r="H6" s="1"/>
      <c r="I6" s="1"/>
      <c r="J6" s="1"/>
      <c r="K6" s="1"/>
      <c r="L6" s="1"/>
      <c r="M6" s="1"/>
      <c r="N6" s="1"/>
      <c r="O6" s="1"/>
      <c r="P6" s="1"/>
      <c r="Q6" s="1"/>
      <c r="R6" s="1"/>
      <c r="S6" s="1"/>
      <c r="T6" s="1"/>
      <c r="U6" s="1"/>
      <c r="V6" s="1"/>
      <c r="W6" s="1"/>
      <c r="X6" s="1"/>
      <c r="Y6" s="1"/>
      <c r="Z6" s="1"/>
    </row>
    <row r="7" spans="1:26" ht="36.75" customHeight="1" x14ac:dyDescent="0.25">
      <c r="A7" s="3">
        <v>5</v>
      </c>
      <c r="B7" s="8" t="s">
        <v>14</v>
      </c>
      <c r="C7" s="277"/>
      <c r="D7" s="9">
        <v>0</v>
      </c>
      <c r="E7" s="10">
        <v>0</v>
      </c>
      <c r="F7" s="277"/>
      <c r="G7" s="1"/>
      <c r="H7" s="1"/>
      <c r="I7" s="1"/>
      <c r="J7" s="1"/>
      <c r="K7" s="1"/>
      <c r="L7" s="1"/>
      <c r="M7" s="1"/>
      <c r="N7" s="1"/>
      <c r="O7" s="1"/>
      <c r="P7" s="1"/>
      <c r="Q7" s="1"/>
      <c r="R7" s="1"/>
      <c r="S7" s="1"/>
      <c r="T7" s="1"/>
      <c r="U7" s="1"/>
      <c r="V7" s="1"/>
      <c r="W7" s="1"/>
      <c r="X7" s="1"/>
      <c r="Y7" s="1"/>
      <c r="Z7" s="1"/>
    </row>
    <row r="8" spans="1:26" ht="72" customHeight="1" x14ac:dyDescent="0.25">
      <c r="A8" s="3">
        <v>6</v>
      </c>
      <c r="B8" s="8" t="s">
        <v>15</v>
      </c>
      <c r="C8" s="277"/>
      <c r="D8" s="11" t="s">
        <v>105</v>
      </c>
      <c r="E8" s="12" t="s">
        <v>106</v>
      </c>
      <c r="F8" s="277"/>
      <c r="G8" s="1"/>
      <c r="H8" s="1"/>
      <c r="I8" s="1"/>
      <c r="J8" s="1"/>
      <c r="K8" s="1"/>
      <c r="L8" s="1"/>
      <c r="M8" s="1"/>
      <c r="N8" s="1"/>
      <c r="O8" s="1"/>
      <c r="P8" s="1"/>
      <c r="Q8" s="1"/>
      <c r="R8" s="1"/>
      <c r="S8" s="1"/>
      <c r="T8" s="1"/>
      <c r="U8" s="1"/>
      <c r="V8" s="1"/>
      <c r="W8" s="1"/>
      <c r="X8" s="1"/>
      <c r="Y8" s="1"/>
      <c r="Z8" s="1"/>
    </row>
    <row r="9" spans="1:26" ht="57" customHeight="1" x14ac:dyDescent="0.25">
      <c r="A9" s="3">
        <v>7</v>
      </c>
      <c r="B9" s="8" t="s">
        <v>18</v>
      </c>
      <c r="C9" s="277"/>
      <c r="D9" s="8">
        <v>0</v>
      </c>
      <c r="E9" s="8">
        <v>0</v>
      </c>
      <c r="F9" s="277"/>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2"/>
      <c r="D10" s="13">
        <v>0</v>
      </c>
      <c r="E10" s="14">
        <v>0</v>
      </c>
      <c r="F10" s="277"/>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15" t="s">
        <v>21</v>
      </c>
      <c r="D11" s="16" t="s">
        <v>22</v>
      </c>
      <c r="E11" s="17" t="s">
        <v>23</v>
      </c>
      <c r="F11" s="277"/>
      <c r="G11" s="1"/>
      <c r="H11" s="1"/>
      <c r="I11" s="1"/>
      <c r="J11" s="1"/>
      <c r="K11" s="1"/>
      <c r="L11" s="1"/>
      <c r="M11" s="1"/>
      <c r="N11" s="1"/>
      <c r="O11" s="1"/>
      <c r="P11" s="1"/>
      <c r="Q11" s="1"/>
      <c r="R11" s="1"/>
      <c r="S11" s="1"/>
      <c r="T11" s="1"/>
      <c r="U11" s="1"/>
      <c r="V11" s="1"/>
      <c r="W11" s="1"/>
      <c r="X11" s="1"/>
      <c r="Y11" s="1"/>
      <c r="Z11" s="1"/>
    </row>
    <row r="12" spans="1:26" ht="97.5" customHeight="1" x14ac:dyDescent="0.25">
      <c r="A12" s="3">
        <v>10</v>
      </c>
      <c r="B12" s="5" t="s">
        <v>24</v>
      </c>
      <c r="C12" s="279" t="s">
        <v>102</v>
      </c>
      <c r="D12" s="62" t="s">
        <v>107</v>
      </c>
      <c r="E12" s="62" t="s">
        <v>108</v>
      </c>
      <c r="F12" s="277"/>
      <c r="G12" s="1"/>
      <c r="H12" s="1"/>
      <c r="I12" s="1"/>
      <c r="J12" s="1"/>
      <c r="K12" s="1"/>
      <c r="L12" s="1"/>
      <c r="M12" s="1"/>
      <c r="N12" s="1"/>
      <c r="O12" s="1"/>
      <c r="P12" s="1"/>
      <c r="Q12" s="1"/>
      <c r="R12" s="1"/>
      <c r="S12" s="1"/>
      <c r="T12" s="1"/>
      <c r="U12" s="1"/>
      <c r="V12" s="1"/>
      <c r="W12" s="1"/>
      <c r="X12" s="1"/>
      <c r="Y12" s="1"/>
      <c r="Z12" s="1"/>
    </row>
    <row r="13" spans="1:26" ht="132" customHeight="1" x14ac:dyDescent="0.25">
      <c r="A13" s="3">
        <v>11</v>
      </c>
      <c r="B13" s="5" t="s">
        <v>27</v>
      </c>
      <c r="C13" s="284"/>
      <c r="D13" s="17" t="s">
        <v>109</v>
      </c>
      <c r="E13" s="17" t="s">
        <v>110</v>
      </c>
      <c r="F13" s="277"/>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84"/>
      <c r="D14" s="19" t="s">
        <v>91</v>
      </c>
      <c r="E14" s="20">
        <v>1</v>
      </c>
      <c r="F14" s="277"/>
      <c r="G14" s="1"/>
      <c r="H14" s="1"/>
      <c r="I14" s="1"/>
      <c r="J14" s="1"/>
      <c r="K14" s="1"/>
      <c r="L14" s="1"/>
      <c r="M14" s="1"/>
      <c r="N14" s="1"/>
      <c r="O14" s="1"/>
      <c r="P14" s="1"/>
      <c r="Q14" s="1"/>
      <c r="R14" s="1"/>
      <c r="S14" s="1"/>
      <c r="T14" s="1"/>
      <c r="U14" s="1"/>
      <c r="V14" s="1"/>
      <c r="W14" s="1"/>
      <c r="X14" s="1"/>
      <c r="Y14" s="1"/>
      <c r="Z14" s="1"/>
    </row>
    <row r="15" spans="1:26" ht="81.75" customHeight="1" x14ac:dyDescent="0.25">
      <c r="A15" s="3">
        <v>13</v>
      </c>
      <c r="B15" s="5" t="s">
        <v>32</v>
      </c>
      <c r="C15" s="284"/>
      <c r="D15" s="21" t="s">
        <v>111</v>
      </c>
      <c r="E15" s="21" t="s">
        <v>112</v>
      </c>
      <c r="F15" s="277"/>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284"/>
      <c r="D16" s="12" t="s">
        <v>113</v>
      </c>
      <c r="E16" s="12" t="s">
        <v>114</v>
      </c>
      <c r="F16" s="277"/>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284"/>
      <c r="D17" s="21" t="s">
        <v>95</v>
      </c>
      <c r="E17" s="21" t="s">
        <v>40</v>
      </c>
      <c r="F17" s="277"/>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284"/>
      <c r="D18" s="21" t="s">
        <v>115</v>
      </c>
      <c r="E18" s="22"/>
      <c r="F18" s="272"/>
      <c r="G18" s="1"/>
      <c r="H18" s="1"/>
      <c r="I18" s="1"/>
      <c r="J18" s="1"/>
      <c r="K18" s="1"/>
      <c r="L18" s="1"/>
      <c r="M18" s="1"/>
      <c r="N18" s="1"/>
      <c r="O18" s="1"/>
      <c r="P18" s="1"/>
      <c r="Q18" s="1"/>
      <c r="R18" s="1"/>
      <c r="S18" s="1"/>
      <c r="T18" s="1"/>
      <c r="U18" s="1"/>
      <c r="V18" s="1"/>
      <c r="W18" s="1"/>
      <c r="X18" s="1"/>
      <c r="Y18" s="1"/>
      <c r="Z18" s="1"/>
    </row>
    <row r="19" spans="1:26" ht="1.5" customHeight="1" x14ac:dyDescent="0.25">
      <c r="A19" s="23"/>
      <c r="B19" s="24"/>
      <c r="C19" s="285"/>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26"/>
      <c r="B20" s="26" t="s">
        <v>43</v>
      </c>
      <c r="C20" s="27"/>
      <c r="D20" s="27"/>
      <c r="E20" s="27"/>
      <c r="F20" s="27"/>
      <c r="G20" s="27"/>
      <c r="H20" s="27"/>
      <c r="I20" s="27"/>
      <c r="J20" s="1"/>
      <c r="K20" s="1"/>
      <c r="L20" s="1"/>
      <c r="M20" s="1"/>
      <c r="N20" s="1"/>
      <c r="O20" s="1"/>
      <c r="P20" s="1"/>
      <c r="Q20" s="1"/>
      <c r="R20" s="1"/>
      <c r="S20" s="1"/>
      <c r="T20" s="1"/>
      <c r="U20" s="1"/>
      <c r="V20" s="1"/>
      <c r="W20" s="1"/>
      <c r="X20" s="1"/>
      <c r="Y20" s="1"/>
      <c r="Z20" s="1"/>
    </row>
    <row r="21" spans="1:26" ht="36" customHeight="1" x14ac:dyDescent="0.25">
      <c r="A21" s="28" t="s">
        <v>44</v>
      </c>
      <c r="B21" s="29" t="s">
        <v>45</v>
      </c>
      <c r="C21" s="28" t="s">
        <v>46</v>
      </c>
      <c r="D21" s="28" t="s">
        <v>47</v>
      </c>
      <c r="E21" s="28" t="s">
        <v>48</v>
      </c>
      <c r="F21" s="28" t="s">
        <v>49</v>
      </c>
      <c r="G21" s="28"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32">
        <v>46160</v>
      </c>
      <c r="B22" s="33" t="s">
        <v>53</v>
      </c>
      <c r="C22" s="34"/>
      <c r="D22" s="33"/>
      <c r="E22" s="34"/>
      <c r="F22" s="34"/>
      <c r="G22" s="35"/>
      <c r="H22" s="36"/>
      <c r="I22" s="43" t="s">
        <v>116</v>
      </c>
      <c r="J22" s="1"/>
      <c r="K22" s="1"/>
      <c r="L22" s="1"/>
      <c r="M22" s="1"/>
      <c r="N22" s="1"/>
      <c r="O22" s="1"/>
      <c r="P22" s="1"/>
      <c r="Q22" s="1"/>
      <c r="R22" s="1"/>
      <c r="S22" s="1"/>
      <c r="T22" s="1"/>
      <c r="U22" s="1"/>
      <c r="V22" s="1"/>
      <c r="W22" s="1"/>
      <c r="X22" s="1"/>
      <c r="Y22" s="1"/>
      <c r="Z22" s="1"/>
    </row>
    <row r="23" spans="1:26" ht="15.75" customHeight="1" x14ac:dyDescent="0.25">
      <c r="A23" s="32">
        <v>46161</v>
      </c>
      <c r="B23" s="33" t="s">
        <v>58</v>
      </c>
      <c r="C23" s="34">
        <v>2</v>
      </c>
      <c r="D23" s="33">
        <v>30100</v>
      </c>
      <c r="E23" s="34">
        <v>6500</v>
      </c>
      <c r="F23" s="34"/>
      <c r="G23" s="38" t="s">
        <v>117</v>
      </c>
      <c r="H23" s="38" t="s">
        <v>117</v>
      </c>
      <c r="I23" s="43"/>
      <c r="J23" s="1"/>
      <c r="K23" s="1"/>
      <c r="L23" s="1"/>
      <c r="M23" s="1"/>
      <c r="N23" s="1"/>
      <c r="O23" s="1"/>
      <c r="P23" s="1"/>
      <c r="Q23" s="1"/>
      <c r="R23" s="1"/>
      <c r="S23" s="1"/>
      <c r="T23" s="1"/>
      <c r="U23" s="1"/>
      <c r="V23" s="1"/>
      <c r="W23" s="1"/>
      <c r="X23" s="1"/>
      <c r="Y23" s="1"/>
      <c r="Z23" s="1"/>
    </row>
    <row r="24" spans="1:26" ht="15.75" customHeight="1" x14ac:dyDescent="0.25">
      <c r="A24" s="32">
        <v>46162</v>
      </c>
      <c r="B24" s="33" t="s">
        <v>62</v>
      </c>
      <c r="C24" s="34">
        <v>1</v>
      </c>
      <c r="D24" s="33">
        <v>7000</v>
      </c>
      <c r="E24" s="34"/>
      <c r="F24" s="34"/>
      <c r="G24" s="38" t="s">
        <v>118</v>
      </c>
      <c r="H24" s="39">
        <f>77075463298</f>
        <v>77075463298</v>
      </c>
      <c r="I24" s="43"/>
      <c r="J24" s="1"/>
      <c r="K24" s="1"/>
      <c r="L24" s="1"/>
      <c r="M24" s="1"/>
      <c r="N24" s="1"/>
      <c r="O24" s="1"/>
      <c r="P24" s="1"/>
      <c r="Q24" s="1"/>
      <c r="R24" s="1"/>
      <c r="S24" s="1"/>
      <c r="T24" s="1"/>
      <c r="U24" s="1"/>
      <c r="V24" s="1"/>
      <c r="W24" s="1"/>
      <c r="X24" s="1"/>
      <c r="Y24" s="1"/>
      <c r="Z24" s="1"/>
    </row>
    <row r="25" spans="1:26" ht="15.75" customHeight="1" x14ac:dyDescent="0.25">
      <c r="A25" s="32">
        <v>46163</v>
      </c>
      <c r="B25" s="33" t="s">
        <v>66</v>
      </c>
      <c r="C25" s="34"/>
      <c r="D25" s="33"/>
      <c r="E25" s="34"/>
      <c r="F25" s="34"/>
      <c r="G25" s="38"/>
      <c r="H25" s="42"/>
      <c r="I25" s="43" t="s">
        <v>116</v>
      </c>
      <c r="J25" s="1"/>
      <c r="K25" s="1"/>
      <c r="L25" s="1"/>
      <c r="M25" s="1"/>
      <c r="N25" s="1"/>
      <c r="O25" s="1"/>
      <c r="P25" s="1"/>
      <c r="Q25" s="1"/>
      <c r="R25" s="1"/>
      <c r="S25" s="1"/>
      <c r="T25" s="1"/>
      <c r="U25" s="1"/>
      <c r="V25" s="1"/>
      <c r="W25" s="1"/>
      <c r="X25" s="1"/>
      <c r="Y25" s="1"/>
      <c r="Z25" s="1"/>
    </row>
    <row r="26" spans="1:26" ht="15.75" customHeight="1" x14ac:dyDescent="0.25">
      <c r="A26" s="32">
        <v>46164</v>
      </c>
      <c r="B26" s="33" t="s">
        <v>69</v>
      </c>
      <c r="C26" s="34"/>
      <c r="D26" s="33"/>
      <c r="E26" s="34"/>
      <c r="F26" s="34"/>
      <c r="G26" s="40"/>
      <c r="H26" s="41"/>
      <c r="I26" s="43" t="s">
        <v>116</v>
      </c>
      <c r="J26" s="1"/>
      <c r="K26" s="1"/>
      <c r="L26" s="1"/>
      <c r="M26" s="1"/>
      <c r="N26" s="1"/>
      <c r="O26" s="1"/>
      <c r="P26" s="1"/>
      <c r="Q26" s="1"/>
      <c r="R26" s="1"/>
      <c r="S26" s="1"/>
      <c r="T26" s="1"/>
      <c r="U26" s="1"/>
      <c r="V26" s="1"/>
      <c r="W26" s="1"/>
      <c r="X26" s="1"/>
      <c r="Y26" s="1"/>
      <c r="Z26" s="1"/>
    </row>
    <row r="27" spans="1:26" ht="15.75" customHeight="1" x14ac:dyDescent="0.25">
      <c r="A27" s="32">
        <v>46165</v>
      </c>
      <c r="B27" s="33" t="s">
        <v>70</v>
      </c>
      <c r="C27" s="34">
        <v>1</v>
      </c>
      <c r="D27" s="33">
        <v>14600</v>
      </c>
      <c r="E27" s="34">
        <v>2000</v>
      </c>
      <c r="F27" s="34"/>
      <c r="G27" s="38" t="s">
        <v>119</v>
      </c>
      <c r="H27" s="42">
        <v>87711380385</v>
      </c>
      <c r="I27" s="43" t="s">
        <v>116</v>
      </c>
      <c r="J27" s="1"/>
      <c r="K27" s="1"/>
      <c r="L27" s="1"/>
      <c r="M27" s="1"/>
      <c r="N27" s="1"/>
      <c r="O27" s="1"/>
      <c r="P27" s="1"/>
      <c r="Q27" s="1"/>
      <c r="R27" s="1"/>
      <c r="S27" s="1"/>
      <c r="T27" s="1"/>
      <c r="U27" s="1"/>
      <c r="V27" s="1"/>
      <c r="W27" s="1"/>
      <c r="X27" s="1"/>
      <c r="Y27" s="1"/>
      <c r="Z27" s="1"/>
    </row>
    <row r="28" spans="1:26" ht="25.5" customHeight="1" x14ac:dyDescent="0.25">
      <c r="A28" s="32">
        <v>46166</v>
      </c>
      <c r="B28" s="33" t="s">
        <v>71</v>
      </c>
      <c r="C28" s="34">
        <v>1</v>
      </c>
      <c r="D28" s="33">
        <v>14600</v>
      </c>
      <c r="E28" s="34">
        <v>1300</v>
      </c>
      <c r="F28" s="34"/>
      <c r="G28" s="40" t="s">
        <v>120</v>
      </c>
      <c r="H28" s="41">
        <v>7754031584</v>
      </c>
      <c r="I28" s="43" t="s">
        <v>121</v>
      </c>
      <c r="J28" s="1"/>
      <c r="K28" s="1"/>
      <c r="L28" s="1"/>
      <c r="M28" s="1"/>
      <c r="N28" s="1"/>
      <c r="O28" s="1"/>
      <c r="P28" s="1"/>
      <c r="Q28" s="1"/>
      <c r="R28" s="1"/>
      <c r="S28" s="1"/>
      <c r="T28" s="1"/>
      <c r="U28" s="1"/>
      <c r="V28" s="1"/>
      <c r="W28" s="1"/>
      <c r="X28" s="1"/>
      <c r="Y28" s="1"/>
      <c r="Z28" s="1"/>
    </row>
    <row r="29" spans="1:26" ht="15.75" customHeight="1" x14ac:dyDescent="0.25">
      <c r="A29" s="44"/>
      <c r="B29" s="45"/>
      <c r="C29" s="46"/>
      <c r="D29" s="45"/>
      <c r="E29" s="46"/>
      <c r="F29" s="46"/>
      <c r="G29" s="46"/>
      <c r="H29" s="47"/>
      <c r="I29" s="43"/>
      <c r="J29" s="1"/>
      <c r="K29" s="1"/>
      <c r="L29" s="1"/>
      <c r="M29" s="1"/>
      <c r="N29" s="1"/>
      <c r="O29" s="1"/>
      <c r="P29" s="1"/>
      <c r="Q29" s="1"/>
      <c r="R29" s="1"/>
      <c r="S29" s="1"/>
      <c r="T29" s="1"/>
      <c r="U29" s="1"/>
      <c r="V29" s="1"/>
      <c r="W29" s="1"/>
      <c r="X29" s="1"/>
      <c r="Y29" s="1"/>
      <c r="Z29" s="1"/>
    </row>
    <row r="30" spans="1:26" ht="15.75" customHeight="1" x14ac:dyDescent="0.25">
      <c r="A30" s="48"/>
      <c r="B30" s="48"/>
      <c r="C30" s="48">
        <f t="shared" ref="C30:E30" si="0">SUM(C22:C29)</f>
        <v>5</v>
      </c>
      <c r="D30" s="48">
        <f t="shared" si="0"/>
        <v>66300</v>
      </c>
      <c r="E30" s="48">
        <f t="shared" si="0"/>
        <v>9800</v>
      </c>
      <c r="F30" s="48"/>
      <c r="G30" s="49"/>
      <c r="H30" s="50"/>
      <c r="I30" s="5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69" t="s">
        <v>72</v>
      </c>
      <c r="B32" s="270"/>
      <c r="C32" s="52" t="s">
        <v>73</v>
      </c>
      <c r="D32" s="52" t="s">
        <v>74</v>
      </c>
      <c r="E32" s="52" t="s">
        <v>75</v>
      </c>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80" t="s">
        <v>76</v>
      </c>
      <c r="B33" s="281"/>
      <c r="C33" s="53">
        <v>9</v>
      </c>
      <c r="D33" s="54">
        <v>81400</v>
      </c>
      <c r="E33" s="55">
        <v>14120</v>
      </c>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82" t="s">
        <v>77</v>
      </c>
      <c r="B34" s="270"/>
      <c r="C34" s="56">
        <v>23</v>
      </c>
      <c r="D34" s="56" t="s">
        <v>78</v>
      </c>
      <c r="E34" s="56" t="s">
        <v>79</v>
      </c>
      <c r="F34" s="57"/>
      <c r="G34" s="1"/>
      <c r="H34" s="1"/>
      <c r="I34" s="1"/>
      <c r="J34" s="1"/>
      <c r="K34" s="1"/>
      <c r="L34" s="1"/>
      <c r="M34" s="1"/>
      <c r="N34" s="1"/>
      <c r="O34" s="1"/>
      <c r="P34" s="1"/>
      <c r="Q34" s="1"/>
      <c r="R34" s="1"/>
      <c r="S34" s="1"/>
      <c r="T34" s="1"/>
      <c r="U34" s="1"/>
      <c r="V34" s="1"/>
      <c r="W34" s="1"/>
      <c r="X34" s="1"/>
      <c r="Y34" s="1"/>
      <c r="Z34" s="1"/>
    </row>
    <row r="35" spans="1:26" ht="15.75" customHeight="1" x14ac:dyDescent="0.25">
      <c r="A35" s="283" t="s">
        <v>21</v>
      </c>
      <c r="B35" s="270"/>
      <c r="C35" s="58"/>
      <c r="D35" s="59" t="s">
        <v>80</v>
      </c>
      <c r="E35" s="60" t="s">
        <v>81</v>
      </c>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61"/>
      <c r="B121" s="23"/>
      <c r="C121" s="24"/>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61"/>
      <c r="B122" s="23"/>
      <c r="C122" s="24"/>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61"/>
      <c r="B123" s="23"/>
      <c r="C123" s="24"/>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61"/>
      <c r="B124" s="23"/>
      <c r="C124" s="24"/>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61"/>
      <c r="B125" s="23"/>
      <c r="C125" s="24"/>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61"/>
      <c r="B126" s="23"/>
      <c r="C126" s="24"/>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61"/>
      <c r="B127" s="23"/>
      <c r="C127" s="24"/>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61"/>
      <c r="B128" s="23"/>
      <c r="C128" s="24"/>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61"/>
      <c r="B129" s="23"/>
      <c r="C129" s="24"/>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61"/>
      <c r="B130" s="23"/>
      <c r="C130" s="24"/>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61"/>
      <c r="B131" s="23"/>
      <c r="C131" s="24"/>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61"/>
      <c r="B132" s="23"/>
      <c r="C132" s="24"/>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61"/>
      <c r="B133" s="23"/>
      <c r="C133" s="24"/>
      <c r="D133" s="25"/>
      <c r="E133" s="25"/>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61"/>
      <c r="B134" s="23"/>
      <c r="C134" s="24"/>
      <c r="D134" s="25"/>
      <c r="E134" s="25"/>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61"/>
      <c r="B135" s="23"/>
      <c r="C135" s="24"/>
      <c r="D135" s="25"/>
      <c r="E135" s="25"/>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61"/>
      <c r="B136" s="23"/>
      <c r="C136" s="24"/>
      <c r="D136" s="25"/>
      <c r="E136" s="25"/>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61"/>
      <c r="B137" s="23"/>
      <c r="C137" s="24"/>
      <c r="D137" s="25"/>
      <c r="E137" s="25"/>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61"/>
      <c r="B138" s="23"/>
      <c r="C138" s="24"/>
      <c r="D138" s="25"/>
      <c r="E138" s="25"/>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61"/>
      <c r="B139" s="23"/>
      <c r="C139" s="24"/>
      <c r="D139" s="25"/>
      <c r="E139" s="25"/>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61"/>
      <c r="B140" s="23"/>
      <c r="C140" s="24"/>
      <c r="D140" s="25"/>
      <c r="E140" s="25"/>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61"/>
      <c r="B141" s="23"/>
      <c r="C141" s="24"/>
      <c r="D141" s="25"/>
      <c r="E141" s="25"/>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61"/>
      <c r="B142" s="23"/>
      <c r="C142" s="24"/>
      <c r="D142" s="25"/>
      <c r="E142" s="25"/>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25"/>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25"/>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25"/>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25"/>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25"/>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25"/>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25"/>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25"/>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25"/>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25"/>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25"/>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25"/>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sheetData>
  <mergeCells count="9">
    <mergeCell ref="A34:B34"/>
    <mergeCell ref="A35:B35"/>
    <mergeCell ref="A1:A2"/>
    <mergeCell ref="B1:F1"/>
    <mergeCell ref="C3:C10"/>
    <mergeCell ref="F3:F18"/>
    <mergeCell ref="C12:C19"/>
    <mergeCell ref="A32:B32"/>
    <mergeCell ref="A33:B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topLeftCell="A21" workbookViewId="0">
      <selection sqref="A1:A2"/>
    </sheetView>
  </sheetViews>
  <sheetFormatPr defaultColWidth="14.42578125" defaultRowHeight="15" customHeight="1" x14ac:dyDescent="0.25"/>
  <cols>
    <col min="1" max="1" width="8.140625" customWidth="1"/>
    <col min="2" max="2" width="33.140625" customWidth="1"/>
    <col min="3" max="3" width="20" customWidth="1"/>
    <col min="4" max="4" width="56.5703125" customWidth="1"/>
    <col min="5" max="5" width="46" customWidth="1"/>
    <col min="6" max="6" width="48.85546875" customWidth="1"/>
    <col min="7" max="7" width="42.85546875" customWidth="1"/>
    <col min="8" max="8" width="32.85546875" customWidth="1"/>
    <col min="9" max="9" width="39.5703125" customWidth="1"/>
    <col min="10" max="26" width="8.85546875" customWidth="1"/>
  </cols>
  <sheetData>
    <row r="1" spans="1:26" ht="31.5" customHeight="1" x14ac:dyDescent="0.25">
      <c r="A1" s="271" t="s">
        <v>0</v>
      </c>
      <c r="B1" s="273" t="s">
        <v>1</v>
      </c>
      <c r="C1" s="274"/>
      <c r="D1" s="274"/>
      <c r="E1" s="274"/>
      <c r="F1" s="275"/>
      <c r="G1" s="1"/>
      <c r="H1" s="1"/>
      <c r="I1" s="1"/>
      <c r="J1" s="1"/>
      <c r="K1" s="1"/>
      <c r="L1" s="1"/>
      <c r="M1" s="1"/>
      <c r="N1" s="1"/>
      <c r="O1" s="1"/>
      <c r="P1" s="1"/>
      <c r="Q1" s="1"/>
      <c r="R1" s="1"/>
      <c r="S1" s="1"/>
      <c r="T1" s="1"/>
      <c r="U1" s="1"/>
      <c r="V1" s="1"/>
      <c r="W1" s="1"/>
      <c r="X1" s="1"/>
      <c r="Y1" s="1"/>
      <c r="Z1" s="1"/>
    </row>
    <row r="2" spans="1:26" ht="15.75" x14ac:dyDescent="0.25">
      <c r="A2" s="272"/>
      <c r="B2" s="2" t="s">
        <v>2</v>
      </c>
      <c r="C2" s="3" t="s">
        <v>3</v>
      </c>
      <c r="D2" s="3" t="s">
        <v>4</v>
      </c>
      <c r="E2" s="3" t="s">
        <v>5</v>
      </c>
      <c r="F2" s="3" t="s">
        <v>6</v>
      </c>
      <c r="G2" s="4"/>
      <c r="H2" s="4"/>
      <c r="I2" s="4"/>
      <c r="J2" s="4"/>
      <c r="K2" s="4"/>
      <c r="L2" s="4"/>
      <c r="M2" s="4"/>
      <c r="N2" s="4"/>
      <c r="O2" s="4"/>
      <c r="P2" s="4"/>
      <c r="Q2" s="4"/>
      <c r="R2" s="4"/>
      <c r="S2" s="4"/>
      <c r="T2" s="4"/>
      <c r="U2" s="4"/>
      <c r="V2" s="4"/>
      <c r="W2" s="4"/>
      <c r="X2" s="4"/>
      <c r="Y2" s="4"/>
      <c r="Z2" s="4"/>
    </row>
    <row r="3" spans="1:26" ht="18.75" customHeight="1" x14ac:dyDescent="0.25">
      <c r="A3" s="3">
        <v>1</v>
      </c>
      <c r="B3" s="5" t="s">
        <v>7</v>
      </c>
      <c r="C3" s="276" t="s">
        <v>122</v>
      </c>
      <c r="D3" s="6" t="s">
        <v>123</v>
      </c>
      <c r="E3" s="6" t="s">
        <v>124</v>
      </c>
      <c r="F3" s="278" t="s">
        <v>84</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7">
        <v>9</v>
      </c>
      <c r="E4" s="7">
        <v>2</v>
      </c>
      <c r="F4" s="277"/>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6" t="s">
        <v>125</v>
      </c>
      <c r="E5" s="6" t="s">
        <v>126</v>
      </c>
      <c r="F5" s="277"/>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5">
        <v>1</v>
      </c>
      <c r="E6" s="5">
        <v>0</v>
      </c>
      <c r="F6" s="277"/>
      <c r="G6" s="1"/>
      <c r="H6" s="1"/>
      <c r="I6" s="1"/>
      <c r="J6" s="1"/>
      <c r="K6" s="1"/>
      <c r="L6" s="1"/>
      <c r="M6" s="1"/>
      <c r="N6" s="1"/>
      <c r="O6" s="1"/>
      <c r="P6" s="1"/>
      <c r="Q6" s="1"/>
      <c r="R6" s="1"/>
      <c r="S6" s="1"/>
      <c r="T6" s="1"/>
      <c r="U6" s="1"/>
      <c r="V6" s="1"/>
      <c r="W6" s="1"/>
      <c r="X6" s="1"/>
      <c r="Y6" s="1"/>
      <c r="Z6" s="1"/>
    </row>
    <row r="7" spans="1:26" ht="36.75" customHeight="1" x14ac:dyDescent="0.25">
      <c r="A7" s="3">
        <v>5</v>
      </c>
      <c r="B7" s="8" t="s">
        <v>14</v>
      </c>
      <c r="C7" s="277"/>
      <c r="D7" s="9">
        <v>0</v>
      </c>
      <c r="E7" s="10">
        <v>0</v>
      </c>
      <c r="F7" s="277"/>
      <c r="G7" s="1"/>
      <c r="H7" s="1"/>
      <c r="I7" s="1"/>
      <c r="J7" s="1"/>
      <c r="K7" s="1"/>
      <c r="L7" s="1"/>
      <c r="M7" s="1"/>
      <c r="N7" s="1"/>
      <c r="O7" s="1"/>
      <c r="P7" s="1"/>
      <c r="Q7" s="1"/>
      <c r="R7" s="1"/>
      <c r="S7" s="1"/>
      <c r="T7" s="1"/>
      <c r="U7" s="1"/>
      <c r="V7" s="1"/>
      <c r="W7" s="1"/>
      <c r="X7" s="1"/>
      <c r="Y7" s="1"/>
      <c r="Z7" s="1"/>
    </row>
    <row r="8" spans="1:26" ht="72" customHeight="1" x14ac:dyDescent="0.25">
      <c r="A8" s="3">
        <v>6</v>
      </c>
      <c r="B8" s="8" t="s">
        <v>15</v>
      </c>
      <c r="C8" s="277"/>
      <c r="D8" s="63" t="s">
        <v>127</v>
      </c>
      <c r="E8" s="12" t="s">
        <v>128</v>
      </c>
      <c r="F8" s="277"/>
      <c r="G8" s="1"/>
      <c r="H8" s="1"/>
      <c r="I8" s="1"/>
      <c r="J8" s="1"/>
      <c r="K8" s="1"/>
      <c r="L8" s="1"/>
      <c r="M8" s="1"/>
      <c r="N8" s="1"/>
      <c r="O8" s="1"/>
      <c r="P8" s="1"/>
      <c r="Q8" s="1"/>
      <c r="R8" s="1"/>
      <c r="S8" s="1"/>
      <c r="T8" s="1"/>
      <c r="U8" s="1"/>
      <c r="V8" s="1"/>
      <c r="W8" s="1"/>
      <c r="X8" s="1"/>
      <c r="Y8" s="1"/>
      <c r="Z8" s="1"/>
    </row>
    <row r="9" spans="1:26" ht="57" customHeight="1" x14ac:dyDescent="0.25">
      <c r="A9" s="3">
        <v>7</v>
      </c>
      <c r="B9" s="8" t="s">
        <v>18</v>
      </c>
      <c r="C9" s="277"/>
      <c r="D9" s="8">
        <v>0</v>
      </c>
      <c r="E9" s="8">
        <v>0</v>
      </c>
      <c r="F9" s="277"/>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2"/>
      <c r="D10" s="13">
        <v>0</v>
      </c>
      <c r="E10" s="14">
        <v>0</v>
      </c>
      <c r="F10" s="277"/>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15" t="s">
        <v>77</v>
      </c>
      <c r="D11" s="16" t="s">
        <v>129</v>
      </c>
      <c r="E11" s="17" t="s">
        <v>130</v>
      </c>
      <c r="F11" s="277"/>
      <c r="G11" s="1"/>
      <c r="H11" s="1"/>
      <c r="I11" s="1"/>
      <c r="J11" s="1"/>
      <c r="K11" s="1"/>
      <c r="L11" s="1"/>
      <c r="M11" s="1"/>
      <c r="N11" s="1"/>
      <c r="O11" s="1"/>
      <c r="P11" s="1"/>
      <c r="Q11" s="1"/>
      <c r="R11" s="1"/>
      <c r="S11" s="1"/>
      <c r="T11" s="1"/>
      <c r="U11" s="1"/>
      <c r="V11" s="1"/>
      <c r="W11" s="1"/>
      <c r="X11" s="1"/>
      <c r="Y11" s="1"/>
      <c r="Z11" s="1"/>
    </row>
    <row r="12" spans="1:26" ht="153.75" customHeight="1" x14ac:dyDescent="0.25">
      <c r="A12" s="3">
        <v>10</v>
      </c>
      <c r="B12" s="5" t="s">
        <v>24</v>
      </c>
      <c r="C12" s="279" t="s">
        <v>122</v>
      </c>
      <c r="D12" s="64" t="s">
        <v>131</v>
      </c>
      <c r="E12" s="62" t="s">
        <v>132</v>
      </c>
      <c r="F12" s="277"/>
      <c r="G12" s="1"/>
      <c r="H12" s="1"/>
      <c r="I12" s="1"/>
      <c r="J12" s="1"/>
      <c r="K12" s="1"/>
      <c r="L12" s="1"/>
      <c r="M12" s="1"/>
      <c r="N12" s="1"/>
      <c r="O12" s="1"/>
      <c r="P12" s="1"/>
      <c r="Q12" s="1"/>
      <c r="R12" s="1"/>
      <c r="S12" s="1"/>
      <c r="T12" s="1"/>
      <c r="U12" s="1"/>
      <c r="V12" s="1"/>
      <c r="W12" s="1"/>
      <c r="X12" s="1"/>
      <c r="Y12" s="1"/>
      <c r="Z12" s="1"/>
    </row>
    <row r="13" spans="1:26" ht="102" customHeight="1" x14ac:dyDescent="0.25">
      <c r="A13" s="3">
        <v>11</v>
      </c>
      <c r="B13" s="5" t="s">
        <v>27</v>
      </c>
      <c r="C13" s="284"/>
      <c r="D13" s="17" t="s">
        <v>133</v>
      </c>
      <c r="E13" s="17" t="s">
        <v>110</v>
      </c>
      <c r="F13" s="277"/>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84"/>
      <c r="D14" s="19" t="s">
        <v>91</v>
      </c>
      <c r="E14" s="20">
        <v>1</v>
      </c>
      <c r="F14" s="277"/>
      <c r="G14" s="1"/>
      <c r="H14" s="1"/>
      <c r="I14" s="1"/>
      <c r="J14" s="1"/>
      <c r="K14" s="1"/>
      <c r="L14" s="1"/>
      <c r="M14" s="1"/>
      <c r="N14" s="1"/>
      <c r="O14" s="1"/>
      <c r="P14" s="1"/>
      <c r="Q14" s="1"/>
      <c r="R14" s="1"/>
      <c r="S14" s="1"/>
      <c r="T14" s="1"/>
      <c r="U14" s="1"/>
      <c r="V14" s="1"/>
      <c r="W14" s="1"/>
      <c r="X14" s="1"/>
      <c r="Y14" s="1"/>
      <c r="Z14" s="1"/>
    </row>
    <row r="15" spans="1:26" ht="81.75" customHeight="1" x14ac:dyDescent="0.25">
      <c r="A15" s="3">
        <v>13</v>
      </c>
      <c r="B15" s="5" t="s">
        <v>32</v>
      </c>
      <c r="C15" s="284"/>
      <c r="D15" s="21" t="s">
        <v>111</v>
      </c>
      <c r="E15" s="21" t="s">
        <v>112</v>
      </c>
      <c r="F15" s="277"/>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284"/>
      <c r="D16" s="12" t="s">
        <v>113</v>
      </c>
      <c r="E16" s="12" t="s">
        <v>114</v>
      </c>
      <c r="F16" s="277"/>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284"/>
      <c r="D17" s="21" t="s">
        <v>134</v>
      </c>
      <c r="E17" s="21" t="s">
        <v>40</v>
      </c>
      <c r="F17" s="277"/>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284"/>
      <c r="D18" s="21" t="s">
        <v>135</v>
      </c>
      <c r="E18" s="22"/>
      <c r="F18" s="272"/>
      <c r="G18" s="1"/>
      <c r="H18" s="1"/>
      <c r="I18" s="1"/>
      <c r="J18" s="1"/>
      <c r="K18" s="1"/>
      <c r="L18" s="1"/>
      <c r="M18" s="1"/>
      <c r="N18" s="1"/>
      <c r="O18" s="1"/>
      <c r="P18" s="1"/>
      <c r="Q18" s="1"/>
      <c r="R18" s="1"/>
      <c r="S18" s="1"/>
      <c r="T18" s="1"/>
      <c r="U18" s="1"/>
      <c r="V18" s="1"/>
      <c r="W18" s="1"/>
      <c r="X18" s="1"/>
      <c r="Y18" s="1"/>
      <c r="Z18" s="1"/>
    </row>
    <row r="19" spans="1:26" ht="1.5" customHeight="1" x14ac:dyDescent="0.25">
      <c r="A19" s="23"/>
      <c r="B19" s="24"/>
      <c r="C19" s="285"/>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26"/>
      <c r="B20" s="26" t="s">
        <v>43</v>
      </c>
      <c r="C20" s="27"/>
      <c r="D20" s="27"/>
      <c r="E20" s="27"/>
      <c r="F20" s="27"/>
      <c r="G20" s="27"/>
      <c r="H20" s="27"/>
      <c r="I20" s="27"/>
      <c r="J20" s="1"/>
      <c r="K20" s="1"/>
      <c r="L20" s="1"/>
      <c r="M20" s="1"/>
      <c r="N20" s="1"/>
      <c r="O20" s="1"/>
      <c r="P20" s="1"/>
      <c r="Q20" s="1"/>
      <c r="R20" s="1"/>
      <c r="S20" s="1"/>
      <c r="T20" s="1"/>
      <c r="U20" s="1"/>
      <c r="V20" s="1"/>
      <c r="W20" s="1"/>
      <c r="X20" s="1"/>
      <c r="Y20" s="1"/>
      <c r="Z20" s="1"/>
    </row>
    <row r="21" spans="1:26" ht="36" customHeight="1" x14ac:dyDescent="0.25">
      <c r="A21" s="28" t="s">
        <v>44</v>
      </c>
      <c r="B21" s="29" t="s">
        <v>45</v>
      </c>
      <c r="C21" s="28" t="s">
        <v>46</v>
      </c>
      <c r="D21" s="28" t="s">
        <v>47</v>
      </c>
      <c r="E21" s="28" t="s">
        <v>48</v>
      </c>
      <c r="F21" s="28" t="s">
        <v>49</v>
      </c>
      <c r="G21" s="28"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32">
        <v>46160</v>
      </c>
      <c r="B22" s="33" t="s">
        <v>53</v>
      </c>
      <c r="C22" s="34">
        <v>1</v>
      </c>
      <c r="D22" s="33">
        <v>11200</v>
      </c>
      <c r="E22" s="34">
        <v>1850</v>
      </c>
      <c r="F22" s="34"/>
      <c r="G22" s="35" t="s">
        <v>136</v>
      </c>
      <c r="H22" s="36">
        <v>77055854525</v>
      </c>
      <c r="I22" s="43" t="s">
        <v>116</v>
      </c>
      <c r="J22" s="1"/>
      <c r="K22" s="1"/>
      <c r="L22" s="1"/>
      <c r="M22" s="1"/>
      <c r="N22" s="1"/>
      <c r="O22" s="1"/>
      <c r="P22" s="1"/>
      <c r="Q22" s="1"/>
      <c r="R22" s="1"/>
      <c r="S22" s="1"/>
      <c r="T22" s="1"/>
      <c r="U22" s="1"/>
      <c r="V22" s="1"/>
      <c r="W22" s="1"/>
      <c r="X22" s="1"/>
      <c r="Y22" s="1"/>
      <c r="Z22" s="1"/>
    </row>
    <row r="23" spans="1:26" ht="15.75" customHeight="1" x14ac:dyDescent="0.25">
      <c r="A23" s="32">
        <v>46161</v>
      </c>
      <c r="B23" s="33" t="s">
        <v>58</v>
      </c>
      <c r="C23" s="34">
        <v>3</v>
      </c>
      <c r="D23" s="33">
        <v>53150</v>
      </c>
      <c r="E23" s="34">
        <v>7000</v>
      </c>
      <c r="F23" s="34"/>
      <c r="G23" s="40" t="s">
        <v>137</v>
      </c>
      <c r="H23" s="65" t="s">
        <v>138</v>
      </c>
      <c r="I23" s="43" t="s">
        <v>121</v>
      </c>
      <c r="J23" s="1"/>
      <c r="K23" s="1"/>
      <c r="L23" s="1"/>
      <c r="M23" s="1"/>
      <c r="N23" s="1"/>
      <c r="O23" s="1"/>
      <c r="P23" s="1"/>
      <c r="Q23" s="1"/>
      <c r="R23" s="1"/>
      <c r="S23" s="1"/>
      <c r="T23" s="1"/>
      <c r="U23" s="1"/>
      <c r="V23" s="1"/>
      <c r="W23" s="1"/>
      <c r="X23" s="1"/>
      <c r="Y23" s="1"/>
      <c r="Z23" s="1"/>
    </row>
    <row r="24" spans="1:26" ht="15.75" customHeight="1" x14ac:dyDescent="0.25">
      <c r="A24" s="32">
        <v>46162</v>
      </c>
      <c r="B24" s="33" t="s">
        <v>62</v>
      </c>
      <c r="C24" s="34"/>
      <c r="D24" s="33"/>
      <c r="E24" s="34"/>
      <c r="F24" s="34"/>
      <c r="G24" s="34"/>
      <c r="H24" s="65"/>
      <c r="I24" s="43" t="s">
        <v>139</v>
      </c>
      <c r="J24" s="1"/>
      <c r="K24" s="1"/>
      <c r="L24" s="1"/>
      <c r="M24" s="1"/>
      <c r="N24" s="1"/>
      <c r="O24" s="1"/>
      <c r="P24" s="1"/>
      <c r="Q24" s="1"/>
      <c r="R24" s="1"/>
      <c r="S24" s="1"/>
      <c r="T24" s="1"/>
      <c r="U24" s="1"/>
      <c r="V24" s="1"/>
      <c r="W24" s="1"/>
      <c r="X24" s="1"/>
      <c r="Y24" s="1"/>
      <c r="Z24" s="1"/>
    </row>
    <row r="25" spans="1:26" ht="15.75" customHeight="1" x14ac:dyDescent="0.25">
      <c r="A25" s="32">
        <v>46163</v>
      </c>
      <c r="B25" s="33" t="s">
        <v>66</v>
      </c>
      <c r="C25" s="34"/>
      <c r="D25" s="33"/>
      <c r="E25" s="34"/>
      <c r="F25" s="34"/>
      <c r="G25" s="66"/>
      <c r="H25" s="65"/>
      <c r="I25" s="43" t="s">
        <v>116</v>
      </c>
      <c r="J25" s="1"/>
      <c r="K25" s="1"/>
      <c r="L25" s="1"/>
      <c r="M25" s="1"/>
      <c r="N25" s="1"/>
      <c r="O25" s="1"/>
      <c r="P25" s="1"/>
      <c r="Q25" s="1"/>
      <c r="R25" s="1"/>
      <c r="S25" s="1"/>
      <c r="T25" s="1"/>
      <c r="U25" s="1"/>
      <c r="V25" s="1"/>
      <c r="W25" s="1"/>
      <c r="X25" s="1"/>
      <c r="Y25" s="1"/>
      <c r="Z25" s="1"/>
    </row>
    <row r="26" spans="1:26" ht="15.75" customHeight="1" x14ac:dyDescent="0.25">
      <c r="A26" s="32">
        <v>46164</v>
      </c>
      <c r="B26" s="33" t="s">
        <v>69</v>
      </c>
      <c r="C26" s="34">
        <v>3</v>
      </c>
      <c r="D26" s="33">
        <v>41100</v>
      </c>
      <c r="E26" s="34">
        <v>5370</v>
      </c>
      <c r="F26" s="34"/>
      <c r="G26" s="40" t="s">
        <v>140</v>
      </c>
      <c r="H26" s="65" t="s">
        <v>141</v>
      </c>
      <c r="I26" s="43" t="s">
        <v>116</v>
      </c>
      <c r="J26" s="1"/>
      <c r="K26" s="1"/>
      <c r="L26" s="1"/>
      <c r="M26" s="1"/>
      <c r="N26" s="1"/>
      <c r="O26" s="1"/>
      <c r="P26" s="1"/>
      <c r="Q26" s="1"/>
      <c r="R26" s="1"/>
      <c r="S26" s="1"/>
      <c r="T26" s="1"/>
      <c r="U26" s="1"/>
      <c r="V26" s="1"/>
      <c r="W26" s="1"/>
      <c r="X26" s="1"/>
      <c r="Y26" s="1"/>
      <c r="Z26" s="1"/>
    </row>
    <row r="27" spans="1:26" ht="15.75" customHeight="1" x14ac:dyDescent="0.25">
      <c r="A27" s="32">
        <v>46165</v>
      </c>
      <c r="B27" s="33" t="s">
        <v>70</v>
      </c>
      <c r="C27" s="34">
        <v>1</v>
      </c>
      <c r="D27" s="33">
        <v>15500</v>
      </c>
      <c r="E27" s="34">
        <v>1540</v>
      </c>
      <c r="F27" s="34"/>
      <c r="G27" s="40" t="s">
        <v>142</v>
      </c>
      <c r="H27" s="65">
        <v>7782227873</v>
      </c>
      <c r="I27" s="43" t="s">
        <v>116</v>
      </c>
      <c r="J27" s="1"/>
      <c r="K27" s="1"/>
      <c r="L27" s="1"/>
      <c r="M27" s="1"/>
      <c r="N27" s="1"/>
      <c r="O27" s="1"/>
      <c r="P27" s="1"/>
      <c r="Q27" s="1"/>
      <c r="R27" s="1"/>
      <c r="S27" s="1"/>
      <c r="T27" s="1"/>
      <c r="U27" s="1"/>
      <c r="V27" s="1"/>
      <c r="W27" s="1"/>
      <c r="X27" s="1"/>
      <c r="Y27" s="1"/>
      <c r="Z27" s="1"/>
    </row>
    <row r="28" spans="1:26" ht="25.5" customHeight="1" x14ac:dyDescent="0.25">
      <c r="A28" s="32">
        <v>46166</v>
      </c>
      <c r="B28" s="33" t="s">
        <v>71</v>
      </c>
      <c r="C28" s="34">
        <v>1</v>
      </c>
      <c r="D28" s="33">
        <v>22350</v>
      </c>
      <c r="E28" s="34">
        <v>2500</v>
      </c>
      <c r="F28" s="34"/>
      <c r="G28" s="40" t="s">
        <v>143</v>
      </c>
      <c r="H28" s="65">
        <v>7764452897</v>
      </c>
      <c r="I28" s="43" t="s">
        <v>121</v>
      </c>
      <c r="J28" s="1"/>
      <c r="K28" s="1"/>
      <c r="L28" s="1"/>
      <c r="M28" s="1"/>
      <c r="N28" s="1"/>
      <c r="O28" s="1"/>
      <c r="P28" s="1"/>
      <c r="Q28" s="1"/>
      <c r="R28" s="1"/>
      <c r="S28" s="1"/>
      <c r="T28" s="1"/>
      <c r="U28" s="1"/>
      <c r="V28" s="1"/>
      <c r="W28" s="1"/>
      <c r="X28" s="1"/>
      <c r="Y28" s="1"/>
      <c r="Z28" s="1"/>
    </row>
    <row r="29" spans="1:26" ht="15.75" customHeight="1" x14ac:dyDescent="0.25">
      <c r="A29" s="44"/>
      <c r="B29" s="45"/>
      <c r="C29" s="46"/>
      <c r="D29" s="45"/>
      <c r="E29" s="46"/>
      <c r="F29" s="46"/>
      <c r="G29" s="46"/>
      <c r="H29" s="47"/>
      <c r="I29" s="43"/>
      <c r="J29" s="1"/>
      <c r="K29" s="1"/>
      <c r="L29" s="1"/>
      <c r="M29" s="1"/>
      <c r="N29" s="1"/>
      <c r="O29" s="1"/>
      <c r="P29" s="1"/>
      <c r="Q29" s="1"/>
      <c r="R29" s="1"/>
      <c r="S29" s="1"/>
      <c r="T29" s="1"/>
      <c r="U29" s="1"/>
      <c r="V29" s="1"/>
      <c r="W29" s="1"/>
      <c r="X29" s="1"/>
      <c r="Y29" s="1"/>
      <c r="Z29" s="1"/>
    </row>
    <row r="30" spans="1:26" ht="15.75" customHeight="1" x14ac:dyDescent="0.25">
      <c r="A30" s="48"/>
      <c r="B30" s="48"/>
      <c r="C30" s="48">
        <f t="shared" ref="C30:E30" si="0">SUM(C22:C29)</f>
        <v>9</v>
      </c>
      <c r="D30" s="48">
        <f t="shared" si="0"/>
        <v>143300</v>
      </c>
      <c r="E30" s="48">
        <f t="shared" si="0"/>
        <v>18260</v>
      </c>
      <c r="F30" s="48"/>
      <c r="G30" s="49"/>
      <c r="H30" s="50"/>
      <c r="I30" s="5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69" t="s">
        <v>72</v>
      </c>
      <c r="B32" s="270"/>
      <c r="C32" s="52" t="s">
        <v>73</v>
      </c>
      <c r="D32" s="52" t="s">
        <v>74</v>
      </c>
      <c r="E32" s="52" t="s">
        <v>75</v>
      </c>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80" t="s">
        <v>76</v>
      </c>
      <c r="B33" s="281"/>
      <c r="C33" s="53">
        <v>9</v>
      </c>
      <c r="D33" s="54">
        <v>81400</v>
      </c>
      <c r="E33" s="55">
        <v>14120</v>
      </c>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82" t="s">
        <v>77</v>
      </c>
      <c r="B34" s="270"/>
      <c r="C34" s="56">
        <v>23</v>
      </c>
      <c r="D34" s="56">
        <v>348500</v>
      </c>
      <c r="E34" s="56">
        <v>41560</v>
      </c>
      <c r="F34" s="57"/>
      <c r="G34" s="1"/>
      <c r="H34" s="1"/>
      <c r="I34" s="1"/>
      <c r="J34" s="1"/>
      <c r="K34" s="1"/>
      <c r="L34" s="1"/>
      <c r="M34" s="1"/>
      <c r="N34" s="1"/>
      <c r="O34" s="1"/>
      <c r="P34" s="1"/>
      <c r="Q34" s="1"/>
      <c r="R34" s="1"/>
      <c r="S34" s="1"/>
      <c r="T34" s="1"/>
      <c r="U34" s="1"/>
      <c r="V34" s="1"/>
      <c r="W34" s="1"/>
      <c r="X34" s="1"/>
      <c r="Y34" s="1"/>
      <c r="Z34" s="1"/>
    </row>
    <row r="35" spans="1:26" ht="15.75" customHeight="1" x14ac:dyDescent="0.25">
      <c r="A35" s="283" t="s">
        <v>21</v>
      </c>
      <c r="B35" s="270"/>
      <c r="C35" s="58"/>
      <c r="D35" s="58"/>
      <c r="E35" s="67"/>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3"/>
      <c r="B121" s="24"/>
      <c r="C121" s="25"/>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3"/>
      <c r="B122" s="24"/>
      <c r="C122" s="25"/>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3"/>
      <c r="B123" s="24"/>
      <c r="C123" s="25"/>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3"/>
      <c r="B124" s="24"/>
      <c r="C124" s="25"/>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3"/>
      <c r="B125" s="24"/>
      <c r="C125" s="25"/>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3"/>
      <c r="B126" s="24"/>
      <c r="C126" s="25"/>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3"/>
      <c r="B127" s="24"/>
      <c r="C127" s="25"/>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3"/>
      <c r="B128" s="24"/>
      <c r="C128" s="25"/>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3"/>
      <c r="B129" s="24"/>
      <c r="C129" s="25"/>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3"/>
      <c r="B130" s="24"/>
      <c r="C130" s="25"/>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3"/>
      <c r="B131" s="24"/>
      <c r="C131" s="25"/>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61"/>
      <c r="B132" s="23"/>
      <c r="C132" s="24"/>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61"/>
      <c r="B133" s="23"/>
      <c r="C133" s="24"/>
      <c r="D133" s="25"/>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61"/>
      <c r="B134" s="23"/>
      <c r="C134" s="24"/>
      <c r="D134" s="25"/>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61"/>
      <c r="B135" s="23"/>
      <c r="C135" s="24"/>
      <c r="D135" s="25"/>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61"/>
      <c r="B136" s="23"/>
      <c r="C136" s="24"/>
      <c r="D136" s="25"/>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61"/>
      <c r="B137" s="23"/>
      <c r="C137" s="24"/>
      <c r="D137" s="25"/>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61"/>
      <c r="B138" s="23"/>
      <c r="C138" s="24"/>
      <c r="D138" s="25"/>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61"/>
      <c r="B139" s="23"/>
      <c r="C139" s="24"/>
      <c r="D139" s="25"/>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61"/>
      <c r="B140" s="23"/>
      <c r="C140" s="24"/>
      <c r="D140" s="25"/>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61"/>
      <c r="B141" s="23"/>
      <c r="C141" s="24"/>
      <c r="D141" s="25"/>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61"/>
      <c r="B142" s="23"/>
      <c r="C142" s="24"/>
      <c r="D142" s="25"/>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25"/>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25"/>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25"/>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25"/>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25"/>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25"/>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25"/>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25"/>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25"/>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25"/>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25"/>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61"/>
      <c r="B225" s="23"/>
      <c r="C225" s="24"/>
      <c r="D225" s="25"/>
      <c r="E225" s="25"/>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61"/>
      <c r="B226" s="23"/>
      <c r="C226" s="24"/>
      <c r="D226" s="25"/>
      <c r="E226" s="25"/>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61"/>
      <c r="B227" s="23"/>
      <c r="C227" s="24"/>
      <c r="D227" s="25"/>
      <c r="E227" s="25"/>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61"/>
      <c r="B228" s="23"/>
      <c r="C228" s="24"/>
      <c r="D228" s="25"/>
      <c r="E228" s="25"/>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61"/>
      <c r="B229" s="23"/>
      <c r="C229" s="24"/>
      <c r="D229" s="25"/>
      <c r="E229" s="25"/>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61"/>
      <c r="B230" s="23"/>
      <c r="C230" s="24"/>
      <c r="D230" s="25"/>
      <c r="E230" s="25"/>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61"/>
      <c r="B231" s="23"/>
      <c r="C231" s="24"/>
      <c r="D231" s="25"/>
      <c r="E231" s="25"/>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61"/>
      <c r="B232" s="23"/>
      <c r="C232" s="24"/>
      <c r="D232" s="25"/>
      <c r="E232" s="25"/>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61"/>
      <c r="B233" s="23"/>
      <c r="C233" s="24"/>
      <c r="D233" s="25"/>
      <c r="E233" s="25"/>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61"/>
      <c r="B234" s="23"/>
      <c r="C234" s="24"/>
      <c r="D234" s="25"/>
      <c r="E234" s="25"/>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61"/>
      <c r="B235" s="23"/>
      <c r="C235" s="24"/>
      <c r="D235" s="25"/>
      <c r="E235" s="25"/>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34:B34"/>
    <mergeCell ref="A35:B35"/>
    <mergeCell ref="A1:A2"/>
    <mergeCell ref="B1:F1"/>
    <mergeCell ref="C3:C10"/>
    <mergeCell ref="F3:F18"/>
    <mergeCell ref="C12:C19"/>
    <mergeCell ref="A32:B32"/>
    <mergeCell ref="A33:B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topLeftCell="A19" workbookViewId="0">
      <selection sqref="A1:A2"/>
    </sheetView>
  </sheetViews>
  <sheetFormatPr defaultColWidth="14.42578125" defaultRowHeight="15" customHeight="1" x14ac:dyDescent="0.25"/>
  <cols>
    <col min="1" max="1" width="8.140625" customWidth="1"/>
    <col min="2" max="2" width="33.140625" customWidth="1"/>
    <col min="3" max="3" width="20" customWidth="1"/>
    <col min="4" max="4" width="56.5703125" customWidth="1"/>
    <col min="5" max="5" width="46" customWidth="1"/>
    <col min="6" max="6" width="48.85546875" customWidth="1"/>
    <col min="7" max="7" width="42.85546875" customWidth="1"/>
    <col min="8" max="8" width="32.85546875" customWidth="1"/>
    <col min="9" max="9" width="39.5703125" customWidth="1"/>
    <col min="10" max="26" width="8.85546875" customWidth="1"/>
  </cols>
  <sheetData>
    <row r="1" spans="1:26" ht="31.5" customHeight="1" x14ac:dyDescent="0.25">
      <c r="A1" s="271" t="s">
        <v>0</v>
      </c>
      <c r="B1" s="273" t="s">
        <v>1</v>
      </c>
      <c r="C1" s="274"/>
      <c r="D1" s="274"/>
      <c r="E1" s="274"/>
      <c r="F1" s="275"/>
      <c r="G1" s="1"/>
      <c r="H1" s="1"/>
      <c r="I1" s="1"/>
      <c r="J1" s="1"/>
      <c r="K1" s="1"/>
      <c r="L1" s="1"/>
      <c r="M1" s="1"/>
      <c r="N1" s="1"/>
      <c r="O1" s="1"/>
      <c r="P1" s="1"/>
      <c r="Q1" s="1"/>
      <c r="R1" s="1"/>
      <c r="S1" s="1"/>
      <c r="T1" s="1"/>
      <c r="U1" s="1"/>
      <c r="V1" s="1"/>
      <c r="W1" s="1"/>
      <c r="X1" s="1"/>
      <c r="Y1" s="1"/>
      <c r="Z1" s="1"/>
    </row>
    <row r="2" spans="1:26" ht="15.75" x14ac:dyDescent="0.25">
      <c r="A2" s="272"/>
      <c r="B2" s="2" t="s">
        <v>2</v>
      </c>
      <c r="C2" s="3" t="s">
        <v>3</v>
      </c>
      <c r="D2" s="3" t="s">
        <v>4</v>
      </c>
      <c r="E2" s="3" t="s">
        <v>5</v>
      </c>
      <c r="F2" s="3" t="s">
        <v>6</v>
      </c>
      <c r="G2" s="4"/>
      <c r="H2" s="4"/>
      <c r="I2" s="4"/>
      <c r="J2" s="4"/>
      <c r="K2" s="4"/>
      <c r="L2" s="4"/>
      <c r="M2" s="4"/>
      <c r="N2" s="4"/>
      <c r="O2" s="4"/>
      <c r="P2" s="4"/>
      <c r="Q2" s="4"/>
      <c r="R2" s="4"/>
      <c r="S2" s="4"/>
      <c r="T2" s="4"/>
      <c r="U2" s="4"/>
      <c r="V2" s="4"/>
      <c r="W2" s="4"/>
      <c r="X2" s="4"/>
      <c r="Y2" s="4"/>
      <c r="Z2" s="4"/>
    </row>
    <row r="3" spans="1:26" ht="18.75" customHeight="1" x14ac:dyDescent="0.25">
      <c r="A3" s="3">
        <v>1</v>
      </c>
      <c r="B3" s="5" t="s">
        <v>7</v>
      </c>
      <c r="C3" s="286" t="s">
        <v>144</v>
      </c>
      <c r="D3" s="6">
        <v>53510</v>
      </c>
      <c r="E3" s="6" t="s">
        <v>145</v>
      </c>
      <c r="F3" s="278" t="s">
        <v>146</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7">
        <v>7</v>
      </c>
      <c r="E4" s="7">
        <v>4</v>
      </c>
      <c r="F4" s="277"/>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6">
        <v>7644</v>
      </c>
      <c r="E5" s="6" t="s">
        <v>147</v>
      </c>
      <c r="F5" s="277"/>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5">
        <v>0</v>
      </c>
      <c r="E6" s="5">
        <v>0</v>
      </c>
      <c r="F6" s="277"/>
      <c r="G6" s="1"/>
      <c r="H6" s="1"/>
      <c r="I6" s="1"/>
      <c r="J6" s="1"/>
      <c r="K6" s="1"/>
      <c r="L6" s="1"/>
      <c r="M6" s="1"/>
      <c r="N6" s="1"/>
      <c r="O6" s="1"/>
      <c r="P6" s="1"/>
      <c r="Q6" s="1"/>
      <c r="R6" s="1"/>
      <c r="S6" s="1"/>
      <c r="T6" s="1"/>
      <c r="U6" s="1"/>
      <c r="V6" s="1"/>
      <c r="W6" s="1"/>
      <c r="X6" s="1"/>
      <c r="Y6" s="1"/>
      <c r="Z6" s="1"/>
    </row>
    <row r="7" spans="1:26" ht="36.75" customHeight="1" x14ac:dyDescent="0.25">
      <c r="A7" s="3">
        <v>5</v>
      </c>
      <c r="B7" s="8" t="s">
        <v>14</v>
      </c>
      <c r="C7" s="277"/>
      <c r="D7" s="9">
        <v>0</v>
      </c>
      <c r="E7" s="10">
        <v>0</v>
      </c>
      <c r="F7" s="277"/>
      <c r="G7" s="1"/>
      <c r="H7" s="1"/>
      <c r="I7" s="1"/>
      <c r="J7" s="1"/>
      <c r="K7" s="1"/>
      <c r="L7" s="1"/>
      <c r="M7" s="1"/>
      <c r="N7" s="1"/>
      <c r="O7" s="1"/>
      <c r="P7" s="1"/>
      <c r="Q7" s="1"/>
      <c r="R7" s="1"/>
      <c r="S7" s="1"/>
      <c r="T7" s="1"/>
      <c r="U7" s="1"/>
      <c r="V7" s="1"/>
      <c r="W7" s="1"/>
      <c r="X7" s="1"/>
      <c r="Y7" s="1"/>
      <c r="Z7" s="1"/>
    </row>
    <row r="8" spans="1:26" ht="72" customHeight="1" x14ac:dyDescent="0.25">
      <c r="A8" s="3">
        <v>6</v>
      </c>
      <c r="B8" s="8" t="s">
        <v>15</v>
      </c>
      <c r="C8" s="277"/>
      <c r="D8" s="63" t="s">
        <v>148</v>
      </c>
      <c r="E8" s="12" t="s">
        <v>149</v>
      </c>
      <c r="F8" s="277"/>
      <c r="G8" s="1"/>
      <c r="H8" s="1"/>
      <c r="I8" s="1"/>
      <c r="J8" s="1"/>
      <c r="K8" s="1"/>
      <c r="L8" s="1"/>
      <c r="M8" s="1"/>
      <c r="N8" s="1"/>
      <c r="O8" s="1"/>
      <c r="P8" s="1"/>
      <c r="Q8" s="1"/>
      <c r="R8" s="1"/>
      <c r="S8" s="1"/>
      <c r="T8" s="1"/>
      <c r="U8" s="1"/>
      <c r="V8" s="1"/>
      <c r="W8" s="1"/>
      <c r="X8" s="1"/>
      <c r="Y8" s="1"/>
      <c r="Z8" s="1"/>
    </row>
    <row r="9" spans="1:26" ht="57" customHeight="1" x14ac:dyDescent="0.25">
      <c r="A9" s="3">
        <v>7</v>
      </c>
      <c r="B9" s="8" t="s">
        <v>18</v>
      </c>
      <c r="C9" s="277"/>
      <c r="D9" s="8">
        <v>0</v>
      </c>
      <c r="E9" s="8">
        <v>0</v>
      </c>
      <c r="F9" s="277"/>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2"/>
      <c r="D10" s="8">
        <v>0</v>
      </c>
      <c r="E10" s="7">
        <v>0</v>
      </c>
      <c r="F10" s="277"/>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68" t="s">
        <v>77</v>
      </c>
      <c r="D11" s="69" t="s">
        <v>129</v>
      </c>
      <c r="E11" s="70" t="s">
        <v>130</v>
      </c>
      <c r="F11" s="277"/>
      <c r="G11" s="1"/>
      <c r="H11" s="1"/>
      <c r="I11" s="1"/>
      <c r="J11" s="1"/>
      <c r="K11" s="1"/>
      <c r="L11" s="1"/>
      <c r="M11" s="1"/>
      <c r="N11" s="1"/>
      <c r="O11" s="1"/>
      <c r="P11" s="1"/>
      <c r="Q11" s="1"/>
      <c r="R11" s="1"/>
      <c r="S11" s="1"/>
      <c r="T11" s="1"/>
      <c r="U11" s="1"/>
      <c r="V11" s="1"/>
      <c r="W11" s="1"/>
      <c r="X11" s="1"/>
      <c r="Y11" s="1"/>
      <c r="Z11" s="1"/>
    </row>
    <row r="12" spans="1:26" ht="97.5" customHeight="1" x14ac:dyDescent="0.25">
      <c r="A12" s="3">
        <v>10</v>
      </c>
      <c r="B12" s="5" t="s">
        <v>24</v>
      </c>
      <c r="C12" s="287" t="s">
        <v>144</v>
      </c>
      <c r="D12" s="71" t="s">
        <v>150</v>
      </c>
      <c r="E12" s="71" t="s">
        <v>151</v>
      </c>
      <c r="F12" s="277"/>
      <c r="G12" s="1"/>
      <c r="H12" s="1"/>
      <c r="I12" s="1"/>
      <c r="J12" s="1"/>
      <c r="K12" s="1"/>
      <c r="L12" s="1"/>
      <c r="M12" s="1"/>
      <c r="N12" s="1"/>
      <c r="O12" s="1"/>
      <c r="P12" s="1"/>
      <c r="Q12" s="1"/>
      <c r="R12" s="1"/>
      <c r="S12" s="1"/>
      <c r="T12" s="1"/>
      <c r="U12" s="1"/>
      <c r="V12" s="1"/>
      <c r="W12" s="1"/>
      <c r="X12" s="1"/>
      <c r="Y12" s="1"/>
      <c r="Z12" s="1"/>
    </row>
    <row r="13" spans="1:26" ht="132" customHeight="1" x14ac:dyDescent="0.25">
      <c r="A13" s="3">
        <v>11</v>
      </c>
      <c r="B13" s="5" t="s">
        <v>27</v>
      </c>
      <c r="C13" s="284"/>
      <c r="D13" s="72" t="s">
        <v>152</v>
      </c>
      <c r="E13" s="72" t="s">
        <v>153</v>
      </c>
      <c r="F13" s="277"/>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84"/>
      <c r="D14" s="12" t="s">
        <v>91</v>
      </c>
      <c r="E14" s="73">
        <v>1</v>
      </c>
      <c r="F14" s="277"/>
      <c r="G14" s="1"/>
      <c r="H14" s="1"/>
      <c r="I14" s="1"/>
      <c r="J14" s="1"/>
      <c r="K14" s="1"/>
      <c r="L14" s="1"/>
      <c r="M14" s="1"/>
      <c r="N14" s="1"/>
      <c r="O14" s="1"/>
      <c r="P14" s="1"/>
      <c r="Q14" s="1"/>
      <c r="R14" s="1"/>
      <c r="S14" s="1"/>
      <c r="T14" s="1"/>
      <c r="U14" s="1"/>
      <c r="V14" s="1"/>
      <c r="W14" s="1"/>
      <c r="X14" s="1"/>
      <c r="Y14" s="1"/>
      <c r="Z14" s="1"/>
    </row>
    <row r="15" spans="1:26" ht="81.75" customHeight="1" x14ac:dyDescent="0.25">
      <c r="A15" s="3">
        <v>13</v>
      </c>
      <c r="B15" s="5" t="s">
        <v>32</v>
      </c>
      <c r="C15" s="284"/>
      <c r="D15" s="21" t="s">
        <v>154</v>
      </c>
      <c r="E15" s="21" t="s">
        <v>112</v>
      </c>
      <c r="F15" s="277"/>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284"/>
      <c r="D16" s="12" t="s">
        <v>113</v>
      </c>
      <c r="E16" s="12" t="s">
        <v>114</v>
      </c>
      <c r="F16" s="277"/>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284"/>
      <c r="D17" s="21" t="s">
        <v>155</v>
      </c>
      <c r="E17" s="21" t="s">
        <v>40</v>
      </c>
      <c r="F17" s="277"/>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285"/>
      <c r="D18" s="21" t="s">
        <v>156</v>
      </c>
      <c r="E18" s="22"/>
      <c r="F18" s="272"/>
      <c r="G18" s="1"/>
      <c r="H18" s="1"/>
      <c r="I18" s="1"/>
      <c r="J18" s="1"/>
      <c r="K18" s="1"/>
      <c r="L18" s="1"/>
      <c r="M18" s="1"/>
      <c r="N18" s="1"/>
      <c r="O18" s="1"/>
      <c r="P18" s="1"/>
      <c r="Q18" s="1"/>
      <c r="R18" s="1"/>
      <c r="S18" s="1"/>
      <c r="T18" s="1"/>
      <c r="U18" s="1"/>
      <c r="V18" s="1"/>
      <c r="W18" s="1"/>
      <c r="X18" s="1"/>
      <c r="Y18" s="1"/>
      <c r="Z18" s="1"/>
    </row>
    <row r="19" spans="1:26" ht="47.25" customHeight="1" x14ac:dyDescent="0.25">
      <c r="A19" s="23"/>
      <c r="B19" s="24"/>
      <c r="C19" s="25"/>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26"/>
      <c r="B20" s="26" t="s">
        <v>43</v>
      </c>
      <c r="C20" s="27"/>
      <c r="D20" s="27"/>
      <c r="E20" s="27"/>
      <c r="F20" s="27"/>
      <c r="G20" s="27"/>
      <c r="H20" s="27"/>
      <c r="I20" s="27"/>
      <c r="J20" s="1"/>
      <c r="K20" s="1"/>
      <c r="L20" s="1"/>
      <c r="M20" s="1"/>
      <c r="N20" s="1"/>
      <c r="O20" s="1"/>
      <c r="P20" s="1"/>
      <c r="Q20" s="1"/>
      <c r="R20" s="1"/>
      <c r="S20" s="1"/>
      <c r="T20" s="1"/>
      <c r="U20" s="1"/>
      <c r="V20" s="1"/>
      <c r="W20" s="1"/>
      <c r="X20" s="1"/>
      <c r="Y20" s="1"/>
      <c r="Z20" s="1"/>
    </row>
    <row r="21" spans="1:26" ht="36" customHeight="1" x14ac:dyDescent="0.25">
      <c r="A21" s="28" t="s">
        <v>44</v>
      </c>
      <c r="B21" s="29" t="s">
        <v>45</v>
      </c>
      <c r="C21" s="28" t="s">
        <v>46</v>
      </c>
      <c r="D21" s="28" t="s">
        <v>47</v>
      </c>
      <c r="E21" s="28" t="s">
        <v>48</v>
      </c>
      <c r="F21" s="28" t="s">
        <v>49</v>
      </c>
      <c r="G21" s="28"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32">
        <v>46153</v>
      </c>
      <c r="B22" s="33" t="s">
        <v>53</v>
      </c>
      <c r="C22" s="34">
        <v>4</v>
      </c>
      <c r="D22" s="33">
        <v>68850</v>
      </c>
      <c r="E22" s="34">
        <v>4890</v>
      </c>
      <c r="F22" s="34"/>
      <c r="G22" s="35" t="s">
        <v>157</v>
      </c>
      <c r="H22" s="36" t="s">
        <v>158</v>
      </c>
      <c r="I22" s="43" t="s">
        <v>116</v>
      </c>
      <c r="J22" s="1"/>
      <c r="K22" s="1"/>
      <c r="L22" s="1"/>
      <c r="M22" s="1"/>
      <c r="N22" s="1"/>
      <c r="O22" s="1"/>
      <c r="P22" s="1"/>
      <c r="Q22" s="1"/>
      <c r="R22" s="1"/>
      <c r="S22" s="1"/>
      <c r="T22" s="1"/>
      <c r="U22" s="1"/>
      <c r="V22" s="1"/>
      <c r="W22" s="1"/>
      <c r="X22" s="1"/>
      <c r="Y22" s="1"/>
      <c r="Z22" s="1"/>
    </row>
    <row r="23" spans="1:26" ht="15.75" customHeight="1" x14ac:dyDescent="0.25">
      <c r="A23" s="32">
        <v>46154</v>
      </c>
      <c r="B23" s="33" t="s">
        <v>58</v>
      </c>
      <c r="C23" s="34"/>
      <c r="D23" s="33"/>
      <c r="E23" s="34"/>
      <c r="F23" s="34"/>
      <c r="G23" s="40"/>
      <c r="H23" s="65"/>
      <c r="I23" s="43"/>
      <c r="J23" s="1"/>
      <c r="K23" s="1"/>
      <c r="L23" s="1"/>
      <c r="M23" s="1"/>
      <c r="N23" s="1"/>
      <c r="O23" s="1"/>
      <c r="P23" s="1"/>
      <c r="Q23" s="1"/>
      <c r="R23" s="1"/>
      <c r="S23" s="1"/>
      <c r="T23" s="1"/>
      <c r="U23" s="1"/>
      <c r="V23" s="1"/>
      <c r="W23" s="1"/>
      <c r="X23" s="1"/>
      <c r="Y23" s="1"/>
      <c r="Z23" s="1"/>
    </row>
    <row r="24" spans="1:26" ht="15.75" customHeight="1" x14ac:dyDescent="0.25">
      <c r="A24" s="32">
        <v>46155</v>
      </c>
      <c r="B24" s="33" t="s">
        <v>62</v>
      </c>
      <c r="C24" s="34"/>
      <c r="D24" s="33"/>
      <c r="E24" s="34"/>
      <c r="F24" s="34"/>
      <c r="G24" s="34"/>
      <c r="H24" s="65"/>
      <c r="I24" s="43"/>
      <c r="J24" s="1"/>
      <c r="K24" s="1"/>
      <c r="L24" s="1"/>
      <c r="M24" s="1"/>
      <c r="N24" s="1"/>
      <c r="O24" s="1"/>
      <c r="P24" s="1"/>
      <c r="Q24" s="1"/>
      <c r="R24" s="1"/>
      <c r="S24" s="1"/>
      <c r="T24" s="1"/>
      <c r="U24" s="1"/>
      <c r="V24" s="1"/>
      <c r="W24" s="1"/>
      <c r="X24" s="1"/>
      <c r="Y24" s="1"/>
      <c r="Z24" s="1"/>
    </row>
    <row r="25" spans="1:26" ht="15.75" customHeight="1" x14ac:dyDescent="0.25">
      <c r="A25" s="32">
        <v>46156</v>
      </c>
      <c r="B25" s="33" t="s">
        <v>66</v>
      </c>
      <c r="C25" s="34">
        <v>1</v>
      </c>
      <c r="D25" s="33">
        <v>14450</v>
      </c>
      <c r="E25" s="34">
        <v>2100</v>
      </c>
      <c r="F25" s="34"/>
      <c r="G25" s="66" t="s">
        <v>159</v>
      </c>
      <c r="H25" s="65">
        <v>7716080302</v>
      </c>
      <c r="I25" s="43" t="s">
        <v>116</v>
      </c>
      <c r="J25" s="1"/>
      <c r="K25" s="1"/>
      <c r="L25" s="1"/>
      <c r="M25" s="1"/>
      <c r="N25" s="1"/>
      <c r="O25" s="1"/>
      <c r="P25" s="1"/>
      <c r="Q25" s="1"/>
      <c r="R25" s="1"/>
      <c r="S25" s="1"/>
      <c r="T25" s="1"/>
      <c r="U25" s="1"/>
      <c r="V25" s="1"/>
      <c r="W25" s="1"/>
      <c r="X25" s="1"/>
      <c r="Y25" s="1"/>
      <c r="Z25" s="1"/>
    </row>
    <row r="26" spans="1:26" ht="15.75" customHeight="1" x14ac:dyDescent="0.25">
      <c r="A26" s="32">
        <v>46157</v>
      </c>
      <c r="B26" s="33" t="s">
        <v>69</v>
      </c>
      <c r="C26" s="34">
        <v>2</v>
      </c>
      <c r="D26" s="33">
        <v>27250</v>
      </c>
      <c r="E26" s="34">
        <v>6000</v>
      </c>
      <c r="F26" s="34"/>
      <c r="G26" s="40" t="s">
        <v>160</v>
      </c>
      <c r="H26" s="65" t="s">
        <v>161</v>
      </c>
      <c r="I26" s="43" t="s">
        <v>116</v>
      </c>
      <c r="J26" s="1"/>
      <c r="K26" s="1"/>
      <c r="L26" s="1"/>
      <c r="M26" s="1"/>
      <c r="N26" s="1"/>
      <c r="O26" s="1"/>
      <c r="P26" s="1"/>
      <c r="Q26" s="1"/>
      <c r="R26" s="1"/>
      <c r="S26" s="1"/>
      <c r="T26" s="1"/>
      <c r="U26" s="1"/>
      <c r="V26" s="1"/>
      <c r="W26" s="1"/>
      <c r="X26" s="1"/>
      <c r="Y26" s="1"/>
      <c r="Z26" s="1"/>
    </row>
    <row r="27" spans="1:26" ht="15.75" customHeight="1" x14ac:dyDescent="0.25">
      <c r="A27" s="32">
        <v>46158</v>
      </c>
      <c r="B27" s="33" t="s">
        <v>70</v>
      </c>
      <c r="C27" s="34"/>
      <c r="D27" s="33"/>
      <c r="E27" s="34"/>
      <c r="F27" s="34"/>
      <c r="G27" s="40"/>
      <c r="H27" s="65"/>
      <c r="I27" s="43" t="s">
        <v>116</v>
      </c>
      <c r="J27" s="1"/>
      <c r="K27" s="1"/>
      <c r="L27" s="1"/>
      <c r="M27" s="1"/>
      <c r="N27" s="1"/>
      <c r="O27" s="1"/>
      <c r="P27" s="1"/>
      <c r="Q27" s="1"/>
      <c r="R27" s="1"/>
      <c r="S27" s="1"/>
      <c r="T27" s="1"/>
      <c r="U27" s="1"/>
      <c r="V27" s="1"/>
      <c r="W27" s="1"/>
      <c r="X27" s="1"/>
      <c r="Y27" s="1"/>
      <c r="Z27" s="1"/>
    </row>
    <row r="28" spans="1:26" ht="25.5" customHeight="1" x14ac:dyDescent="0.25">
      <c r="A28" s="32">
        <v>46159</v>
      </c>
      <c r="B28" s="33" t="s">
        <v>71</v>
      </c>
      <c r="C28" s="34">
        <v>1</v>
      </c>
      <c r="D28" s="33" t="s">
        <v>162</v>
      </c>
      <c r="E28" s="34">
        <v>1000</v>
      </c>
      <c r="F28" s="34"/>
      <c r="G28" s="40" t="s">
        <v>163</v>
      </c>
      <c r="H28" s="65">
        <v>7782897131</v>
      </c>
      <c r="I28" s="37" t="s">
        <v>164</v>
      </c>
      <c r="J28" s="1"/>
      <c r="K28" s="1"/>
      <c r="L28" s="1"/>
      <c r="M28" s="1"/>
      <c r="N28" s="1"/>
      <c r="O28" s="1"/>
      <c r="P28" s="1"/>
      <c r="Q28" s="1"/>
      <c r="R28" s="1"/>
      <c r="S28" s="1"/>
      <c r="T28" s="1"/>
      <c r="U28" s="1"/>
      <c r="V28" s="1"/>
      <c r="W28" s="1"/>
      <c r="X28" s="1"/>
      <c r="Y28" s="1"/>
      <c r="Z28" s="1"/>
    </row>
    <row r="29" spans="1:26" ht="15.75" customHeight="1" x14ac:dyDescent="0.25">
      <c r="A29" s="44"/>
      <c r="B29" s="45"/>
      <c r="C29" s="46"/>
      <c r="D29" s="45"/>
      <c r="E29" s="46"/>
      <c r="F29" s="46"/>
      <c r="G29" s="46"/>
      <c r="H29" s="47"/>
      <c r="I29" s="74"/>
      <c r="J29" s="1"/>
      <c r="K29" s="1"/>
      <c r="L29" s="1"/>
      <c r="M29" s="1"/>
      <c r="N29" s="1"/>
      <c r="O29" s="1"/>
      <c r="P29" s="1"/>
      <c r="Q29" s="1"/>
      <c r="R29" s="1"/>
      <c r="S29" s="1"/>
      <c r="T29" s="1"/>
      <c r="U29" s="1"/>
      <c r="V29" s="1"/>
      <c r="W29" s="1"/>
      <c r="X29" s="1"/>
      <c r="Y29" s="1"/>
      <c r="Z29" s="1"/>
    </row>
    <row r="30" spans="1:26" ht="15.75" customHeight="1" x14ac:dyDescent="0.25">
      <c r="A30" s="48"/>
      <c r="B30" s="48"/>
      <c r="C30" s="48">
        <f t="shared" ref="C30:E30" si="0">SUM(C22:C29)</f>
        <v>8</v>
      </c>
      <c r="D30" s="48">
        <f t="shared" si="0"/>
        <v>110550</v>
      </c>
      <c r="E30" s="48">
        <f t="shared" si="0"/>
        <v>13990</v>
      </c>
      <c r="F30" s="48"/>
      <c r="G30" s="49"/>
      <c r="H30" s="50"/>
      <c r="I30" s="5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69" t="s">
        <v>72</v>
      </c>
      <c r="B32" s="270"/>
      <c r="C32" s="52" t="s">
        <v>73</v>
      </c>
      <c r="D32" s="52" t="s">
        <v>74</v>
      </c>
      <c r="E32" s="52" t="s">
        <v>75</v>
      </c>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80" t="s">
        <v>76</v>
      </c>
      <c r="B33" s="281"/>
      <c r="C33" s="53">
        <v>9</v>
      </c>
      <c r="D33" s="54">
        <v>81400</v>
      </c>
      <c r="E33" s="55">
        <v>14120</v>
      </c>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82" t="s">
        <v>77</v>
      </c>
      <c r="B34" s="270"/>
      <c r="C34" s="56">
        <v>23</v>
      </c>
      <c r="D34" s="56">
        <v>348500</v>
      </c>
      <c r="E34" s="56">
        <v>41560</v>
      </c>
      <c r="F34" s="57"/>
      <c r="G34" s="1"/>
      <c r="H34" s="1"/>
      <c r="I34" s="1"/>
      <c r="J34" s="1"/>
      <c r="K34" s="1"/>
      <c r="L34" s="1"/>
      <c r="M34" s="1"/>
      <c r="N34" s="1"/>
      <c r="O34" s="1"/>
      <c r="P34" s="1"/>
      <c r="Q34" s="1"/>
      <c r="R34" s="1"/>
      <c r="S34" s="1"/>
      <c r="T34" s="1"/>
      <c r="U34" s="1"/>
      <c r="V34" s="1"/>
      <c r="W34" s="1"/>
      <c r="X34" s="1"/>
      <c r="Y34" s="1"/>
      <c r="Z34" s="1"/>
    </row>
    <row r="35" spans="1:26" ht="15.75" customHeight="1" x14ac:dyDescent="0.25">
      <c r="A35" s="283" t="s">
        <v>21</v>
      </c>
      <c r="B35" s="270"/>
      <c r="C35" s="58"/>
      <c r="D35" s="58"/>
      <c r="E35" s="67"/>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3"/>
      <c r="B121" s="24"/>
      <c r="C121" s="25"/>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3"/>
      <c r="B122" s="24"/>
      <c r="C122" s="25"/>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3"/>
      <c r="B123" s="24"/>
      <c r="C123" s="25"/>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3"/>
      <c r="B124" s="24"/>
      <c r="C124" s="25"/>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3"/>
      <c r="B125" s="24"/>
      <c r="C125" s="25"/>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3"/>
      <c r="B126" s="24"/>
      <c r="C126" s="25"/>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3"/>
      <c r="B127" s="24"/>
      <c r="C127" s="25"/>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3"/>
      <c r="B128" s="24"/>
      <c r="C128" s="25"/>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3"/>
      <c r="B129" s="24"/>
      <c r="C129" s="25"/>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3"/>
      <c r="B130" s="24"/>
      <c r="C130" s="25"/>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3"/>
      <c r="B131" s="24"/>
      <c r="C131" s="25"/>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61"/>
      <c r="B132" s="23"/>
      <c r="C132" s="24"/>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61"/>
      <c r="B133" s="23"/>
      <c r="C133" s="24"/>
      <c r="D133" s="25"/>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61"/>
      <c r="B134" s="23"/>
      <c r="C134" s="24"/>
      <c r="D134" s="25"/>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61"/>
      <c r="B135" s="23"/>
      <c r="C135" s="24"/>
      <c r="D135" s="25"/>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61"/>
      <c r="B136" s="23"/>
      <c r="C136" s="24"/>
      <c r="D136" s="25"/>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61"/>
      <c r="B137" s="23"/>
      <c r="C137" s="24"/>
      <c r="D137" s="25"/>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61"/>
      <c r="B138" s="23"/>
      <c r="C138" s="24"/>
      <c r="D138" s="25"/>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61"/>
      <c r="B139" s="23"/>
      <c r="C139" s="24"/>
      <c r="D139" s="25"/>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61"/>
      <c r="B140" s="23"/>
      <c r="C140" s="24"/>
      <c r="D140" s="25"/>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61"/>
      <c r="B141" s="23"/>
      <c r="C141" s="24"/>
      <c r="D141" s="25"/>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61"/>
      <c r="B142" s="23"/>
      <c r="C142" s="24"/>
      <c r="D142" s="25"/>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25"/>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25"/>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25"/>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25"/>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25"/>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25"/>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25"/>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25"/>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25"/>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25"/>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25"/>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61"/>
      <c r="B225" s="23"/>
      <c r="C225" s="24"/>
      <c r="D225" s="25"/>
      <c r="E225" s="25"/>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61"/>
      <c r="B226" s="23"/>
      <c r="C226" s="24"/>
      <c r="D226" s="25"/>
      <c r="E226" s="25"/>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61"/>
      <c r="B227" s="23"/>
      <c r="C227" s="24"/>
      <c r="D227" s="25"/>
      <c r="E227" s="25"/>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61"/>
      <c r="B228" s="23"/>
      <c r="C228" s="24"/>
      <c r="D228" s="25"/>
      <c r="E228" s="25"/>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61"/>
      <c r="B229" s="23"/>
      <c r="C229" s="24"/>
      <c r="D229" s="25"/>
      <c r="E229" s="25"/>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61"/>
      <c r="B230" s="23"/>
      <c r="C230" s="24"/>
      <c r="D230" s="25"/>
      <c r="E230" s="25"/>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61"/>
      <c r="B231" s="23"/>
      <c r="C231" s="24"/>
      <c r="D231" s="25"/>
      <c r="E231" s="25"/>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61"/>
      <c r="B232" s="23"/>
      <c r="C232" s="24"/>
      <c r="D232" s="25"/>
      <c r="E232" s="25"/>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61"/>
      <c r="B233" s="23"/>
      <c r="C233" s="24"/>
      <c r="D233" s="25"/>
      <c r="E233" s="25"/>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61"/>
      <c r="B234" s="23"/>
      <c r="C234" s="24"/>
      <c r="D234" s="25"/>
      <c r="E234" s="25"/>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61"/>
      <c r="B235" s="23"/>
      <c r="C235" s="24"/>
      <c r="D235" s="25"/>
      <c r="E235" s="25"/>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34:B34"/>
    <mergeCell ref="A35:B35"/>
    <mergeCell ref="A1:A2"/>
    <mergeCell ref="B1:F1"/>
    <mergeCell ref="C3:C10"/>
    <mergeCell ref="F3:F18"/>
    <mergeCell ref="C12:C18"/>
    <mergeCell ref="A32:B32"/>
    <mergeCell ref="A33:B3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topLeftCell="A22" workbookViewId="0">
      <selection sqref="A1:A2"/>
    </sheetView>
  </sheetViews>
  <sheetFormatPr defaultColWidth="14.42578125" defaultRowHeight="15" customHeight="1" x14ac:dyDescent="0.25"/>
  <cols>
    <col min="1" max="1" width="8.140625" customWidth="1"/>
    <col min="2" max="2" width="33.140625" customWidth="1"/>
    <col min="3" max="3" width="20" customWidth="1"/>
    <col min="4" max="4" width="56.5703125" customWidth="1"/>
    <col min="5" max="5" width="46" customWidth="1"/>
    <col min="6" max="6" width="48.85546875" customWidth="1"/>
    <col min="7" max="7" width="42.85546875" customWidth="1"/>
    <col min="8" max="8" width="32.85546875" customWidth="1"/>
    <col min="9" max="9" width="39.5703125" customWidth="1"/>
    <col min="10" max="26" width="8.85546875" customWidth="1"/>
  </cols>
  <sheetData>
    <row r="1" spans="1:26" ht="31.5" customHeight="1" x14ac:dyDescent="0.25">
      <c r="A1" s="271" t="s">
        <v>0</v>
      </c>
      <c r="B1" s="273" t="s">
        <v>1</v>
      </c>
      <c r="C1" s="274"/>
      <c r="D1" s="274"/>
      <c r="E1" s="274"/>
      <c r="F1" s="275"/>
      <c r="G1" s="1"/>
      <c r="H1" s="1"/>
      <c r="I1" s="1"/>
      <c r="J1" s="1"/>
      <c r="K1" s="1"/>
      <c r="L1" s="1"/>
      <c r="M1" s="1"/>
      <c r="N1" s="1"/>
      <c r="O1" s="1"/>
      <c r="P1" s="1"/>
      <c r="Q1" s="1"/>
      <c r="R1" s="1"/>
      <c r="S1" s="1"/>
      <c r="T1" s="1"/>
      <c r="U1" s="1"/>
      <c r="V1" s="1"/>
      <c r="W1" s="1"/>
      <c r="X1" s="1"/>
      <c r="Y1" s="1"/>
      <c r="Z1" s="1"/>
    </row>
    <row r="2" spans="1:26" ht="15.75" x14ac:dyDescent="0.25">
      <c r="A2" s="272"/>
      <c r="B2" s="2" t="s">
        <v>2</v>
      </c>
      <c r="C2" s="3" t="s">
        <v>3</v>
      </c>
      <c r="D2" s="3" t="s">
        <v>4</v>
      </c>
      <c r="E2" s="3" t="s">
        <v>5</v>
      </c>
      <c r="F2" s="3" t="s">
        <v>6</v>
      </c>
      <c r="G2" s="4"/>
      <c r="H2" s="4"/>
      <c r="I2" s="4"/>
      <c r="J2" s="4"/>
      <c r="K2" s="4"/>
      <c r="L2" s="4"/>
      <c r="M2" s="4"/>
      <c r="N2" s="4"/>
      <c r="O2" s="4"/>
      <c r="P2" s="4"/>
      <c r="Q2" s="4"/>
      <c r="R2" s="4"/>
      <c r="S2" s="4"/>
      <c r="T2" s="4"/>
      <c r="U2" s="4"/>
      <c r="V2" s="4"/>
      <c r="W2" s="4"/>
      <c r="X2" s="4"/>
      <c r="Y2" s="4"/>
      <c r="Z2" s="4"/>
    </row>
    <row r="3" spans="1:26" ht="18.75" customHeight="1" x14ac:dyDescent="0.25">
      <c r="A3" s="3">
        <v>1</v>
      </c>
      <c r="B3" s="5" t="s">
        <v>7</v>
      </c>
      <c r="C3" s="286" t="s">
        <v>165</v>
      </c>
      <c r="D3" s="6" t="s">
        <v>166</v>
      </c>
      <c r="E3" s="6" t="s">
        <v>167</v>
      </c>
      <c r="F3" s="278" t="s">
        <v>168</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7">
        <v>4</v>
      </c>
      <c r="E4" s="7">
        <v>3</v>
      </c>
      <c r="F4" s="277"/>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6">
        <v>8578</v>
      </c>
      <c r="E5" s="6">
        <v>7729</v>
      </c>
      <c r="F5" s="277"/>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5">
        <v>0</v>
      </c>
      <c r="E6" s="5">
        <v>0</v>
      </c>
      <c r="F6" s="277"/>
      <c r="G6" s="1"/>
      <c r="H6" s="1"/>
      <c r="I6" s="1"/>
      <c r="J6" s="1"/>
      <c r="K6" s="1"/>
      <c r="L6" s="1"/>
      <c r="M6" s="1"/>
      <c r="N6" s="1"/>
      <c r="O6" s="1"/>
      <c r="P6" s="1"/>
      <c r="Q6" s="1"/>
      <c r="R6" s="1"/>
      <c r="S6" s="1"/>
      <c r="T6" s="1"/>
      <c r="U6" s="1"/>
      <c r="V6" s="1"/>
      <c r="W6" s="1"/>
      <c r="X6" s="1"/>
      <c r="Y6" s="1"/>
      <c r="Z6" s="1"/>
    </row>
    <row r="7" spans="1:26" ht="36.75" customHeight="1" x14ac:dyDescent="0.25">
      <c r="A7" s="3">
        <v>5</v>
      </c>
      <c r="B7" s="8" t="s">
        <v>14</v>
      </c>
      <c r="C7" s="277"/>
      <c r="D7" s="9">
        <v>0</v>
      </c>
      <c r="E7" s="10">
        <v>0</v>
      </c>
      <c r="F7" s="277"/>
      <c r="G7" s="1"/>
      <c r="H7" s="1"/>
      <c r="I7" s="1"/>
      <c r="J7" s="1"/>
      <c r="K7" s="1"/>
      <c r="L7" s="1"/>
      <c r="M7" s="1"/>
      <c r="N7" s="1"/>
      <c r="O7" s="1"/>
      <c r="P7" s="1"/>
      <c r="Q7" s="1"/>
      <c r="R7" s="1"/>
      <c r="S7" s="1"/>
      <c r="T7" s="1"/>
      <c r="U7" s="1"/>
      <c r="V7" s="1"/>
      <c r="W7" s="1"/>
      <c r="X7" s="1"/>
      <c r="Y7" s="1"/>
      <c r="Z7" s="1"/>
    </row>
    <row r="8" spans="1:26" ht="72" customHeight="1" x14ac:dyDescent="0.25">
      <c r="A8" s="3">
        <v>6</v>
      </c>
      <c r="B8" s="8" t="s">
        <v>15</v>
      </c>
      <c r="C8" s="277"/>
      <c r="D8" s="63" t="s">
        <v>169</v>
      </c>
      <c r="E8" s="12" t="s">
        <v>170</v>
      </c>
      <c r="F8" s="277"/>
      <c r="G8" s="1"/>
      <c r="H8" s="1"/>
      <c r="I8" s="1"/>
      <c r="J8" s="1"/>
      <c r="K8" s="1"/>
      <c r="L8" s="1"/>
      <c r="M8" s="1"/>
      <c r="N8" s="1"/>
      <c r="O8" s="1"/>
      <c r="P8" s="1"/>
      <c r="Q8" s="1"/>
      <c r="R8" s="1"/>
      <c r="S8" s="1"/>
      <c r="T8" s="1"/>
      <c r="U8" s="1"/>
      <c r="V8" s="1"/>
      <c r="W8" s="1"/>
      <c r="X8" s="1"/>
      <c r="Y8" s="1"/>
      <c r="Z8" s="1"/>
    </row>
    <row r="9" spans="1:26" ht="57" customHeight="1" x14ac:dyDescent="0.25">
      <c r="A9" s="3">
        <v>7</v>
      </c>
      <c r="B9" s="8" t="s">
        <v>18</v>
      </c>
      <c r="C9" s="277"/>
      <c r="D9" s="8">
        <v>0</v>
      </c>
      <c r="E9" s="8">
        <v>0</v>
      </c>
      <c r="F9" s="277"/>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2"/>
      <c r="D10" s="8">
        <v>0</v>
      </c>
      <c r="E10" s="7">
        <v>0</v>
      </c>
      <c r="F10" s="277"/>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68" t="s">
        <v>77</v>
      </c>
      <c r="D11" s="75" t="s">
        <v>129</v>
      </c>
      <c r="E11" s="21" t="s">
        <v>130</v>
      </c>
      <c r="F11" s="277"/>
      <c r="G11" s="1"/>
      <c r="H11" s="1"/>
      <c r="I11" s="1"/>
      <c r="J11" s="1"/>
      <c r="K11" s="1"/>
      <c r="L11" s="1"/>
      <c r="M11" s="1"/>
      <c r="N11" s="1"/>
      <c r="O11" s="1"/>
      <c r="P11" s="1"/>
      <c r="Q11" s="1"/>
      <c r="R11" s="1"/>
      <c r="S11" s="1"/>
      <c r="T11" s="1"/>
      <c r="U11" s="1"/>
      <c r="V11" s="1"/>
      <c r="W11" s="1"/>
      <c r="X11" s="1"/>
      <c r="Y11" s="1"/>
      <c r="Z11" s="1"/>
    </row>
    <row r="12" spans="1:26" ht="97.5" customHeight="1" x14ac:dyDescent="0.25">
      <c r="A12" s="3">
        <v>10</v>
      </c>
      <c r="B12" s="5" t="s">
        <v>24</v>
      </c>
      <c r="C12" s="288" t="s">
        <v>165</v>
      </c>
      <c r="D12" s="76" t="s">
        <v>171</v>
      </c>
      <c r="E12" s="76" t="s">
        <v>172</v>
      </c>
      <c r="F12" s="277"/>
      <c r="G12" s="1"/>
      <c r="H12" s="1"/>
      <c r="I12" s="1"/>
      <c r="J12" s="1"/>
      <c r="K12" s="1"/>
      <c r="L12" s="1"/>
      <c r="M12" s="1"/>
      <c r="N12" s="1"/>
      <c r="O12" s="1"/>
      <c r="P12" s="1"/>
      <c r="Q12" s="1"/>
      <c r="R12" s="1"/>
      <c r="S12" s="1"/>
      <c r="T12" s="1"/>
      <c r="U12" s="1"/>
      <c r="V12" s="1"/>
      <c r="W12" s="1"/>
      <c r="X12" s="1"/>
      <c r="Y12" s="1"/>
      <c r="Z12" s="1"/>
    </row>
    <row r="13" spans="1:26" ht="132" customHeight="1" x14ac:dyDescent="0.25">
      <c r="A13" s="3">
        <v>11</v>
      </c>
      <c r="B13" s="5" t="s">
        <v>27</v>
      </c>
      <c r="C13" s="277"/>
      <c r="D13" s="21" t="s">
        <v>173</v>
      </c>
      <c r="E13" s="21" t="s">
        <v>153</v>
      </c>
      <c r="F13" s="277"/>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77"/>
      <c r="D14" s="12" t="s">
        <v>91</v>
      </c>
      <c r="E14" s="73">
        <v>1</v>
      </c>
      <c r="F14" s="277"/>
      <c r="G14" s="1"/>
      <c r="H14" s="1"/>
      <c r="I14" s="1"/>
      <c r="J14" s="1"/>
      <c r="K14" s="1"/>
      <c r="L14" s="1"/>
      <c r="M14" s="1"/>
      <c r="N14" s="1"/>
      <c r="O14" s="1"/>
      <c r="P14" s="1"/>
      <c r="Q14" s="1"/>
      <c r="R14" s="1"/>
      <c r="S14" s="1"/>
      <c r="T14" s="1"/>
      <c r="U14" s="1"/>
      <c r="V14" s="1"/>
      <c r="W14" s="1"/>
      <c r="X14" s="1"/>
      <c r="Y14" s="1"/>
      <c r="Z14" s="1"/>
    </row>
    <row r="15" spans="1:26" ht="81.75" customHeight="1" x14ac:dyDescent="0.25">
      <c r="A15" s="3">
        <v>13</v>
      </c>
      <c r="B15" s="5" t="s">
        <v>32</v>
      </c>
      <c r="C15" s="277"/>
      <c r="D15" s="21" t="s">
        <v>174</v>
      </c>
      <c r="E15" s="21" t="s">
        <v>175</v>
      </c>
      <c r="F15" s="277"/>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277"/>
      <c r="D16" s="12" t="s">
        <v>113</v>
      </c>
      <c r="E16" s="12" t="s">
        <v>114</v>
      </c>
      <c r="F16" s="277"/>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277"/>
      <c r="D17" s="21" t="s">
        <v>176</v>
      </c>
      <c r="E17" s="21" t="s">
        <v>40</v>
      </c>
      <c r="F17" s="277"/>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272"/>
      <c r="D18" s="21" t="s">
        <v>177</v>
      </c>
      <c r="E18" s="22"/>
      <c r="F18" s="272"/>
      <c r="G18" s="1"/>
      <c r="H18" s="1"/>
      <c r="I18" s="1"/>
      <c r="J18" s="1"/>
      <c r="K18" s="1"/>
      <c r="L18" s="1"/>
      <c r="M18" s="1"/>
      <c r="N18" s="1"/>
      <c r="O18" s="1"/>
      <c r="P18" s="1"/>
      <c r="Q18" s="1"/>
      <c r="R18" s="1"/>
      <c r="S18" s="1"/>
      <c r="T18" s="1"/>
      <c r="U18" s="1"/>
      <c r="V18" s="1"/>
      <c r="W18" s="1"/>
      <c r="X18" s="1"/>
      <c r="Y18" s="1"/>
      <c r="Z18" s="1"/>
    </row>
    <row r="19" spans="1:26" ht="47.25" customHeight="1" x14ac:dyDescent="0.25">
      <c r="A19" s="23"/>
      <c r="B19" s="24"/>
      <c r="C19" s="25"/>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26"/>
      <c r="B20" s="26" t="s">
        <v>43</v>
      </c>
      <c r="C20" s="27"/>
      <c r="D20" s="27"/>
      <c r="E20" s="27"/>
      <c r="F20" s="27"/>
      <c r="G20" s="27"/>
      <c r="H20" s="27"/>
      <c r="I20" s="27"/>
      <c r="J20" s="1"/>
      <c r="K20" s="1"/>
      <c r="L20" s="1"/>
      <c r="M20" s="1"/>
      <c r="N20" s="1"/>
      <c r="O20" s="1"/>
      <c r="P20" s="1"/>
      <c r="Q20" s="1"/>
      <c r="R20" s="1"/>
      <c r="S20" s="1"/>
      <c r="T20" s="1"/>
      <c r="U20" s="1"/>
      <c r="V20" s="1"/>
      <c r="W20" s="1"/>
      <c r="X20" s="1"/>
      <c r="Y20" s="1"/>
      <c r="Z20" s="1"/>
    </row>
    <row r="21" spans="1:26" ht="36" customHeight="1" x14ac:dyDescent="0.25">
      <c r="A21" s="28" t="s">
        <v>44</v>
      </c>
      <c r="B21" s="29" t="s">
        <v>45</v>
      </c>
      <c r="C21" s="28" t="s">
        <v>46</v>
      </c>
      <c r="D21" s="28" t="s">
        <v>47</v>
      </c>
      <c r="E21" s="28" t="s">
        <v>48</v>
      </c>
      <c r="F21" s="28" t="s">
        <v>49</v>
      </c>
      <c r="G21" s="28"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32">
        <v>46146</v>
      </c>
      <c r="B22" s="33" t="s">
        <v>53</v>
      </c>
      <c r="C22" s="34">
        <v>2</v>
      </c>
      <c r="D22" s="33">
        <v>38800</v>
      </c>
      <c r="E22" s="34">
        <v>2280</v>
      </c>
      <c r="F22" s="34"/>
      <c r="G22" s="40" t="s">
        <v>178</v>
      </c>
      <c r="H22" s="65" t="s">
        <v>179</v>
      </c>
      <c r="I22" s="43" t="s">
        <v>116</v>
      </c>
      <c r="J22" s="1"/>
      <c r="K22" s="1"/>
      <c r="L22" s="1"/>
      <c r="M22" s="1"/>
      <c r="N22" s="1"/>
      <c r="O22" s="1"/>
      <c r="P22" s="1"/>
      <c r="Q22" s="1"/>
      <c r="R22" s="1"/>
      <c r="S22" s="1"/>
      <c r="T22" s="1"/>
      <c r="U22" s="1"/>
      <c r="V22" s="1"/>
      <c r="W22" s="1"/>
      <c r="X22" s="1"/>
      <c r="Y22" s="1"/>
      <c r="Z22" s="1"/>
    </row>
    <row r="23" spans="1:26" ht="15.75" customHeight="1" x14ac:dyDescent="0.25">
      <c r="A23" s="32">
        <v>46147</v>
      </c>
      <c r="B23" s="33" t="s">
        <v>58</v>
      </c>
      <c r="C23" s="34">
        <v>1</v>
      </c>
      <c r="D23" s="33">
        <v>6650</v>
      </c>
      <c r="E23" s="34"/>
      <c r="F23" s="34"/>
      <c r="G23" s="40" t="s">
        <v>180</v>
      </c>
      <c r="H23" s="65">
        <v>7774034516</v>
      </c>
      <c r="I23" s="43"/>
      <c r="J23" s="1"/>
      <c r="K23" s="1"/>
      <c r="L23" s="1"/>
      <c r="M23" s="1"/>
      <c r="N23" s="1"/>
      <c r="O23" s="1"/>
      <c r="P23" s="1"/>
      <c r="Q23" s="1"/>
      <c r="R23" s="1"/>
      <c r="S23" s="1"/>
      <c r="T23" s="1"/>
      <c r="U23" s="1"/>
      <c r="V23" s="1"/>
      <c r="W23" s="1"/>
      <c r="X23" s="1"/>
      <c r="Y23" s="1"/>
      <c r="Z23" s="1"/>
    </row>
    <row r="24" spans="1:26" ht="15.75" customHeight="1" x14ac:dyDescent="0.25">
      <c r="A24" s="32">
        <v>46148</v>
      </c>
      <c r="B24" s="33" t="s">
        <v>62</v>
      </c>
      <c r="C24" s="34"/>
      <c r="D24" s="33"/>
      <c r="E24" s="34"/>
      <c r="F24" s="34"/>
      <c r="G24" s="34"/>
      <c r="H24" s="65"/>
      <c r="I24" s="43" t="s">
        <v>116</v>
      </c>
      <c r="J24" s="1"/>
      <c r="K24" s="1"/>
      <c r="L24" s="1"/>
      <c r="M24" s="1"/>
      <c r="N24" s="1"/>
      <c r="O24" s="1"/>
      <c r="P24" s="1"/>
      <c r="Q24" s="1"/>
      <c r="R24" s="1"/>
      <c r="S24" s="1"/>
      <c r="T24" s="1"/>
      <c r="U24" s="1"/>
      <c r="V24" s="1"/>
      <c r="W24" s="1"/>
      <c r="X24" s="1"/>
      <c r="Y24" s="1"/>
      <c r="Z24" s="1"/>
    </row>
    <row r="25" spans="1:26" ht="15.75" customHeight="1" x14ac:dyDescent="0.25">
      <c r="A25" s="32">
        <v>46149</v>
      </c>
      <c r="B25" s="33" t="s">
        <v>66</v>
      </c>
      <c r="C25" s="34">
        <v>2</v>
      </c>
      <c r="D25" s="33">
        <v>33500</v>
      </c>
      <c r="E25" s="34">
        <v>3400</v>
      </c>
      <c r="F25" s="34"/>
      <c r="G25" s="66" t="s">
        <v>181</v>
      </c>
      <c r="H25" s="65" t="s">
        <v>182</v>
      </c>
      <c r="I25" s="43" t="s">
        <v>116</v>
      </c>
      <c r="J25" s="1"/>
      <c r="K25" s="1"/>
      <c r="L25" s="1"/>
      <c r="M25" s="1"/>
      <c r="N25" s="1"/>
      <c r="O25" s="1"/>
      <c r="P25" s="1"/>
      <c r="Q25" s="1"/>
      <c r="R25" s="1"/>
      <c r="S25" s="1"/>
      <c r="T25" s="1"/>
      <c r="U25" s="1"/>
      <c r="V25" s="1"/>
      <c r="W25" s="1"/>
      <c r="X25" s="1"/>
      <c r="Y25" s="1"/>
      <c r="Z25" s="1"/>
    </row>
    <row r="26" spans="1:26" ht="15.75" customHeight="1" x14ac:dyDescent="0.25">
      <c r="A26" s="32">
        <v>46150</v>
      </c>
      <c r="B26" s="33" t="s">
        <v>69</v>
      </c>
      <c r="C26" s="34"/>
      <c r="D26" s="33"/>
      <c r="E26" s="34"/>
      <c r="F26" s="34"/>
      <c r="G26" s="40"/>
      <c r="H26" s="65"/>
      <c r="I26" s="43" t="s">
        <v>116</v>
      </c>
      <c r="J26" s="1"/>
      <c r="K26" s="1"/>
      <c r="L26" s="1"/>
      <c r="M26" s="1"/>
      <c r="N26" s="1"/>
      <c r="O26" s="1"/>
      <c r="P26" s="1"/>
      <c r="Q26" s="1"/>
      <c r="R26" s="1"/>
      <c r="S26" s="1"/>
      <c r="T26" s="1"/>
      <c r="U26" s="1"/>
      <c r="V26" s="1"/>
      <c r="W26" s="1"/>
      <c r="X26" s="1"/>
      <c r="Y26" s="1"/>
      <c r="Z26" s="1"/>
    </row>
    <row r="27" spans="1:26" ht="15.75" customHeight="1" x14ac:dyDescent="0.25">
      <c r="A27" s="32">
        <v>46151</v>
      </c>
      <c r="B27" s="33" t="s">
        <v>70</v>
      </c>
      <c r="C27" s="34"/>
      <c r="D27" s="33"/>
      <c r="E27" s="34"/>
      <c r="F27" s="34"/>
      <c r="G27" s="40"/>
      <c r="H27" s="65"/>
      <c r="I27" s="43" t="s">
        <v>116</v>
      </c>
      <c r="J27" s="1"/>
      <c r="K27" s="1"/>
      <c r="L27" s="1"/>
      <c r="M27" s="1"/>
      <c r="N27" s="1"/>
      <c r="O27" s="1"/>
      <c r="P27" s="1"/>
      <c r="Q27" s="1"/>
      <c r="R27" s="1"/>
      <c r="S27" s="1"/>
      <c r="T27" s="1"/>
      <c r="U27" s="1"/>
      <c r="V27" s="1"/>
      <c r="W27" s="1"/>
      <c r="X27" s="1"/>
      <c r="Y27" s="1"/>
      <c r="Z27" s="1"/>
    </row>
    <row r="28" spans="1:26" ht="25.5" customHeight="1" x14ac:dyDescent="0.25">
      <c r="A28" s="32">
        <v>46152</v>
      </c>
      <c r="B28" s="33" t="s">
        <v>71</v>
      </c>
      <c r="C28" s="34">
        <v>3</v>
      </c>
      <c r="D28" s="33">
        <v>27600</v>
      </c>
      <c r="E28" s="34">
        <v>2000</v>
      </c>
      <c r="F28" s="34"/>
      <c r="G28" s="40" t="s">
        <v>183</v>
      </c>
      <c r="H28" s="65" t="s">
        <v>184</v>
      </c>
      <c r="I28" s="43" t="s">
        <v>116</v>
      </c>
      <c r="J28" s="1"/>
      <c r="K28" s="1"/>
      <c r="L28" s="1"/>
      <c r="M28" s="1"/>
      <c r="N28" s="1"/>
      <c r="O28" s="1"/>
      <c r="P28" s="1"/>
      <c r="Q28" s="1"/>
      <c r="R28" s="1"/>
      <c r="S28" s="1"/>
      <c r="T28" s="1"/>
      <c r="U28" s="1"/>
      <c r="V28" s="1"/>
      <c r="W28" s="1"/>
      <c r="X28" s="1"/>
      <c r="Y28" s="1"/>
      <c r="Z28" s="1"/>
    </row>
    <row r="29" spans="1:26" ht="15.75" customHeight="1" x14ac:dyDescent="0.25">
      <c r="A29" s="44"/>
      <c r="B29" s="45"/>
      <c r="C29" s="46"/>
      <c r="D29" s="45"/>
      <c r="E29" s="46"/>
      <c r="F29" s="46"/>
      <c r="G29" s="46"/>
      <c r="H29" s="47"/>
      <c r="I29" s="74"/>
      <c r="J29" s="1"/>
      <c r="K29" s="1"/>
      <c r="L29" s="1"/>
      <c r="M29" s="1"/>
      <c r="N29" s="1"/>
      <c r="O29" s="1"/>
      <c r="P29" s="1"/>
      <c r="Q29" s="1"/>
      <c r="R29" s="1"/>
      <c r="S29" s="1"/>
      <c r="T29" s="1"/>
      <c r="U29" s="1"/>
      <c r="V29" s="1"/>
      <c r="W29" s="1"/>
      <c r="X29" s="1"/>
      <c r="Y29" s="1"/>
      <c r="Z29" s="1"/>
    </row>
    <row r="30" spans="1:26" ht="15.75" customHeight="1" x14ac:dyDescent="0.25">
      <c r="A30" s="48"/>
      <c r="B30" s="48"/>
      <c r="C30" s="48">
        <f t="shared" ref="C30:E30" si="0">SUM(C22:C29)</f>
        <v>8</v>
      </c>
      <c r="D30" s="48">
        <f t="shared" si="0"/>
        <v>106550</v>
      </c>
      <c r="E30" s="48">
        <f t="shared" si="0"/>
        <v>7680</v>
      </c>
      <c r="F30" s="48"/>
      <c r="G30" s="49"/>
      <c r="H30" s="50"/>
      <c r="I30" s="5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69" t="s">
        <v>72</v>
      </c>
      <c r="B32" s="270"/>
      <c r="C32" s="52" t="s">
        <v>73</v>
      </c>
      <c r="D32" s="52" t="s">
        <v>74</v>
      </c>
      <c r="E32" s="52" t="s">
        <v>75</v>
      </c>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80" t="s">
        <v>76</v>
      </c>
      <c r="B33" s="281"/>
      <c r="C33" s="53">
        <v>9</v>
      </c>
      <c r="D33" s="54">
        <v>81400</v>
      </c>
      <c r="E33" s="55">
        <v>14120</v>
      </c>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82" t="s">
        <v>77</v>
      </c>
      <c r="B34" s="270"/>
      <c r="C34" s="56">
        <v>23</v>
      </c>
      <c r="D34" s="56">
        <v>348500</v>
      </c>
      <c r="E34" s="56">
        <v>41560</v>
      </c>
      <c r="F34" s="57"/>
      <c r="G34" s="1"/>
      <c r="H34" s="1"/>
      <c r="I34" s="1"/>
      <c r="J34" s="1"/>
      <c r="K34" s="1"/>
      <c r="L34" s="1"/>
      <c r="M34" s="1"/>
      <c r="N34" s="1"/>
      <c r="O34" s="1"/>
      <c r="P34" s="1"/>
      <c r="Q34" s="1"/>
      <c r="R34" s="1"/>
      <c r="S34" s="1"/>
      <c r="T34" s="1"/>
      <c r="U34" s="1"/>
      <c r="V34" s="1"/>
      <c r="W34" s="1"/>
      <c r="X34" s="1"/>
      <c r="Y34" s="1"/>
      <c r="Z34" s="1"/>
    </row>
    <row r="35" spans="1:26" ht="15.75" customHeight="1" x14ac:dyDescent="0.25">
      <c r="A35" s="283" t="s">
        <v>21</v>
      </c>
      <c r="B35" s="270"/>
      <c r="C35" s="58"/>
      <c r="D35" s="58"/>
      <c r="E35" s="67"/>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3"/>
      <c r="B121" s="24"/>
      <c r="C121" s="25"/>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3"/>
      <c r="B122" s="24"/>
      <c r="C122" s="25"/>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3"/>
      <c r="B123" s="24"/>
      <c r="C123" s="25"/>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3"/>
      <c r="B124" s="24"/>
      <c r="C124" s="25"/>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3"/>
      <c r="B125" s="24"/>
      <c r="C125" s="25"/>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3"/>
      <c r="B126" s="24"/>
      <c r="C126" s="25"/>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3"/>
      <c r="B127" s="24"/>
      <c r="C127" s="25"/>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3"/>
      <c r="B128" s="24"/>
      <c r="C128" s="25"/>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3"/>
      <c r="B129" s="24"/>
      <c r="C129" s="25"/>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3"/>
      <c r="B130" s="24"/>
      <c r="C130" s="25"/>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3"/>
      <c r="B131" s="24"/>
      <c r="C131" s="25"/>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61"/>
      <c r="B132" s="23"/>
      <c r="C132" s="24"/>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61"/>
      <c r="B133" s="23"/>
      <c r="C133" s="24"/>
      <c r="D133" s="25"/>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61"/>
      <c r="B134" s="23"/>
      <c r="C134" s="24"/>
      <c r="D134" s="25"/>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61"/>
      <c r="B135" s="23"/>
      <c r="C135" s="24"/>
      <c r="D135" s="25"/>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61"/>
      <c r="B136" s="23"/>
      <c r="C136" s="24"/>
      <c r="D136" s="25"/>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61"/>
      <c r="B137" s="23"/>
      <c r="C137" s="24"/>
      <c r="D137" s="25"/>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61"/>
      <c r="B138" s="23"/>
      <c r="C138" s="24"/>
      <c r="D138" s="25"/>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61"/>
      <c r="B139" s="23"/>
      <c r="C139" s="24"/>
      <c r="D139" s="25"/>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61"/>
      <c r="B140" s="23"/>
      <c r="C140" s="24"/>
      <c r="D140" s="25"/>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61"/>
      <c r="B141" s="23"/>
      <c r="C141" s="24"/>
      <c r="D141" s="25"/>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61"/>
      <c r="B142" s="23"/>
      <c r="C142" s="24"/>
      <c r="D142" s="25"/>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25"/>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25"/>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25"/>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25"/>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25"/>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25"/>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25"/>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25"/>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25"/>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25"/>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25"/>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61"/>
      <c r="B225" s="23"/>
      <c r="C225" s="24"/>
      <c r="D225" s="25"/>
      <c r="E225" s="25"/>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61"/>
      <c r="B226" s="23"/>
      <c r="C226" s="24"/>
      <c r="D226" s="25"/>
      <c r="E226" s="25"/>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61"/>
      <c r="B227" s="23"/>
      <c r="C227" s="24"/>
      <c r="D227" s="25"/>
      <c r="E227" s="25"/>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61"/>
      <c r="B228" s="23"/>
      <c r="C228" s="24"/>
      <c r="D228" s="25"/>
      <c r="E228" s="25"/>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61"/>
      <c r="B229" s="23"/>
      <c r="C229" s="24"/>
      <c r="D229" s="25"/>
      <c r="E229" s="25"/>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61"/>
      <c r="B230" s="23"/>
      <c r="C230" s="24"/>
      <c r="D230" s="25"/>
      <c r="E230" s="25"/>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61"/>
      <c r="B231" s="23"/>
      <c r="C231" s="24"/>
      <c r="D231" s="25"/>
      <c r="E231" s="25"/>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61"/>
      <c r="B232" s="23"/>
      <c r="C232" s="24"/>
      <c r="D232" s="25"/>
      <c r="E232" s="25"/>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61"/>
      <c r="B233" s="23"/>
      <c r="C233" s="24"/>
      <c r="D233" s="25"/>
      <c r="E233" s="25"/>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61"/>
      <c r="B234" s="23"/>
      <c r="C234" s="24"/>
      <c r="D234" s="25"/>
      <c r="E234" s="25"/>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61"/>
      <c r="B235" s="23"/>
      <c r="C235" s="24"/>
      <c r="D235" s="25"/>
      <c r="E235" s="25"/>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34:B34"/>
    <mergeCell ref="A35:B35"/>
    <mergeCell ref="A1:A2"/>
    <mergeCell ref="B1:F1"/>
    <mergeCell ref="C3:C10"/>
    <mergeCell ref="F3:F18"/>
    <mergeCell ref="C12:C18"/>
    <mergeCell ref="A32:B32"/>
    <mergeCell ref="A33:B33"/>
  </mergeCells>
  <printOptions horizontalCentered="1" gridLines="1"/>
  <pageMargins left="0.25" right="0.25" top="0.75" bottom="0.75" header="0" footer="0"/>
  <pageSetup paperSize="9" pageOrder="overThenDown" orientation="portrait" cellComments="atEnd"/>
  <rowBreaks count="1" manualBreakCount="1">
    <brk id="18" man="1"/>
  </rowBreaks>
  <colBreaks count="1" manualBreakCount="1">
    <brk id="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0"/>
  <sheetViews>
    <sheetView workbookViewId="0"/>
  </sheetViews>
  <sheetFormatPr defaultColWidth="14.42578125" defaultRowHeight="15" customHeight="1" x14ac:dyDescent="0.25"/>
  <cols>
    <col min="1" max="1" width="8.140625" customWidth="1"/>
    <col min="2" max="2" width="33.140625" customWidth="1"/>
    <col min="3" max="3" width="20" customWidth="1"/>
    <col min="4" max="4" width="56.5703125" customWidth="1"/>
    <col min="5" max="5" width="46" customWidth="1"/>
    <col min="6" max="6" width="48.85546875" customWidth="1"/>
    <col min="7" max="7" width="42.85546875" customWidth="1"/>
    <col min="8" max="8" width="32.85546875" customWidth="1"/>
    <col min="9" max="9" width="39.5703125" customWidth="1"/>
    <col min="10" max="26" width="8.85546875" customWidth="1"/>
  </cols>
  <sheetData>
    <row r="1" spans="1:26" ht="31.5" customHeight="1" x14ac:dyDescent="0.25">
      <c r="A1" s="271" t="s">
        <v>0</v>
      </c>
      <c r="B1" s="273" t="s">
        <v>1</v>
      </c>
      <c r="C1" s="274"/>
      <c r="D1" s="274"/>
      <c r="E1" s="274"/>
      <c r="F1" s="275"/>
      <c r="G1" s="1"/>
      <c r="H1" s="1"/>
      <c r="I1" s="1"/>
      <c r="J1" s="1"/>
      <c r="K1" s="1"/>
      <c r="L1" s="1"/>
      <c r="M1" s="1"/>
      <c r="N1" s="1"/>
      <c r="O1" s="1"/>
      <c r="P1" s="1"/>
      <c r="Q1" s="1"/>
      <c r="R1" s="1"/>
      <c r="S1" s="1"/>
      <c r="T1" s="1"/>
      <c r="U1" s="1"/>
      <c r="V1" s="1"/>
      <c r="W1" s="1"/>
      <c r="X1" s="1"/>
      <c r="Y1" s="1"/>
      <c r="Z1" s="1"/>
    </row>
    <row r="2" spans="1:26" ht="15.75" x14ac:dyDescent="0.25">
      <c r="A2" s="272"/>
      <c r="B2" s="2" t="s">
        <v>2</v>
      </c>
      <c r="C2" s="3" t="s">
        <v>3</v>
      </c>
      <c r="D2" s="3" t="s">
        <v>4</v>
      </c>
      <c r="E2" s="3" t="s">
        <v>5</v>
      </c>
      <c r="F2" s="3" t="s">
        <v>6</v>
      </c>
      <c r="G2" s="4"/>
      <c r="H2" s="4"/>
      <c r="I2" s="4"/>
      <c r="J2" s="4"/>
      <c r="K2" s="4"/>
      <c r="L2" s="4"/>
      <c r="M2" s="4"/>
      <c r="N2" s="4"/>
      <c r="O2" s="4"/>
      <c r="P2" s="4"/>
      <c r="Q2" s="4"/>
      <c r="R2" s="4"/>
      <c r="S2" s="4"/>
      <c r="T2" s="4"/>
      <c r="U2" s="4"/>
      <c r="V2" s="4"/>
      <c r="W2" s="4"/>
      <c r="X2" s="4"/>
      <c r="Y2" s="4"/>
      <c r="Z2" s="4"/>
    </row>
    <row r="3" spans="1:26" ht="18.75" customHeight="1" x14ac:dyDescent="0.25">
      <c r="A3" s="3">
        <v>1</v>
      </c>
      <c r="B3" s="5" t="s">
        <v>7</v>
      </c>
      <c r="C3" s="286" t="s">
        <v>185</v>
      </c>
      <c r="D3" s="6">
        <v>94570</v>
      </c>
      <c r="E3" s="6">
        <v>6000</v>
      </c>
      <c r="F3" s="278" t="s">
        <v>186</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7">
        <v>11</v>
      </c>
      <c r="E4" s="7">
        <v>1</v>
      </c>
      <c r="F4" s="277"/>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6">
        <v>8597</v>
      </c>
      <c r="E5" s="6">
        <v>6000</v>
      </c>
      <c r="F5" s="277"/>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5">
        <v>0</v>
      </c>
      <c r="E6" s="5">
        <v>0</v>
      </c>
      <c r="F6" s="277"/>
      <c r="G6" s="1"/>
      <c r="H6" s="1"/>
      <c r="I6" s="1"/>
      <c r="J6" s="1"/>
      <c r="K6" s="1"/>
      <c r="L6" s="1"/>
      <c r="M6" s="1"/>
      <c r="N6" s="1"/>
      <c r="O6" s="1"/>
      <c r="P6" s="1"/>
      <c r="Q6" s="1"/>
      <c r="R6" s="1"/>
      <c r="S6" s="1"/>
      <c r="T6" s="1"/>
      <c r="U6" s="1"/>
      <c r="V6" s="1"/>
      <c r="W6" s="1"/>
      <c r="X6" s="1"/>
      <c r="Y6" s="1"/>
      <c r="Z6" s="1"/>
    </row>
    <row r="7" spans="1:26" ht="36.75" customHeight="1" x14ac:dyDescent="0.25">
      <c r="A7" s="3">
        <v>5</v>
      </c>
      <c r="B7" s="8" t="s">
        <v>14</v>
      </c>
      <c r="C7" s="277"/>
      <c r="D7" s="9">
        <v>0</v>
      </c>
      <c r="E7" s="10">
        <v>0</v>
      </c>
      <c r="F7" s="277"/>
      <c r="G7" s="1"/>
      <c r="H7" s="1"/>
      <c r="I7" s="1"/>
      <c r="J7" s="1"/>
      <c r="K7" s="1"/>
      <c r="L7" s="1"/>
      <c r="M7" s="1"/>
      <c r="N7" s="1"/>
      <c r="O7" s="1"/>
      <c r="P7" s="1"/>
      <c r="Q7" s="1"/>
      <c r="R7" s="1"/>
      <c r="S7" s="1"/>
      <c r="T7" s="1"/>
      <c r="U7" s="1"/>
      <c r="V7" s="1"/>
      <c r="W7" s="1"/>
      <c r="X7" s="1"/>
      <c r="Y7" s="1"/>
      <c r="Z7" s="1"/>
    </row>
    <row r="8" spans="1:26" ht="72" customHeight="1" x14ac:dyDescent="0.25">
      <c r="A8" s="3">
        <v>6</v>
      </c>
      <c r="B8" s="8" t="s">
        <v>15</v>
      </c>
      <c r="C8" s="277"/>
      <c r="D8" s="63" t="s">
        <v>187</v>
      </c>
      <c r="E8" s="12" t="s">
        <v>188</v>
      </c>
      <c r="F8" s="277"/>
      <c r="G8" s="1"/>
      <c r="H8" s="1"/>
      <c r="I8" s="1"/>
      <c r="J8" s="1"/>
      <c r="K8" s="1"/>
      <c r="L8" s="1"/>
      <c r="M8" s="1"/>
      <c r="N8" s="1"/>
      <c r="O8" s="1"/>
      <c r="P8" s="1"/>
      <c r="Q8" s="1"/>
      <c r="R8" s="1"/>
      <c r="S8" s="1"/>
      <c r="T8" s="1"/>
      <c r="U8" s="1"/>
      <c r="V8" s="1"/>
      <c r="W8" s="1"/>
      <c r="X8" s="1"/>
      <c r="Y8" s="1"/>
      <c r="Z8" s="1"/>
    </row>
    <row r="9" spans="1:26" ht="57" customHeight="1" x14ac:dyDescent="0.25">
      <c r="A9" s="3">
        <v>7</v>
      </c>
      <c r="B9" s="8" t="s">
        <v>18</v>
      </c>
      <c r="C9" s="277"/>
      <c r="D9" s="8">
        <v>1</v>
      </c>
      <c r="E9" s="8">
        <v>0</v>
      </c>
      <c r="F9" s="277"/>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2"/>
      <c r="D10" s="8">
        <v>0</v>
      </c>
      <c r="E10" s="7">
        <v>0</v>
      </c>
      <c r="F10" s="277"/>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68" t="s">
        <v>77</v>
      </c>
      <c r="D11" s="75" t="s">
        <v>129</v>
      </c>
      <c r="E11" s="21" t="s">
        <v>130</v>
      </c>
      <c r="F11" s="277"/>
      <c r="G11" s="1"/>
      <c r="H11" s="1"/>
      <c r="I11" s="1"/>
      <c r="J11" s="1"/>
      <c r="K11" s="1"/>
      <c r="L11" s="1"/>
      <c r="M11" s="1"/>
      <c r="N11" s="1"/>
      <c r="O11" s="1"/>
      <c r="P11" s="1"/>
      <c r="Q11" s="1"/>
      <c r="R11" s="1"/>
      <c r="S11" s="1"/>
      <c r="T11" s="1"/>
      <c r="U11" s="1"/>
      <c r="V11" s="1"/>
      <c r="W11" s="1"/>
      <c r="X11" s="1"/>
      <c r="Y11" s="1"/>
      <c r="Z11" s="1"/>
    </row>
    <row r="12" spans="1:26" ht="63" customHeight="1" x14ac:dyDescent="0.25">
      <c r="A12" s="3">
        <v>10</v>
      </c>
      <c r="B12" s="5" t="s">
        <v>24</v>
      </c>
      <c r="C12" s="288" t="s">
        <v>185</v>
      </c>
      <c r="D12" s="71" t="s">
        <v>189</v>
      </c>
      <c r="E12" s="71" t="s">
        <v>190</v>
      </c>
      <c r="F12" s="277"/>
      <c r="G12" s="1"/>
      <c r="H12" s="1"/>
      <c r="I12" s="1"/>
      <c r="J12" s="1"/>
      <c r="K12" s="1"/>
      <c r="L12" s="1"/>
      <c r="M12" s="1"/>
      <c r="N12" s="1"/>
      <c r="O12" s="1"/>
      <c r="P12" s="1"/>
      <c r="Q12" s="1"/>
      <c r="R12" s="1"/>
      <c r="S12" s="1"/>
      <c r="T12" s="1"/>
      <c r="U12" s="1"/>
      <c r="V12" s="1"/>
      <c r="W12" s="1"/>
      <c r="X12" s="1"/>
      <c r="Y12" s="1"/>
      <c r="Z12" s="1"/>
    </row>
    <row r="13" spans="1:26" ht="132" customHeight="1" x14ac:dyDescent="0.25">
      <c r="A13" s="3">
        <v>11</v>
      </c>
      <c r="B13" s="5" t="s">
        <v>27</v>
      </c>
      <c r="C13" s="277"/>
      <c r="D13" s="21" t="s">
        <v>191</v>
      </c>
      <c r="E13" s="21" t="s">
        <v>192</v>
      </c>
      <c r="F13" s="277"/>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77"/>
      <c r="D14" s="12" t="s">
        <v>91</v>
      </c>
      <c r="E14" s="73">
        <v>1</v>
      </c>
      <c r="F14" s="277"/>
      <c r="G14" s="1"/>
      <c r="H14" s="1"/>
      <c r="I14" s="1"/>
      <c r="J14" s="1"/>
      <c r="K14" s="1"/>
      <c r="L14" s="1"/>
      <c r="M14" s="1"/>
      <c r="N14" s="1"/>
      <c r="O14" s="1"/>
      <c r="P14" s="1"/>
      <c r="Q14" s="1"/>
      <c r="R14" s="1"/>
      <c r="S14" s="1"/>
      <c r="T14" s="1"/>
      <c r="U14" s="1"/>
      <c r="V14" s="1"/>
      <c r="W14" s="1"/>
      <c r="X14" s="1"/>
      <c r="Y14" s="1"/>
      <c r="Z14" s="1"/>
    </row>
    <row r="15" spans="1:26" ht="81.75" customHeight="1" x14ac:dyDescent="0.25">
      <c r="A15" s="3">
        <v>13</v>
      </c>
      <c r="B15" s="5" t="s">
        <v>32</v>
      </c>
      <c r="C15" s="277"/>
      <c r="D15" s="21" t="s">
        <v>174</v>
      </c>
      <c r="E15" s="21" t="s">
        <v>193</v>
      </c>
      <c r="F15" s="277"/>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277"/>
      <c r="D16" s="12" t="s">
        <v>194</v>
      </c>
      <c r="E16" s="12" t="s">
        <v>114</v>
      </c>
      <c r="F16" s="277"/>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277"/>
      <c r="D17" s="21" t="s">
        <v>195</v>
      </c>
      <c r="E17" s="21" t="s">
        <v>40</v>
      </c>
      <c r="F17" s="277"/>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272"/>
      <c r="D18" s="21" t="s">
        <v>196</v>
      </c>
      <c r="E18" s="22"/>
      <c r="F18" s="272"/>
      <c r="G18" s="1"/>
      <c r="H18" s="1"/>
      <c r="I18" s="1"/>
      <c r="J18" s="1"/>
      <c r="K18" s="1"/>
      <c r="L18" s="1"/>
      <c r="M18" s="1"/>
      <c r="N18" s="1"/>
      <c r="O18" s="1"/>
      <c r="P18" s="1"/>
      <c r="Q18" s="1"/>
      <c r="R18" s="1"/>
      <c r="S18" s="1"/>
      <c r="T18" s="1"/>
      <c r="U18" s="1"/>
      <c r="V18" s="1"/>
      <c r="W18" s="1"/>
      <c r="X18" s="1"/>
      <c r="Y18" s="1"/>
      <c r="Z18" s="1"/>
    </row>
    <row r="19" spans="1:26" ht="47.25" customHeight="1" x14ac:dyDescent="0.25">
      <c r="A19" s="23"/>
      <c r="B19" s="24"/>
      <c r="C19" s="25"/>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26"/>
      <c r="B20" s="26" t="s">
        <v>43</v>
      </c>
      <c r="C20" s="27"/>
      <c r="D20" s="27"/>
      <c r="E20" s="27"/>
      <c r="F20" s="27"/>
      <c r="G20" s="27"/>
      <c r="H20" s="27"/>
      <c r="I20" s="27"/>
      <c r="J20" s="1"/>
      <c r="K20" s="1"/>
      <c r="L20" s="1"/>
      <c r="M20" s="1"/>
      <c r="N20" s="1"/>
      <c r="O20" s="1"/>
      <c r="P20" s="1"/>
      <c r="Q20" s="1"/>
      <c r="R20" s="1"/>
      <c r="S20" s="1"/>
      <c r="T20" s="1"/>
      <c r="U20" s="1"/>
      <c r="V20" s="1"/>
      <c r="W20" s="1"/>
      <c r="X20" s="1"/>
      <c r="Y20" s="1"/>
      <c r="Z20" s="1"/>
    </row>
    <row r="21" spans="1:26" ht="36" customHeight="1" x14ac:dyDescent="0.25">
      <c r="A21" s="28" t="s">
        <v>44</v>
      </c>
      <c r="B21" s="29" t="s">
        <v>45</v>
      </c>
      <c r="C21" s="28" t="s">
        <v>46</v>
      </c>
      <c r="D21" s="28" t="s">
        <v>47</v>
      </c>
      <c r="E21" s="28" t="s">
        <v>48</v>
      </c>
      <c r="F21" s="28" t="s">
        <v>49</v>
      </c>
      <c r="G21" s="28"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32">
        <v>46139</v>
      </c>
      <c r="B22" s="33" t="s">
        <v>53</v>
      </c>
      <c r="C22" s="34"/>
      <c r="D22" s="33"/>
      <c r="E22" s="34"/>
      <c r="F22" s="34"/>
      <c r="G22" s="40"/>
      <c r="H22" s="65"/>
      <c r="I22" s="43" t="s">
        <v>116</v>
      </c>
      <c r="J22" s="1"/>
      <c r="K22" s="1"/>
      <c r="L22" s="1"/>
      <c r="M22" s="1"/>
      <c r="N22" s="1"/>
      <c r="O22" s="1"/>
      <c r="P22" s="1"/>
      <c r="Q22" s="1"/>
      <c r="R22" s="1"/>
      <c r="S22" s="1"/>
      <c r="T22" s="1"/>
      <c r="U22" s="1"/>
      <c r="V22" s="1"/>
      <c r="W22" s="1"/>
      <c r="X22" s="1"/>
      <c r="Y22" s="1"/>
      <c r="Z22" s="1"/>
    </row>
    <row r="23" spans="1:26" ht="15.75" customHeight="1" x14ac:dyDescent="0.25">
      <c r="A23" s="32">
        <v>46140</v>
      </c>
      <c r="B23" s="33" t="s">
        <v>58</v>
      </c>
      <c r="C23" s="34"/>
      <c r="D23" s="33"/>
      <c r="E23" s="34"/>
      <c r="F23" s="34"/>
      <c r="G23" s="40"/>
      <c r="H23" s="65"/>
      <c r="I23" s="43" t="s">
        <v>116</v>
      </c>
      <c r="J23" s="1"/>
      <c r="K23" s="1"/>
      <c r="L23" s="1"/>
      <c r="M23" s="1"/>
      <c r="N23" s="1"/>
      <c r="O23" s="1"/>
      <c r="P23" s="1"/>
      <c r="Q23" s="1"/>
      <c r="R23" s="1"/>
      <c r="S23" s="1"/>
      <c r="T23" s="1"/>
      <c r="U23" s="1"/>
      <c r="V23" s="1"/>
      <c r="W23" s="1"/>
      <c r="X23" s="1"/>
      <c r="Y23" s="1"/>
      <c r="Z23" s="1"/>
    </row>
    <row r="24" spans="1:26" ht="15.75" customHeight="1" x14ac:dyDescent="0.25">
      <c r="A24" s="32">
        <v>46141</v>
      </c>
      <c r="B24" s="33" t="s">
        <v>62</v>
      </c>
      <c r="C24" s="34"/>
      <c r="D24" s="33"/>
      <c r="E24" s="34"/>
      <c r="F24" s="34"/>
      <c r="G24" s="34"/>
      <c r="H24" s="65"/>
      <c r="I24" s="43" t="s">
        <v>116</v>
      </c>
      <c r="J24" s="1"/>
      <c r="K24" s="1"/>
      <c r="L24" s="1"/>
      <c r="M24" s="1"/>
      <c r="N24" s="1"/>
      <c r="O24" s="1"/>
      <c r="P24" s="1"/>
      <c r="Q24" s="1"/>
      <c r="R24" s="1"/>
      <c r="S24" s="1"/>
      <c r="T24" s="1"/>
      <c r="U24" s="1"/>
      <c r="V24" s="1"/>
      <c r="W24" s="1"/>
      <c r="X24" s="1"/>
      <c r="Y24" s="1"/>
      <c r="Z24" s="1"/>
    </row>
    <row r="25" spans="1:26" ht="15.75" customHeight="1" x14ac:dyDescent="0.25">
      <c r="A25" s="32">
        <v>46142</v>
      </c>
      <c r="B25" s="33" t="s">
        <v>66</v>
      </c>
      <c r="C25" s="34">
        <v>3</v>
      </c>
      <c r="D25" s="33">
        <v>37650</v>
      </c>
      <c r="E25" s="34">
        <v>6000</v>
      </c>
      <c r="F25" s="34" t="s">
        <v>197</v>
      </c>
      <c r="G25" s="66" t="s">
        <v>198</v>
      </c>
      <c r="H25" s="65" t="s">
        <v>199</v>
      </c>
      <c r="I25" s="43" t="s">
        <v>116</v>
      </c>
      <c r="J25" s="1"/>
      <c r="K25" s="1"/>
      <c r="L25" s="1"/>
      <c r="M25" s="1"/>
      <c r="N25" s="1"/>
      <c r="O25" s="1"/>
      <c r="P25" s="1"/>
      <c r="Q25" s="1"/>
      <c r="R25" s="1"/>
      <c r="S25" s="1"/>
      <c r="T25" s="1"/>
      <c r="U25" s="1"/>
      <c r="V25" s="1"/>
      <c r="W25" s="1"/>
      <c r="X25" s="1"/>
      <c r="Y25" s="1"/>
      <c r="Z25" s="1"/>
    </row>
    <row r="26" spans="1:26" ht="15.75" customHeight="1" x14ac:dyDescent="0.25">
      <c r="A26" s="32">
        <v>46143</v>
      </c>
      <c r="B26" s="33" t="s">
        <v>69</v>
      </c>
      <c r="C26" s="34">
        <v>2</v>
      </c>
      <c r="D26" s="33">
        <v>28200</v>
      </c>
      <c r="E26" s="34">
        <v>3400</v>
      </c>
      <c r="F26" s="34" t="s">
        <v>200</v>
      </c>
      <c r="G26" s="40" t="s">
        <v>201</v>
      </c>
      <c r="H26" s="65" t="s">
        <v>202</v>
      </c>
      <c r="I26" s="43" t="s">
        <v>116</v>
      </c>
      <c r="J26" s="1"/>
      <c r="K26" s="1"/>
      <c r="L26" s="1"/>
      <c r="M26" s="1"/>
      <c r="N26" s="1"/>
      <c r="O26" s="1"/>
      <c r="P26" s="1"/>
      <c r="Q26" s="1"/>
      <c r="R26" s="1"/>
      <c r="S26" s="1"/>
      <c r="T26" s="1"/>
      <c r="U26" s="1"/>
      <c r="V26" s="1"/>
      <c r="W26" s="1"/>
      <c r="X26" s="1"/>
      <c r="Y26" s="1"/>
      <c r="Z26" s="1"/>
    </row>
    <row r="27" spans="1:26" ht="15.75" customHeight="1" x14ac:dyDescent="0.25">
      <c r="A27" s="32">
        <v>46144</v>
      </c>
      <c r="B27" s="33" t="s">
        <v>70</v>
      </c>
      <c r="C27" s="34"/>
      <c r="D27" s="33"/>
      <c r="E27" s="34"/>
      <c r="F27" s="34"/>
      <c r="G27" s="40"/>
      <c r="H27" s="65"/>
      <c r="I27" s="43" t="s">
        <v>116</v>
      </c>
      <c r="J27" s="1"/>
      <c r="K27" s="1"/>
      <c r="L27" s="1"/>
      <c r="M27" s="1"/>
      <c r="N27" s="1"/>
      <c r="O27" s="1"/>
      <c r="P27" s="1"/>
      <c r="Q27" s="1"/>
      <c r="R27" s="1"/>
      <c r="S27" s="1"/>
      <c r="T27" s="1"/>
      <c r="U27" s="1"/>
      <c r="V27" s="1"/>
      <c r="W27" s="1"/>
      <c r="X27" s="1"/>
      <c r="Y27" s="1"/>
      <c r="Z27" s="1"/>
    </row>
    <row r="28" spans="1:26" ht="25.5" customHeight="1" x14ac:dyDescent="0.25">
      <c r="A28" s="32">
        <v>46145</v>
      </c>
      <c r="B28" s="33" t="s">
        <v>71</v>
      </c>
      <c r="C28" s="34">
        <v>2</v>
      </c>
      <c r="D28" s="33">
        <v>19350</v>
      </c>
      <c r="E28" s="34">
        <v>2010</v>
      </c>
      <c r="F28" s="34" t="s">
        <v>203</v>
      </c>
      <c r="G28" s="40" t="s">
        <v>204</v>
      </c>
      <c r="H28" s="65" t="s">
        <v>205</v>
      </c>
      <c r="I28" s="43" t="s">
        <v>116</v>
      </c>
      <c r="J28" s="1"/>
      <c r="K28" s="1"/>
      <c r="L28" s="1"/>
      <c r="M28" s="1"/>
      <c r="N28" s="1"/>
      <c r="O28" s="1"/>
      <c r="P28" s="1"/>
      <c r="Q28" s="1"/>
      <c r="R28" s="1"/>
      <c r="S28" s="1"/>
      <c r="T28" s="1"/>
      <c r="U28" s="1"/>
      <c r="V28" s="1"/>
      <c r="W28" s="1"/>
      <c r="X28" s="1"/>
      <c r="Y28" s="1"/>
      <c r="Z28" s="1"/>
    </row>
    <row r="29" spans="1:26" ht="15.75" customHeight="1" x14ac:dyDescent="0.25">
      <c r="A29" s="77"/>
      <c r="B29" s="33"/>
      <c r="C29" s="34"/>
      <c r="D29" s="33"/>
      <c r="E29" s="34"/>
      <c r="F29" s="34"/>
      <c r="G29" s="34"/>
      <c r="H29" s="78"/>
      <c r="I29" s="79"/>
      <c r="J29" s="1"/>
      <c r="K29" s="1"/>
      <c r="L29" s="1"/>
      <c r="M29" s="1"/>
      <c r="N29" s="1"/>
      <c r="O29" s="1"/>
      <c r="P29" s="1"/>
      <c r="Q29" s="1"/>
      <c r="R29" s="1"/>
      <c r="S29" s="1"/>
      <c r="T29" s="1"/>
      <c r="U29" s="1"/>
      <c r="V29" s="1"/>
      <c r="W29" s="1"/>
      <c r="X29" s="1"/>
      <c r="Y29" s="1"/>
      <c r="Z29" s="1"/>
    </row>
    <row r="30" spans="1:26" ht="15.75" customHeight="1" x14ac:dyDescent="0.25">
      <c r="A30" s="77"/>
      <c r="B30" s="33"/>
      <c r="C30" s="34"/>
      <c r="D30" s="33"/>
      <c r="E30" s="34"/>
      <c r="F30" s="34"/>
      <c r="G30" s="34"/>
      <c r="H30" s="78"/>
      <c r="I30" s="79"/>
      <c r="J30" s="1"/>
      <c r="K30" s="1"/>
      <c r="L30" s="1"/>
      <c r="M30" s="1"/>
      <c r="N30" s="1"/>
      <c r="O30" s="1"/>
      <c r="P30" s="1"/>
      <c r="Q30" s="1"/>
      <c r="R30" s="1"/>
      <c r="S30" s="1"/>
      <c r="T30" s="1"/>
      <c r="U30" s="1"/>
      <c r="V30" s="1"/>
      <c r="W30" s="1"/>
      <c r="X30" s="1"/>
      <c r="Y30" s="1"/>
      <c r="Z30" s="1"/>
    </row>
    <row r="31" spans="1:26" ht="15.75" customHeight="1" x14ac:dyDescent="0.25">
      <c r="A31" s="77"/>
      <c r="B31" s="33"/>
      <c r="C31" s="34"/>
      <c r="D31" s="33"/>
      <c r="E31" s="34"/>
      <c r="F31" s="34"/>
      <c r="G31" s="34"/>
      <c r="H31" s="78"/>
      <c r="I31" s="79"/>
      <c r="J31" s="1"/>
      <c r="K31" s="1"/>
      <c r="L31" s="1"/>
      <c r="M31" s="1"/>
      <c r="N31" s="1"/>
      <c r="O31" s="1"/>
      <c r="P31" s="1"/>
      <c r="Q31" s="1"/>
      <c r="R31" s="1"/>
      <c r="S31" s="1"/>
      <c r="T31" s="1"/>
      <c r="U31" s="1"/>
      <c r="V31" s="1"/>
      <c r="W31" s="1"/>
      <c r="X31" s="1"/>
      <c r="Y31" s="1"/>
      <c r="Z31" s="1"/>
    </row>
    <row r="32" spans="1:26" ht="15.75" customHeight="1" x14ac:dyDescent="0.25">
      <c r="A32" s="77"/>
      <c r="B32" s="33"/>
      <c r="C32" s="34"/>
      <c r="D32" s="33"/>
      <c r="E32" s="34"/>
      <c r="F32" s="34"/>
      <c r="G32" s="34"/>
      <c r="H32" s="78"/>
      <c r="I32" s="80"/>
      <c r="J32" s="1"/>
      <c r="K32" s="1"/>
      <c r="L32" s="1"/>
      <c r="M32" s="1"/>
      <c r="N32" s="1"/>
      <c r="O32" s="1"/>
      <c r="P32" s="1"/>
      <c r="Q32" s="1"/>
      <c r="R32" s="1"/>
      <c r="S32" s="1"/>
      <c r="T32" s="1"/>
      <c r="U32" s="1"/>
      <c r="V32" s="1"/>
      <c r="W32" s="1"/>
      <c r="X32" s="1"/>
      <c r="Y32" s="1"/>
      <c r="Z32" s="1"/>
    </row>
    <row r="33" spans="1:26" ht="15.75" customHeight="1" x14ac:dyDescent="0.25">
      <c r="A33" s="77"/>
      <c r="B33" s="33"/>
      <c r="C33" s="34"/>
      <c r="D33" s="33"/>
      <c r="E33" s="34"/>
      <c r="F33" s="34"/>
      <c r="G33" s="34"/>
      <c r="H33" s="78"/>
      <c r="I33" s="80"/>
      <c r="J33" s="1"/>
      <c r="K33" s="1"/>
      <c r="L33" s="1"/>
      <c r="M33" s="1"/>
      <c r="N33" s="1"/>
      <c r="O33" s="1"/>
      <c r="P33" s="1"/>
      <c r="Q33" s="1"/>
      <c r="R33" s="1"/>
      <c r="S33" s="1"/>
      <c r="T33" s="1"/>
      <c r="U33" s="1"/>
      <c r="V33" s="1"/>
      <c r="W33" s="1"/>
      <c r="X33" s="1"/>
      <c r="Y33" s="1"/>
      <c r="Z33" s="1"/>
    </row>
    <row r="34" spans="1:26" ht="15.75" customHeight="1" x14ac:dyDescent="0.25">
      <c r="A34" s="77"/>
      <c r="B34" s="33"/>
      <c r="C34" s="34"/>
      <c r="D34" s="33"/>
      <c r="E34" s="34"/>
      <c r="F34" s="34"/>
      <c r="G34" s="34"/>
      <c r="H34" s="78"/>
      <c r="I34" s="79"/>
      <c r="J34" s="1"/>
      <c r="K34" s="1"/>
      <c r="L34" s="1"/>
      <c r="M34" s="1"/>
      <c r="N34" s="1"/>
      <c r="O34" s="1"/>
      <c r="P34" s="1"/>
      <c r="Q34" s="1"/>
      <c r="R34" s="1"/>
      <c r="S34" s="1"/>
      <c r="T34" s="1"/>
      <c r="U34" s="1"/>
      <c r="V34" s="1"/>
      <c r="W34" s="1"/>
      <c r="X34" s="1"/>
      <c r="Y34" s="1"/>
      <c r="Z34" s="1"/>
    </row>
    <row r="35" spans="1:26" ht="15.75" customHeight="1" x14ac:dyDescent="0.25">
      <c r="A35" s="77"/>
      <c r="B35" s="81"/>
      <c r="C35" s="34"/>
      <c r="D35" s="33"/>
      <c r="E35" s="34"/>
      <c r="F35" s="34"/>
      <c r="G35" s="34"/>
      <c r="H35" s="78"/>
      <c r="I35" s="80"/>
      <c r="J35" s="1"/>
      <c r="K35" s="1"/>
      <c r="L35" s="1"/>
      <c r="M35" s="1"/>
      <c r="N35" s="1"/>
      <c r="O35" s="1"/>
      <c r="P35" s="1"/>
      <c r="Q35" s="1"/>
      <c r="R35" s="1"/>
      <c r="S35" s="1"/>
      <c r="T35" s="1"/>
      <c r="U35" s="1"/>
      <c r="V35" s="1"/>
      <c r="W35" s="1"/>
      <c r="X35" s="1"/>
      <c r="Y35" s="1"/>
      <c r="Z35" s="1"/>
    </row>
    <row r="36" spans="1:26" ht="15.75" customHeight="1" x14ac:dyDescent="0.25">
      <c r="A36" s="77"/>
      <c r="B36" s="82"/>
      <c r="C36" s="34"/>
      <c r="D36" s="33"/>
      <c r="E36" s="34"/>
      <c r="F36" s="34"/>
      <c r="G36" s="34"/>
      <c r="H36" s="78"/>
      <c r="I36" s="80"/>
      <c r="J36" s="1"/>
      <c r="K36" s="1"/>
      <c r="L36" s="1"/>
      <c r="M36" s="1"/>
      <c r="N36" s="1"/>
      <c r="O36" s="1"/>
      <c r="P36" s="1"/>
      <c r="Q36" s="1"/>
      <c r="R36" s="1"/>
      <c r="S36" s="1"/>
      <c r="T36" s="1"/>
      <c r="U36" s="1"/>
      <c r="V36" s="1"/>
      <c r="W36" s="1"/>
      <c r="X36" s="1"/>
      <c r="Y36" s="1"/>
      <c r="Z36" s="1"/>
    </row>
    <row r="37" spans="1:26" ht="15.75" customHeight="1" x14ac:dyDescent="0.25">
      <c r="A37" s="77"/>
      <c r="B37" s="82"/>
      <c r="C37" s="34"/>
      <c r="D37" s="33"/>
      <c r="E37" s="34"/>
      <c r="F37" s="34"/>
      <c r="G37" s="34"/>
      <c r="H37" s="78"/>
      <c r="I37" s="80"/>
      <c r="J37" s="1"/>
      <c r="K37" s="1"/>
      <c r="L37" s="1"/>
      <c r="M37" s="1"/>
      <c r="N37" s="1"/>
      <c r="O37" s="1"/>
      <c r="P37" s="1"/>
      <c r="Q37" s="1"/>
      <c r="R37" s="1"/>
      <c r="S37" s="1"/>
      <c r="T37" s="1"/>
      <c r="U37" s="1"/>
      <c r="V37" s="1"/>
      <c r="W37" s="1"/>
      <c r="X37" s="1"/>
      <c r="Y37" s="1"/>
      <c r="Z37" s="1"/>
    </row>
    <row r="38" spans="1:26" ht="15.75" customHeight="1" x14ac:dyDescent="0.25">
      <c r="A38" s="83"/>
      <c r="B38" s="82"/>
      <c r="C38" s="34"/>
      <c r="D38" s="33"/>
      <c r="E38" s="34"/>
      <c r="F38" s="34"/>
      <c r="G38" s="34"/>
      <c r="H38" s="78"/>
      <c r="I38" s="84"/>
      <c r="J38" s="1"/>
      <c r="K38" s="1"/>
      <c r="L38" s="1"/>
      <c r="M38" s="1"/>
      <c r="N38" s="1"/>
      <c r="O38" s="1"/>
      <c r="P38" s="1"/>
      <c r="Q38" s="1"/>
      <c r="R38" s="1"/>
      <c r="S38" s="1"/>
      <c r="T38" s="1"/>
      <c r="U38" s="1"/>
      <c r="V38" s="1"/>
      <c r="W38" s="1"/>
      <c r="X38" s="1"/>
      <c r="Y38" s="1"/>
      <c r="Z38" s="1"/>
    </row>
    <row r="39" spans="1:26" ht="15.75" customHeight="1" x14ac:dyDescent="0.25">
      <c r="A39" s="83"/>
      <c r="B39" s="82"/>
      <c r="C39" s="34"/>
      <c r="D39" s="33"/>
      <c r="E39" s="34"/>
      <c r="F39" s="34"/>
      <c r="G39" s="34"/>
      <c r="H39" s="78"/>
      <c r="I39" s="84"/>
      <c r="J39" s="1"/>
      <c r="K39" s="1"/>
      <c r="L39" s="1"/>
      <c r="M39" s="1"/>
      <c r="N39" s="1"/>
      <c r="O39" s="1"/>
      <c r="P39" s="1"/>
      <c r="Q39" s="1"/>
      <c r="R39" s="1"/>
      <c r="S39" s="1"/>
      <c r="T39" s="1"/>
      <c r="U39" s="1"/>
      <c r="V39" s="1"/>
      <c r="W39" s="1"/>
      <c r="X39" s="1"/>
      <c r="Y39" s="1"/>
      <c r="Z39" s="1"/>
    </row>
    <row r="40" spans="1:26" ht="15.75" customHeight="1" x14ac:dyDescent="0.25">
      <c r="A40" s="81"/>
      <c r="B40" s="82"/>
      <c r="C40" s="34"/>
      <c r="D40" s="33"/>
      <c r="E40" s="34"/>
      <c r="F40" s="34"/>
      <c r="G40" s="34"/>
      <c r="H40" s="78"/>
      <c r="I40" s="84"/>
      <c r="J40" s="1"/>
      <c r="K40" s="1"/>
      <c r="L40" s="1"/>
      <c r="M40" s="1"/>
      <c r="N40" s="1"/>
      <c r="O40" s="1"/>
      <c r="P40" s="1"/>
      <c r="Q40" s="1"/>
      <c r="R40" s="1"/>
      <c r="S40" s="1"/>
      <c r="T40" s="1"/>
      <c r="U40" s="1"/>
      <c r="V40" s="1"/>
      <c r="W40" s="1"/>
      <c r="X40" s="1"/>
      <c r="Y40" s="1"/>
      <c r="Z40" s="1"/>
    </row>
    <row r="41" spans="1:26" ht="15.75" customHeight="1" x14ac:dyDescent="0.25">
      <c r="A41" s="48"/>
      <c r="B41" s="48"/>
      <c r="C41" s="48">
        <f t="shared" ref="C41:E41" si="0">SUM(C22:C40)</f>
        <v>7</v>
      </c>
      <c r="D41" s="48">
        <f t="shared" si="0"/>
        <v>85200</v>
      </c>
      <c r="E41" s="48">
        <f t="shared" si="0"/>
        <v>11410</v>
      </c>
      <c r="F41" s="48"/>
      <c r="G41" s="49"/>
      <c r="H41" s="50"/>
      <c r="I41" s="5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69" t="s">
        <v>72</v>
      </c>
      <c r="B43" s="270"/>
      <c r="C43" s="52" t="s">
        <v>73</v>
      </c>
      <c r="D43" s="52" t="s">
        <v>74</v>
      </c>
      <c r="E43" s="52" t="s">
        <v>75</v>
      </c>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89" t="s">
        <v>76</v>
      </c>
      <c r="B44" s="281"/>
      <c r="C44" s="85">
        <v>9</v>
      </c>
      <c r="D44" s="86">
        <v>81400</v>
      </c>
      <c r="E44" s="55">
        <v>14120</v>
      </c>
      <c r="F44" s="4"/>
      <c r="G44" s="4"/>
      <c r="H44" s="4"/>
      <c r="I44" s="4"/>
      <c r="J44" s="4"/>
      <c r="K44" s="4"/>
      <c r="L44" s="4"/>
      <c r="M44" s="4"/>
      <c r="N44" s="4"/>
      <c r="O44" s="4"/>
      <c r="P44" s="4"/>
      <c r="Q44" s="4"/>
      <c r="R44" s="4"/>
      <c r="S44" s="4"/>
      <c r="T44" s="4"/>
      <c r="U44" s="4"/>
      <c r="V44" s="4"/>
      <c r="W44" s="4"/>
      <c r="X44" s="4"/>
      <c r="Y44" s="4"/>
      <c r="Z44" s="4"/>
    </row>
    <row r="45" spans="1:26" ht="15.75" customHeight="1" x14ac:dyDescent="0.25">
      <c r="A45" s="282" t="s">
        <v>77</v>
      </c>
      <c r="B45" s="270"/>
      <c r="C45" s="56">
        <v>23</v>
      </c>
      <c r="D45" s="56">
        <v>348500</v>
      </c>
      <c r="E45" s="56">
        <v>41560</v>
      </c>
      <c r="F45" s="57"/>
      <c r="G45" s="1"/>
      <c r="H45" s="1"/>
      <c r="I45" s="1"/>
      <c r="J45" s="1"/>
      <c r="K45" s="1"/>
      <c r="L45" s="1"/>
      <c r="M45" s="1"/>
      <c r="N45" s="1"/>
      <c r="O45" s="1"/>
      <c r="P45" s="1"/>
      <c r="Q45" s="1"/>
      <c r="R45" s="1"/>
      <c r="S45" s="1"/>
      <c r="T45" s="1"/>
      <c r="U45" s="1"/>
      <c r="V45" s="1"/>
      <c r="W45" s="1"/>
      <c r="X45" s="1"/>
      <c r="Y45" s="1"/>
      <c r="Z45" s="1"/>
    </row>
    <row r="46" spans="1:26" ht="15.75" customHeight="1" x14ac:dyDescent="0.25">
      <c r="A46" s="283" t="s">
        <v>21</v>
      </c>
      <c r="B46" s="270"/>
      <c r="C46" s="58"/>
      <c r="D46" s="58"/>
      <c r="E46" s="67"/>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3"/>
      <c r="B121" s="24"/>
      <c r="C121" s="25"/>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3"/>
      <c r="B122" s="24"/>
      <c r="C122" s="25"/>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3"/>
      <c r="B123" s="24"/>
      <c r="C123" s="25"/>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3"/>
      <c r="B124" s="24"/>
      <c r="C124" s="25"/>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3"/>
      <c r="B125" s="24"/>
      <c r="C125" s="25"/>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3"/>
      <c r="B126" s="24"/>
      <c r="C126" s="25"/>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3"/>
      <c r="B127" s="24"/>
      <c r="C127" s="25"/>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3"/>
      <c r="B128" s="24"/>
      <c r="C128" s="25"/>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3"/>
      <c r="B129" s="24"/>
      <c r="C129" s="25"/>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3"/>
      <c r="B130" s="24"/>
      <c r="C130" s="25"/>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3"/>
      <c r="B131" s="24"/>
      <c r="C131" s="25"/>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3"/>
      <c r="B132" s="24"/>
      <c r="C132" s="25"/>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3"/>
      <c r="B133" s="24"/>
      <c r="C133" s="25"/>
      <c r="D133" s="25"/>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3"/>
      <c r="B134" s="24"/>
      <c r="C134" s="25"/>
      <c r="D134" s="25"/>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3"/>
      <c r="B135" s="24"/>
      <c r="C135" s="25"/>
      <c r="D135" s="25"/>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3"/>
      <c r="B136" s="24"/>
      <c r="C136" s="25"/>
      <c r="D136" s="25"/>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3"/>
      <c r="B137" s="24"/>
      <c r="C137" s="25"/>
      <c r="D137" s="25"/>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3"/>
      <c r="B138" s="24"/>
      <c r="C138" s="25"/>
      <c r="D138" s="25"/>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3"/>
      <c r="B139" s="24"/>
      <c r="C139" s="25"/>
      <c r="D139" s="25"/>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3"/>
      <c r="B140" s="24"/>
      <c r="C140" s="25"/>
      <c r="D140" s="25"/>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3"/>
      <c r="B141" s="24"/>
      <c r="C141" s="25"/>
      <c r="D141" s="25"/>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3"/>
      <c r="B142" s="24"/>
      <c r="C142" s="25"/>
      <c r="D142" s="25"/>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61"/>
      <c r="B225" s="23"/>
      <c r="C225" s="24"/>
      <c r="D225" s="25"/>
      <c r="E225" s="25"/>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61"/>
      <c r="B226" s="23"/>
      <c r="C226" s="24"/>
      <c r="D226" s="25"/>
      <c r="E226" s="25"/>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61"/>
      <c r="B227" s="23"/>
      <c r="C227" s="24"/>
      <c r="D227" s="25"/>
      <c r="E227" s="25"/>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61"/>
      <c r="B228" s="23"/>
      <c r="C228" s="24"/>
      <c r="D228" s="25"/>
      <c r="E228" s="25"/>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61"/>
      <c r="B229" s="23"/>
      <c r="C229" s="24"/>
      <c r="D229" s="25"/>
      <c r="E229" s="25"/>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61"/>
      <c r="B230" s="23"/>
      <c r="C230" s="24"/>
      <c r="D230" s="25"/>
      <c r="E230" s="25"/>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61"/>
      <c r="B231" s="23"/>
      <c r="C231" s="24"/>
      <c r="D231" s="25"/>
      <c r="E231" s="25"/>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61"/>
      <c r="B232" s="23"/>
      <c r="C232" s="24"/>
      <c r="D232" s="25"/>
      <c r="E232" s="25"/>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61"/>
      <c r="B233" s="23"/>
      <c r="C233" s="24"/>
      <c r="D233" s="25"/>
      <c r="E233" s="25"/>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61"/>
      <c r="B234" s="23"/>
      <c r="C234" s="24"/>
      <c r="D234" s="25"/>
      <c r="E234" s="25"/>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61"/>
      <c r="B235" s="23"/>
      <c r="C235" s="24"/>
      <c r="D235" s="25"/>
      <c r="E235" s="25"/>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61"/>
      <c r="B236" s="23"/>
      <c r="C236" s="24"/>
      <c r="D236" s="25"/>
      <c r="E236" s="25"/>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61"/>
      <c r="B237" s="23"/>
      <c r="C237" s="24"/>
      <c r="D237" s="25"/>
      <c r="E237" s="25"/>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61"/>
      <c r="B238" s="23"/>
      <c r="C238" s="24"/>
      <c r="D238" s="25"/>
      <c r="E238" s="25"/>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61"/>
      <c r="B239" s="23"/>
      <c r="C239" s="24"/>
      <c r="D239" s="25"/>
      <c r="E239" s="25"/>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61"/>
      <c r="B240" s="23"/>
      <c r="C240" s="24"/>
      <c r="D240" s="25"/>
      <c r="E240" s="25"/>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61"/>
      <c r="B241" s="23"/>
      <c r="C241" s="24"/>
      <c r="D241" s="25"/>
      <c r="E241" s="25"/>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61"/>
      <c r="B242" s="23"/>
      <c r="C242" s="24"/>
      <c r="D242" s="25"/>
      <c r="E242" s="25"/>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61"/>
      <c r="B243" s="23"/>
      <c r="C243" s="24"/>
      <c r="D243" s="25"/>
      <c r="E243" s="25"/>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61"/>
      <c r="B244" s="23"/>
      <c r="C244" s="24"/>
      <c r="D244" s="25"/>
      <c r="E244" s="25"/>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61"/>
      <c r="B245" s="23"/>
      <c r="C245" s="24"/>
      <c r="D245" s="25"/>
      <c r="E245" s="25"/>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61"/>
      <c r="B246" s="23"/>
      <c r="C246" s="24"/>
      <c r="D246" s="25"/>
      <c r="E246" s="25"/>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45:B45"/>
    <mergeCell ref="A46:B46"/>
    <mergeCell ref="A1:A2"/>
    <mergeCell ref="B1:F1"/>
    <mergeCell ref="C3:C10"/>
    <mergeCell ref="F3:F18"/>
    <mergeCell ref="C12:C18"/>
    <mergeCell ref="A43:B43"/>
    <mergeCell ref="A44:B44"/>
  </mergeCells>
  <printOptions horizontalCentered="1" gridLines="1"/>
  <pageMargins left="0.7" right="0.7" top="0.75" bottom="0.75" header="0" footer="0"/>
  <pageSetup paperSize="9" pageOrder="overThenDown" orientation="portrait" cellComments="atEnd"/>
  <rowBreaks count="2" manualBreakCount="2">
    <brk id="48" man="1"/>
    <brk id="18" man="1"/>
  </rowBreaks>
  <colBreaks count="1" manualBreakCount="1">
    <brk id="6"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4.42578125" defaultRowHeight="15" customHeight="1" x14ac:dyDescent="0.25"/>
  <cols>
    <col min="1" max="1" width="8.140625" customWidth="1"/>
    <col min="2" max="2" width="33.140625" customWidth="1"/>
    <col min="3" max="3" width="20" customWidth="1"/>
    <col min="4" max="4" width="44.42578125" customWidth="1"/>
    <col min="5" max="5" width="38.85546875" customWidth="1"/>
    <col min="6" max="6" width="44.85546875" customWidth="1"/>
    <col min="7" max="7" width="42.85546875" customWidth="1"/>
    <col min="8" max="8" width="32.85546875" customWidth="1"/>
    <col min="9" max="9" width="39.5703125" customWidth="1"/>
    <col min="10" max="26" width="8.85546875" customWidth="1"/>
  </cols>
  <sheetData>
    <row r="1" spans="1:26" ht="31.5" customHeight="1" x14ac:dyDescent="0.25">
      <c r="A1" s="293" t="s">
        <v>0</v>
      </c>
      <c r="B1" s="295" t="s">
        <v>1</v>
      </c>
      <c r="C1" s="296"/>
      <c r="D1" s="296"/>
      <c r="E1" s="296"/>
      <c r="F1" s="297"/>
      <c r="G1" s="1"/>
      <c r="H1" s="1"/>
      <c r="I1" s="1"/>
      <c r="J1" s="1"/>
      <c r="K1" s="1"/>
      <c r="L1" s="1"/>
      <c r="M1" s="1"/>
      <c r="N1" s="1"/>
      <c r="O1" s="1"/>
      <c r="P1" s="1"/>
      <c r="Q1" s="1"/>
      <c r="R1" s="1"/>
      <c r="S1" s="1"/>
      <c r="T1" s="1"/>
      <c r="U1" s="1"/>
      <c r="V1" s="1"/>
      <c r="W1" s="1"/>
      <c r="X1" s="1"/>
      <c r="Y1" s="1"/>
      <c r="Z1" s="1"/>
    </row>
    <row r="2" spans="1:26" ht="15.75" x14ac:dyDescent="0.25">
      <c r="A2" s="294"/>
      <c r="B2" s="87" t="s">
        <v>2</v>
      </c>
      <c r="C2" s="88" t="s">
        <v>3</v>
      </c>
      <c r="D2" s="89" t="s">
        <v>4</v>
      </c>
      <c r="E2" s="3" t="s">
        <v>5</v>
      </c>
      <c r="F2" s="90" t="s">
        <v>6</v>
      </c>
      <c r="G2" s="4"/>
      <c r="H2" s="4"/>
      <c r="I2" s="4"/>
      <c r="J2" s="4"/>
      <c r="K2" s="4"/>
      <c r="L2" s="4"/>
      <c r="M2" s="4"/>
      <c r="N2" s="4"/>
      <c r="O2" s="4"/>
      <c r="P2" s="4"/>
      <c r="Q2" s="4"/>
      <c r="R2" s="4"/>
      <c r="S2" s="4"/>
      <c r="T2" s="4"/>
      <c r="U2" s="4"/>
      <c r="V2" s="4"/>
      <c r="W2" s="4"/>
      <c r="X2" s="4"/>
      <c r="Y2" s="4"/>
      <c r="Z2" s="4"/>
    </row>
    <row r="3" spans="1:26" ht="18.75" customHeight="1" x14ac:dyDescent="0.25">
      <c r="A3" s="3">
        <v>1</v>
      </c>
      <c r="B3" s="5" t="s">
        <v>7</v>
      </c>
      <c r="C3" s="298" t="s">
        <v>206</v>
      </c>
      <c r="D3" s="91">
        <v>67130</v>
      </c>
      <c r="E3" s="92">
        <v>20931</v>
      </c>
      <c r="F3" s="299" t="s">
        <v>207</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93">
        <v>13</v>
      </c>
      <c r="E4" s="94">
        <v>3</v>
      </c>
      <c r="F4" s="300"/>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95">
        <v>5164</v>
      </c>
      <c r="E5" s="96">
        <v>6977</v>
      </c>
      <c r="F5" s="300"/>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97">
        <v>0</v>
      </c>
      <c r="E6" s="98">
        <v>0</v>
      </c>
      <c r="F6" s="300"/>
      <c r="G6" s="1"/>
      <c r="H6" s="1"/>
      <c r="I6" s="1"/>
      <c r="J6" s="1"/>
      <c r="K6" s="1"/>
      <c r="L6" s="1"/>
      <c r="M6" s="1"/>
      <c r="N6" s="1"/>
      <c r="O6" s="1"/>
      <c r="P6" s="1"/>
      <c r="Q6" s="1"/>
      <c r="R6" s="1"/>
      <c r="S6" s="1"/>
      <c r="T6" s="1"/>
      <c r="U6" s="1"/>
      <c r="V6" s="1"/>
      <c r="W6" s="1"/>
      <c r="X6" s="1"/>
      <c r="Y6" s="1"/>
      <c r="Z6" s="1"/>
    </row>
    <row r="7" spans="1:26" ht="36.75" customHeight="1" x14ac:dyDescent="0.25">
      <c r="A7" s="99">
        <v>5</v>
      </c>
      <c r="B7" s="8" t="s">
        <v>14</v>
      </c>
      <c r="C7" s="272"/>
      <c r="D7" s="9">
        <v>0</v>
      </c>
      <c r="E7" s="100">
        <v>0</v>
      </c>
      <c r="F7" s="300"/>
      <c r="G7" s="1"/>
      <c r="H7" s="1"/>
      <c r="I7" s="1"/>
      <c r="J7" s="1"/>
      <c r="K7" s="1"/>
      <c r="L7" s="1"/>
      <c r="M7" s="1"/>
      <c r="N7" s="1"/>
      <c r="O7" s="1"/>
      <c r="P7" s="1"/>
      <c r="Q7" s="1"/>
      <c r="R7" s="1"/>
      <c r="S7" s="1"/>
      <c r="T7" s="1"/>
      <c r="U7" s="1"/>
      <c r="V7" s="1"/>
      <c r="W7" s="1"/>
      <c r="X7" s="1"/>
      <c r="Y7" s="1"/>
      <c r="Z7" s="1"/>
    </row>
    <row r="8" spans="1:26" ht="72" customHeight="1" x14ac:dyDescent="0.25">
      <c r="A8" s="101">
        <v>6</v>
      </c>
      <c r="B8" s="102" t="s">
        <v>208</v>
      </c>
      <c r="C8" s="298" t="s">
        <v>209</v>
      </c>
      <c r="D8" s="103" t="s">
        <v>210</v>
      </c>
      <c r="E8" s="104" t="s">
        <v>211</v>
      </c>
      <c r="F8" s="300"/>
      <c r="G8" s="1"/>
      <c r="H8" s="1"/>
      <c r="I8" s="1"/>
      <c r="J8" s="1"/>
      <c r="K8" s="1"/>
      <c r="L8" s="1"/>
      <c r="M8" s="1"/>
      <c r="N8" s="1"/>
      <c r="O8" s="1"/>
      <c r="P8" s="1"/>
      <c r="Q8" s="1"/>
      <c r="R8" s="1"/>
      <c r="S8" s="1"/>
      <c r="T8" s="1"/>
      <c r="U8" s="1"/>
      <c r="V8" s="1"/>
      <c r="W8" s="1"/>
      <c r="X8" s="1"/>
      <c r="Y8" s="1"/>
      <c r="Z8" s="1"/>
    </row>
    <row r="9" spans="1:26" ht="57" customHeight="1" x14ac:dyDescent="0.25">
      <c r="A9" s="105">
        <v>7</v>
      </c>
      <c r="B9" s="8" t="s">
        <v>18</v>
      </c>
      <c r="C9" s="277"/>
      <c r="D9" s="106">
        <v>0</v>
      </c>
      <c r="E9" s="107">
        <v>0</v>
      </c>
      <c r="F9" s="300"/>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7"/>
      <c r="D10" s="106">
        <v>0</v>
      </c>
      <c r="E10" s="52">
        <v>0</v>
      </c>
      <c r="F10" s="300"/>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277"/>
      <c r="D11" s="108" t="s">
        <v>212</v>
      </c>
      <c r="E11" s="109" t="s">
        <v>213</v>
      </c>
      <c r="F11" s="300"/>
      <c r="G11" s="1"/>
      <c r="H11" s="1"/>
      <c r="I11" s="1"/>
      <c r="J11" s="1"/>
      <c r="K11" s="1"/>
      <c r="L11" s="1"/>
      <c r="M11" s="1"/>
      <c r="N11" s="1"/>
      <c r="O11" s="1"/>
      <c r="P11" s="1"/>
      <c r="Q11" s="1"/>
      <c r="R11" s="1"/>
      <c r="S11" s="1"/>
      <c r="T11" s="1"/>
      <c r="U11" s="1"/>
      <c r="V11" s="1"/>
      <c r="W11" s="1"/>
      <c r="X11" s="1"/>
      <c r="Y11" s="1"/>
      <c r="Z11" s="1"/>
    </row>
    <row r="12" spans="1:26" ht="63" customHeight="1" x14ac:dyDescent="0.25">
      <c r="A12" s="3">
        <v>10</v>
      </c>
      <c r="B12" s="5" t="s">
        <v>24</v>
      </c>
      <c r="C12" s="272"/>
      <c r="D12" s="103" t="s">
        <v>210</v>
      </c>
      <c r="E12" s="104" t="s">
        <v>211</v>
      </c>
      <c r="F12" s="300"/>
      <c r="G12" s="1"/>
      <c r="H12" s="1"/>
      <c r="I12" s="1"/>
      <c r="J12" s="1"/>
      <c r="K12" s="1"/>
      <c r="L12" s="1"/>
      <c r="M12" s="1"/>
      <c r="N12" s="1"/>
      <c r="O12" s="1"/>
      <c r="P12" s="1"/>
      <c r="Q12" s="1"/>
      <c r="R12" s="1"/>
      <c r="S12" s="1"/>
      <c r="T12" s="1"/>
      <c r="U12" s="1"/>
      <c r="V12" s="1"/>
      <c r="W12" s="1"/>
      <c r="X12" s="1"/>
      <c r="Y12" s="1"/>
      <c r="Z12" s="1"/>
    </row>
    <row r="13" spans="1:26" ht="105" customHeight="1" x14ac:dyDescent="0.25">
      <c r="A13" s="3">
        <v>11</v>
      </c>
      <c r="B13" s="5" t="s">
        <v>27</v>
      </c>
      <c r="C13" s="302"/>
      <c r="D13" s="110" t="s">
        <v>214</v>
      </c>
      <c r="E13" s="109" t="s">
        <v>215</v>
      </c>
      <c r="F13" s="300"/>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77"/>
      <c r="D14" s="111" t="s">
        <v>216</v>
      </c>
      <c r="E14" s="112">
        <v>1</v>
      </c>
      <c r="F14" s="300"/>
      <c r="G14" s="1"/>
      <c r="H14" s="1"/>
      <c r="I14" s="1"/>
      <c r="J14" s="1"/>
      <c r="K14" s="1"/>
      <c r="L14" s="1"/>
      <c r="M14" s="1"/>
      <c r="N14" s="1"/>
      <c r="O14" s="1"/>
      <c r="P14" s="1"/>
      <c r="Q14" s="1"/>
      <c r="R14" s="1"/>
      <c r="S14" s="1"/>
      <c r="T14" s="1"/>
      <c r="U14" s="1"/>
      <c r="V14" s="1"/>
      <c r="W14" s="1"/>
      <c r="X14" s="1"/>
      <c r="Y14" s="1"/>
      <c r="Z14" s="1"/>
    </row>
    <row r="15" spans="1:26" ht="81.75" customHeight="1" x14ac:dyDescent="0.25">
      <c r="A15" s="3">
        <v>13</v>
      </c>
      <c r="B15" s="5" t="s">
        <v>32</v>
      </c>
      <c r="C15" s="272"/>
      <c r="D15" s="110" t="s">
        <v>217</v>
      </c>
      <c r="E15" s="109" t="s">
        <v>218</v>
      </c>
      <c r="F15" s="300"/>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113"/>
      <c r="D16" s="114" t="s">
        <v>219</v>
      </c>
      <c r="E16" s="115" t="s">
        <v>220</v>
      </c>
      <c r="F16" s="300"/>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5"/>
      <c r="D17" s="116" t="s">
        <v>221</v>
      </c>
      <c r="E17" s="117" t="s">
        <v>40</v>
      </c>
      <c r="F17" s="300"/>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7"/>
      <c r="D18" s="118" t="s">
        <v>222</v>
      </c>
      <c r="E18" s="119"/>
      <c r="F18" s="301"/>
      <c r="G18" s="1"/>
      <c r="H18" s="1"/>
      <c r="I18" s="1"/>
      <c r="J18" s="1"/>
      <c r="K18" s="1"/>
      <c r="L18" s="1"/>
      <c r="M18" s="1"/>
      <c r="N18" s="1"/>
      <c r="O18" s="1"/>
      <c r="P18" s="1"/>
      <c r="Q18" s="1"/>
      <c r="R18" s="1"/>
      <c r="S18" s="1"/>
      <c r="T18" s="1"/>
      <c r="U18" s="1"/>
      <c r="V18" s="1"/>
      <c r="W18" s="1"/>
      <c r="X18" s="1"/>
      <c r="Y18" s="1"/>
      <c r="Z18" s="1"/>
    </row>
    <row r="19" spans="1:26" ht="47.25" customHeight="1" x14ac:dyDescent="0.25">
      <c r="A19" s="23"/>
      <c r="B19" s="24"/>
      <c r="C19" s="25"/>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120"/>
      <c r="B20" s="120" t="s">
        <v>43</v>
      </c>
      <c r="C20" s="121"/>
      <c r="D20" s="121"/>
      <c r="E20" s="121"/>
      <c r="F20" s="121"/>
      <c r="G20" s="121"/>
      <c r="H20" s="121"/>
      <c r="I20" s="121"/>
      <c r="J20" s="1"/>
      <c r="K20" s="1"/>
      <c r="L20" s="1"/>
      <c r="M20" s="1"/>
      <c r="N20" s="1"/>
      <c r="O20" s="1"/>
      <c r="P20" s="1"/>
      <c r="Q20" s="1"/>
      <c r="R20" s="1"/>
      <c r="S20" s="1"/>
      <c r="T20" s="1"/>
      <c r="U20" s="1"/>
      <c r="V20" s="1"/>
      <c r="W20" s="1"/>
      <c r="X20" s="1"/>
      <c r="Y20" s="1"/>
      <c r="Z20" s="1"/>
    </row>
    <row r="21" spans="1:26" ht="36" customHeight="1" x14ac:dyDescent="0.25">
      <c r="A21" s="122" t="s">
        <v>44</v>
      </c>
      <c r="B21" s="123" t="s">
        <v>45</v>
      </c>
      <c r="C21" s="122" t="s">
        <v>46</v>
      </c>
      <c r="D21" s="122" t="s">
        <v>47</v>
      </c>
      <c r="E21" s="122" t="s">
        <v>48</v>
      </c>
      <c r="F21" s="122" t="s">
        <v>49</v>
      </c>
      <c r="G21" s="122"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32">
        <v>46132</v>
      </c>
      <c r="B22" s="33" t="s">
        <v>53</v>
      </c>
      <c r="C22" s="34">
        <v>1</v>
      </c>
      <c r="D22" s="33">
        <v>10400</v>
      </c>
      <c r="E22" s="34">
        <v>2420</v>
      </c>
      <c r="F22" s="34"/>
      <c r="G22" s="40" t="s">
        <v>223</v>
      </c>
      <c r="H22" s="65">
        <v>77771966677</v>
      </c>
      <c r="I22" s="43" t="s">
        <v>116</v>
      </c>
      <c r="J22" s="1"/>
      <c r="K22" s="1"/>
      <c r="L22" s="1"/>
      <c r="M22" s="1"/>
      <c r="N22" s="1"/>
      <c r="O22" s="1"/>
      <c r="P22" s="1"/>
      <c r="Q22" s="1"/>
      <c r="R22" s="1"/>
      <c r="S22" s="1"/>
      <c r="T22" s="1"/>
      <c r="U22" s="1"/>
      <c r="V22" s="1"/>
      <c r="W22" s="1"/>
      <c r="X22" s="1"/>
      <c r="Y22" s="1"/>
      <c r="Z22" s="1"/>
    </row>
    <row r="23" spans="1:26" ht="15.75" customHeight="1" x14ac:dyDescent="0.25">
      <c r="A23" s="32">
        <v>46133</v>
      </c>
      <c r="B23" s="33" t="s">
        <v>58</v>
      </c>
      <c r="C23" s="34">
        <v>2</v>
      </c>
      <c r="D23" s="33">
        <f>54000+14500</f>
        <v>68500</v>
      </c>
      <c r="E23" s="34">
        <v>2480</v>
      </c>
      <c r="F23" s="34"/>
      <c r="G23" s="40" t="s">
        <v>224</v>
      </c>
      <c r="H23" s="65" t="s">
        <v>225</v>
      </c>
      <c r="I23" s="43" t="s">
        <v>116</v>
      </c>
      <c r="J23" s="1"/>
      <c r="K23" s="1"/>
      <c r="L23" s="1"/>
      <c r="M23" s="1"/>
      <c r="N23" s="1"/>
      <c r="O23" s="1"/>
      <c r="P23" s="1"/>
      <c r="Q23" s="1"/>
      <c r="R23" s="1"/>
      <c r="S23" s="1"/>
      <c r="T23" s="1"/>
      <c r="U23" s="1"/>
      <c r="V23" s="1"/>
      <c r="W23" s="1"/>
      <c r="X23" s="1"/>
      <c r="Y23" s="1"/>
      <c r="Z23" s="1"/>
    </row>
    <row r="24" spans="1:26" ht="15.75" customHeight="1" x14ac:dyDescent="0.25">
      <c r="A24" s="32">
        <v>46134</v>
      </c>
      <c r="B24" s="33" t="s">
        <v>62</v>
      </c>
      <c r="C24" s="34">
        <v>1</v>
      </c>
      <c r="D24" s="33">
        <v>14000</v>
      </c>
      <c r="E24" s="34">
        <v>2500</v>
      </c>
      <c r="F24" s="34"/>
      <c r="G24" s="34" t="s">
        <v>226</v>
      </c>
      <c r="H24" s="65">
        <v>77051221001</v>
      </c>
      <c r="I24" s="43" t="s">
        <v>116</v>
      </c>
      <c r="J24" s="1"/>
      <c r="K24" s="1"/>
      <c r="L24" s="1"/>
      <c r="M24" s="1"/>
      <c r="N24" s="1"/>
      <c r="O24" s="1"/>
      <c r="P24" s="1"/>
      <c r="Q24" s="1"/>
      <c r="R24" s="1"/>
      <c r="S24" s="1"/>
      <c r="T24" s="1"/>
      <c r="U24" s="1"/>
      <c r="V24" s="1"/>
      <c r="W24" s="1"/>
      <c r="X24" s="1"/>
      <c r="Y24" s="1"/>
      <c r="Z24" s="1"/>
    </row>
    <row r="25" spans="1:26" ht="15.75" customHeight="1" x14ac:dyDescent="0.25">
      <c r="A25" s="32">
        <v>46135</v>
      </c>
      <c r="B25" s="33" t="s">
        <v>66</v>
      </c>
      <c r="C25" s="34">
        <v>1</v>
      </c>
      <c r="D25" s="33">
        <v>12900</v>
      </c>
      <c r="E25" s="34">
        <v>2000</v>
      </c>
      <c r="F25" s="34"/>
      <c r="G25" s="34" t="s">
        <v>227</v>
      </c>
      <c r="H25" s="65">
        <v>77012200152</v>
      </c>
      <c r="I25" s="43" t="s">
        <v>116</v>
      </c>
      <c r="J25" s="1"/>
      <c r="K25" s="1"/>
      <c r="L25" s="1"/>
      <c r="M25" s="1"/>
      <c r="N25" s="1"/>
      <c r="O25" s="1"/>
      <c r="P25" s="1"/>
      <c r="Q25" s="1"/>
      <c r="R25" s="1"/>
      <c r="S25" s="1"/>
      <c r="T25" s="1"/>
      <c r="U25" s="1"/>
      <c r="V25" s="1"/>
      <c r="W25" s="1"/>
      <c r="X25" s="1"/>
      <c r="Y25" s="1"/>
      <c r="Z25" s="1"/>
    </row>
    <row r="26" spans="1:26" ht="15.75" customHeight="1" x14ac:dyDescent="0.25">
      <c r="A26" s="32">
        <v>46136</v>
      </c>
      <c r="B26" s="33" t="s">
        <v>69</v>
      </c>
      <c r="C26" s="34">
        <v>1</v>
      </c>
      <c r="D26" s="33">
        <v>24250</v>
      </c>
      <c r="E26" s="34">
        <v>1450</v>
      </c>
      <c r="F26" s="34"/>
      <c r="G26" s="40" t="s">
        <v>228</v>
      </c>
      <c r="H26" s="65">
        <v>87027000858</v>
      </c>
      <c r="I26" s="43" t="s">
        <v>116</v>
      </c>
      <c r="J26" s="1"/>
      <c r="K26" s="1"/>
      <c r="L26" s="1"/>
      <c r="M26" s="1"/>
      <c r="N26" s="1"/>
      <c r="O26" s="1"/>
      <c r="P26" s="1"/>
      <c r="Q26" s="1"/>
      <c r="R26" s="1"/>
      <c r="S26" s="1"/>
      <c r="T26" s="1"/>
      <c r="U26" s="1"/>
      <c r="V26" s="1"/>
      <c r="W26" s="1"/>
      <c r="X26" s="1"/>
      <c r="Y26" s="1"/>
      <c r="Z26" s="1"/>
    </row>
    <row r="27" spans="1:26" ht="15.75" customHeight="1" x14ac:dyDescent="0.25">
      <c r="A27" s="32">
        <v>46137</v>
      </c>
      <c r="B27" s="33" t="s">
        <v>70</v>
      </c>
      <c r="C27" s="34">
        <v>1</v>
      </c>
      <c r="D27" s="33">
        <v>14000</v>
      </c>
      <c r="E27" s="34">
        <v>2410</v>
      </c>
      <c r="F27" s="34"/>
      <c r="G27" s="40" t="s">
        <v>229</v>
      </c>
      <c r="H27" s="65">
        <v>77028296820</v>
      </c>
      <c r="I27" s="43" t="s">
        <v>116</v>
      </c>
      <c r="J27" s="1"/>
      <c r="K27" s="1"/>
      <c r="L27" s="1"/>
      <c r="M27" s="1"/>
      <c r="N27" s="1"/>
      <c r="O27" s="1"/>
      <c r="P27" s="1"/>
      <c r="Q27" s="1"/>
      <c r="R27" s="1"/>
      <c r="S27" s="1"/>
      <c r="T27" s="1"/>
      <c r="U27" s="1"/>
      <c r="V27" s="1"/>
      <c r="W27" s="1"/>
      <c r="X27" s="1"/>
      <c r="Y27" s="1"/>
      <c r="Z27" s="1"/>
    </row>
    <row r="28" spans="1:26" ht="25.5" customHeight="1" x14ac:dyDescent="0.25">
      <c r="A28" s="32">
        <v>46138</v>
      </c>
      <c r="B28" s="33" t="s">
        <v>71</v>
      </c>
      <c r="C28" s="34">
        <v>2</v>
      </c>
      <c r="D28" s="33">
        <v>28600</v>
      </c>
      <c r="E28" s="34">
        <v>4000</v>
      </c>
      <c r="F28" s="34"/>
      <c r="G28" s="40" t="s">
        <v>230</v>
      </c>
      <c r="H28" s="65">
        <v>87788273000</v>
      </c>
      <c r="I28" s="43" t="s">
        <v>116</v>
      </c>
      <c r="J28" s="1"/>
      <c r="K28" s="1"/>
      <c r="L28" s="1"/>
      <c r="M28" s="1"/>
      <c r="N28" s="1"/>
      <c r="O28" s="1"/>
      <c r="P28" s="1"/>
      <c r="Q28" s="1"/>
      <c r="R28" s="1"/>
      <c r="S28" s="1"/>
      <c r="T28" s="1"/>
      <c r="U28" s="1"/>
      <c r="V28" s="1"/>
      <c r="W28" s="1"/>
      <c r="X28" s="1"/>
      <c r="Y28" s="1"/>
      <c r="Z28" s="1"/>
    </row>
    <row r="29" spans="1:26" ht="15.75" customHeight="1" x14ac:dyDescent="0.25">
      <c r="A29" s="77"/>
      <c r="B29" s="33"/>
      <c r="C29" s="34"/>
      <c r="D29" s="33"/>
      <c r="E29" s="34"/>
      <c r="F29" s="34"/>
      <c r="G29" s="34"/>
      <c r="H29" s="78"/>
      <c r="I29" s="79"/>
      <c r="J29" s="1"/>
      <c r="K29" s="1"/>
      <c r="L29" s="1"/>
      <c r="M29" s="1"/>
      <c r="N29" s="1"/>
      <c r="O29" s="1"/>
      <c r="P29" s="1"/>
      <c r="Q29" s="1"/>
      <c r="R29" s="1"/>
      <c r="S29" s="1"/>
      <c r="T29" s="1"/>
      <c r="U29" s="1"/>
      <c r="V29" s="1"/>
      <c r="W29" s="1"/>
      <c r="X29" s="1"/>
      <c r="Y29" s="1"/>
      <c r="Z29" s="1"/>
    </row>
    <row r="30" spans="1:26" ht="15.75" customHeight="1" x14ac:dyDescent="0.25">
      <c r="A30" s="77"/>
      <c r="B30" s="33"/>
      <c r="C30" s="34"/>
      <c r="D30" s="33"/>
      <c r="E30" s="34"/>
      <c r="F30" s="34"/>
      <c r="G30" s="34"/>
      <c r="H30" s="78"/>
      <c r="I30" s="79"/>
      <c r="J30" s="1"/>
      <c r="K30" s="1"/>
      <c r="L30" s="1"/>
      <c r="M30" s="1"/>
      <c r="N30" s="1"/>
      <c r="O30" s="1"/>
      <c r="P30" s="1"/>
      <c r="Q30" s="1"/>
      <c r="R30" s="1"/>
      <c r="S30" s="1"/>
      <c r="T30" s="1"/>
      <c r="U30" s="1"/>
      <c r="V30" s="1"/>
      <c r="W30" s="1"/>
      <c r="X30" s="1"/>
      <c r="Y30" s="1"/>
      <c r="Z30" s="1"/>
    </row>
    <row r="31" spans="1:26" ht="15.75" customHeight="1" x14ac:dyDescent="0.25">
      <c r="A31" s="77"/>
      <c r="B31" s="33"/>
      <c r="C31" s="34"/>
      <c r="D31" s="33"/>
      <c r="E31" s="34"/>
      <c r="F31" s="34"/>
      <c r="G31" s="34"/>
      <c r="H31" s="78"/>
      <c r="I31" s="79"/>
      <c r="J31" s="1"/>
      <c r="K31" s="1"/>
      <c r="L31" s="1"/>
      <c r="M31" s="1"/>
      <c r="N31" s="1"/>
      <c r="O31" s="1"/>
      <c r="P31" s="1"/>
      <c r="Q31" s="1"/>
      <c r="R31" s="1"/>
      <c r="S31" s="1"/>
      <c r="T31" s="1"/>
      <c r="U31" s="1"/>
      <c r="V31" s="1"/>
      <c r="W31" s="1"/>
      <c r="X31" s="1"/>
      <c r="Y31" s="1"/>
      <c r="Z31" s="1"/>
    </row>
    <row r="32" spans="1:26" ht="15.75" customHeight="1" x14ac:dyDescent="0.25">
      <c r="A32" s="77"/>
      <c r="B32" s="33"/>
      <c r="C32" s="34"/>
      <c r="D32" s="33"/>
      <c r="E32" s="34"/>
      <c r="F32" s="34"/>
      <c r="G32" s="34"/>
      <c r="H32" s="78"/>
      <c r="I32" s="80"/>
      <c r="J32" s="1"/>
      <c r="K32" s="1"/>
      <c r="L32" s="1"/>
      <c r="M32" s="1"/>
      <c r="N32" s="1"/>
      <c r="O32" s="1"/>
      <c r="P32" s="1"/>
      <c r="Q32" s="1"/>
      <c r="R32" s="1"/>
      <c r="S32" s="1"/>
      <c r="T32" s="1"/>
      <c r="U32" s="1"/>
      <c r="V32" s="1"/>
      <c r="W32" s="1"/>
      <c r="X32" s="1"/>
      <c r="Y32" s="1"/>
      <c r="Z32" s="1"/>
    </row>
    <row r="33" spans="1:26" ht="15.75" customHeight="1" x14ac:dyDescent="0.25">
      <c r="A33" s="77"/>
      <c r="B33" s="33"/>
      <c r="C33" s="34"/>
      <c r="D33" s="33"/>
      <c r="E33" s="34"/>
      <c r="F33" s="34"/>
      <c r="G33" s="34"/>
      <c r="H33" s="78"/>
      <c r="I33" s="80"/>
      <c r="J33" s="1"/>
      <c r="K33" s="1"/>
      <c r="L33" s="1"/>
      <c r="M33" s="1"/>
      <c r="N33" s="1"/>
      <c r="O33" s="1"/>
      <c r="P33" s="1"/>
      <c r="Q33" s="1"/>
      <c r="R33" s="1"/>
      <c r="S33" s="1"/>
      <c r="T33" s="1"/>
      <c r="U33" s="1"/>
      <c r="V33" s="1"/>
      <c r="W33" s="1"/>
      <c r="X33" s="1"/>
      <c r="Y33" s="1"/>
      <c r="Z33" s="1"/>
    </row>
    <row r="34" spans="1:26" ht="15.75" customHeight="1" x14ac:dyDescent="0.25">
      <c r="A34" s="77"/>
      <c r="B34" s="33"/>
      <c r="C34" s="34"/>
      <c r="D34" s="33"/>
      <c r="E34" s="34"/>
      <c r="F34" s="34"/>
      <c r="G34" s="34"/>
      <c r="H34" s="78"/>
      <c r="I34" s="79"/>
      <c r="J34" s="1"/>
      <c r="K34" s="1"/>
      <c r="L34" s="1"/>
      <c r="M34" s="1"/>
      <c r="N34" s="1"/>
      <c r="O34" s="1"/>
      <c r="P34" s="1"/>
      <c r="Q34" s="1"/>
      <c r="R34" s="1"/>
      <c r="S34" s="1"/>
      <c r="T34" s="1"/>
      <c r="U34" s="1"/>
      <c r="V34" s="1"/>
      <c r="W34" s="1"/>
      <c r="X34" s="1"/>
      <c r="Y34" s="1"/>
      <c r="Z34" s="1"/>
    </row>
    <row r="35" spans="1:26" ht="15.75" customHeight="1" x14ac:dyDescent="0.25">
      <c r="A35" s="77"/>
      <c r="B35" s="81"/>
      <c r="C35" s="34"/>
      <c r="D35" s="33"/>
      <c r="E35" s="34"/>
      <c r="F35" s="34"/>
      <c r="G35" s="34"/>
      <c r="H35" s="78"/>
      <c r="I35" s="80"/>
      <c r="J35" s="1"/>
      <c r="K35" s="1"/>
      <c r="L35" s="1"/>
      <c r="M35" s="1"/>
      <c r="N35" s="1"/>
      <c r="O35" s="1"/>
      <c r="P35" s="1"/>
      <c r="Q35" s="1"/>
      <c r="R35" s="1"/>
      <c r="S35" s="1"/>
      <c r="T35" s="1"/>
      <c r="U35" s="1"/>
      <c r="V35" s="1"/>
      <c r="W35" s="1"/>
      <c r="X35" s="1"/>
      <c r="Y35" s="1"/>
      <c r="Z35" s="1"/>
    </row>
    <row r="36" spans="1:26" ht="15.75" customHeight="1" x14ac:dyDescent="0.25">
      <c r="A36" s="77"/>
      <c r="B36" s="82"/>
      <c r="C36" s="34"/>
      <c r="D36" s="33"/>
      <c r="E36" s="34"/>
      <c r="F36" s="34"/>
      <c r="G36" s="34"/>
      <c r="H36" s="78"/>
      <c r="I36" s="80"/>
      <c r="J36" s="1"/>
      <c r="K36" s="1"/>
      <c r="L36" s="1"/>
      <c r="M36" s="1"/>
      <c r="N36" s="1"/>
      <c r="O36" s="1"/>
      <c r="P36" s="1"/>
      <c r="Q36" s="1"/>
      <c r="R36" s="1"/>
      <c r="S36" s="1"/>
      <c r="T36" s="1"/>
      <c r="U36" s="1"/>
      <c r="V36" s="1"/>
      <c r="W36" s="1"/>
      <c r="X36" s="1"/>
      <c r="Y36" s="1"/>
      <c r="Z36" s="1"/>
    </row>
    <row r="37" spans="1:26" ht="15.75" customHeight="1" x14ac:dyDescent="0.25">
      <c r="A37" s="77"/>
      <c r="B37" s="82"/>
      <c r="C37" s="34"/>
      <c r="D37" s="33"/>
      <c r="E37" s="34"/>
      <c r="F37" s="34"/>
      <c r="G37" s="34"/>
      <c r="H37" s="78"/>
      <c r="I37" s="80"/>
      <c r="J37" s="1"/>
      <c r="K37" s="1"/>
      <c r="L37" s="1"/>
      <c r="M37" s="1"/>
      <c r="N37" s="1"/>
      <c r="O37" s="1"/>
      <c r="P37" s="1"/>
      <c r="Q37" s="1"/>
      <c r="R37" s="1"/>
      <c r="S37" s="1"/>
      <c r="T37" s="1"/>
      <c r="U37" s="1"/>
      <c r="V37" s="1"/>
      <c r="W37" s="1"/>
      <c r="X37" s="1"/>
      <c r="Y37" s="1"/>
      <c r="Z37" s="1"/>
    </row>
    <row r="38" spans="1:26" ht="15.75" customHeight="1" x14ac:dyDescent="0.25">
      <c r="A38" s="83"/>
      <c r="B38" s="82"/>
      <c r="C38" s="34"/>
      <c r="D38" s="33"/>
      <c r="E38" s="34"/>
      <c r="F38" s="34"/>
      <c r="G38" s="34"/>
      <c r="H38" s="78"/>
      <c r="I38" s="84"/>
      <c r="J38" s="1"/>
      <c r="K38" s="1"/>
      <c r="L38" s="1"/>
      <c r="M38" s="1"/>
      <c r="N38" s="1"/>
      <c r="O38" s="1"/>
      <c r="P38" s="1"/>
      <c r="Q38" s="1"/>
      <c r="R38" s="1"/>
      <c r="S38" s="1"/>
      <c r="T38" s="1"/>
      <c r="U38" s="1"/>
      <c r="V38" s="1"/>
      <c r="W38" s="1"/>
      <c r="X38" s="1"/>
      <c r="Y38" s="1"/>
      <c r="Z38" s="1"/>
    </row>
    <row r="39" spans="1:26" ht="15.75" customHeight="1" x14ac:dyDescent="0.25">
      <c r="A39" s="83"/>
      <c r="B39" s="82"/>
      <c r="C39" s="34"/>
      <c r="D39" s="33"/>
      <c r="E39" s="34"/>
      <c r="F39" s="34"/>
      <c r="G39" s="34"/>
      <c r="H39" s="78"/>
      <c r="I39" s="84"/>
      <c r="J39" s="1"/>
      <c r="K39" s="1"/>
      <c r="L39" s="1"/>
      <c r="M39" s="1"/>
      <c r="N39" s="1"/>
      <c r="O39" s="1"/>
      <c r="P39" s="1"/>
      <c r="Q39" s="1"/>
      <c r="R39" s="1"/>
      <c r="S39" s="1"/>
      <c r="T39" s="1"/>
      <c r="U39" s="1"/>
      <c r="V39" s="1"/>
      <c r="W39" s="1"/>
      <c r="X39" s="1"/>
      <c r="Y39" s="1"/>
      <c r="Z39" s="1"/>
    </row>
    <row r="40" spans="1:26" ht="15.75" customHeight="1" x14ac:dyDescent="0.25">
      <c r="A40" s="81"/>
      <c r="B40" s="82"/>
      <c r="C40" s="34"/>
      <c r="D40" s="33"/>
      <c r="E40" s="34"/>
      <c r="F40" s="34"/>
      <c r="G40" s="34"/>
      <c r="H40" s="78"/>
      <c r="I40" s="84"/>
      <c r="J40" s="1"/>
      <c r="K40" s="1"/>
      <c r="L40" s="1"/>
      <c r="M40" s="1"/>
      <c r="N40" s="1"/>
      <c r="O40" s="1"/>
      <c r="P40" s="1"/>
      <c r="Q40" s="1"/>
      <c r="R40" s="1"/>
      <c r="S40" s="1"/>
      <c r="T40" s="1"/>
      <c r="U40" s="1"/>
      <c r="V40" s="1"/>
      <c r="W40" s="1"/>
      <c r="X40" s="1"/>
      <c r="Y40" s="1"/>
      <c r="Z40" s="1"/>
    </row>
    <row r="41" spans="1:26" ht="15.75" customHeight="1" x14ac:dyDescent="0.25">
      <c r="A41" s="124"/>
      <c r="B41" s="124">
        <v>7</v>
      </c>
      <c r="C41" s="124">
        <f t="shared" ref="C41:F41" si="0">SUM(C22:C40)</f>
        <v>9</v>
      </c>
      <c r="D41" s="124">
        <f t="shared" si="0"/>
        <v>172650</v>
      </c>
      <c r="E41" s="124">
        <f t="shared" si="0"/>
        <v>17260</v>
      </c>
      <c r="F41" s="124">
        <f t="shared" si="0"/>
        <v>0</v>
      </c>
      <c r="G41" s="125"/>
      <c r="H41" s="50"/>
      <c r="I41" s="5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69" t="s">
        <v>72</v>
      </c>
      <c r="B43" s="270"/>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90" t="s">
        <v>76</v>
      </c>
      <c r="B44" s="281"/>
      <c r="C44" s="126">
        <v>9</v>
      </c>
      <c r="D44" s="127">
        <v>81400</v>
      </c>
      <c r="E44" s="128">
        <v>14120</v>
      </c>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91" t="s">
        <v>77</v>
      </c>
      <c r="B45" s="270"/>
      <c r="C45" s="292"/>
      <c r="D45" s="270"/>
      <c r="E45" s="129"/>
      <c r="F45" s="130"/>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3"/>
      <c r="B121" s="24"/>
      <c r="C121" s="25"/>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3"/>
      <c r="B122" s="24"/>
      <c r="C122" s="25"/>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3"/>
      <c r="B123" s="24"/>
      <c r="C123" s="25"/>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3"/>
      <c r="B124" s="24"/>
      <c r="C124" s="25"/>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3"/>
      <c r="B125" s="24"/>
      <c r="C125" s="25"/>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3"/>
      <c r="B126" s="24"/>
      <c r="C126" s="25"/>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3"/>
      <c r="B127" s="24"/>
      <c r="C127" s="25"/>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3"/>
      <c r="B128" s="24"/>
      <c r="C128" s="25"/>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3"/>
      <c r="B129" s="24"/>
      <c r="C129" s="25"/>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3"/>
      <c r="B130" s="24"/>
      <c r="C130" s="25"/>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3"/>
      <c r="B131" s="24"/>
      <c r="C131" s="25"/>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3"/>
      <c r="B132" s="24"/>
      <c r="C132" s="25"/>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3"/>
      <c r="B133" s="24"/>
      <c r="C133" s="25"/>
      <c r="D133" s="25"/>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3"/>
      <c r="B134" s="24"/>
      <c r="C134" s="25"/>
      <c r="D134" s="25"/>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3"/>
      <c r="B135" s="24"/>
      <c r="C135" s="25"/>
      <c r="D135" s="25"/>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3"/>
      <c r="B136" s="24"/>
      <c r="C136" s="25"/>
      <c r="D136" s="25"/>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3"/>
      <c r="B137" s="24"/>
      <c r="C137" s="25"/>
      <c r="D137" s="25"/>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3"/>
      <c r="B138" s="24"/>
      <c r="C138" s="25"/>
      <c r="D138" s="25"/>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3"/>
      <c r="B139" s="24"/>
      <c r="C139" s="25"/>
      <c r="D139" s="25"/>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3"/>
      <c r="B140" s="24"/>
      <c r="C140" s="25"/>
      <c r="D140" s="25"/>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3"/>
      <c r="B141" s="24"/>
      <c r="C141" s="25"/>
      <c r="D141" s="25"/>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3"/>
      <c r="B142" s="24"/>
      <c r="C142" s="25"/>
      <c r="D142" s="25"/>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61"/>
      <c r="B225" s="23"/>
      <c r="C225" s="24"/>
      <c r="D225" s="25"/>
      <c r="E225" s="25"/>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61"/>
      <c r="B226" s="23"/>
      <c r="C226" s="24"/>
      <c r="D226" s="25"/>
      <c r="E226" s="25"/>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61"/>
      <c r="B227" s="23"/>
      <c r="C227" s="24"/>
      <c r="D227" s="25"/>
      <c r="E227" s="25"/>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61"/>
      <c r="B228" s="23"/>
      <c r="C228" s="24"/>
      <c r="D228" s="25"/>
      <c r="E228" s="25"/>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61"/>
      <c r="B229" s="23"/>
      <c r="C229" s="24"/>
      <c r="D229" s="25"/>
      <c r="E229" s="25"/>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61"/>
      <c r="B230" s="23"/>
      <c r="C230" s="24"/>
      <c r="D230" s="25"/>
      <c r="E230" s="25"/>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61"/>
      <c r="B231" s="23"/>
      <c r="C231" s="24"/>
      <c r="D231" s="25"/>
      <c r="E231" s="25"/>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61"/>
      <c r="B232" s="23"/>
      <c r="C232" s="24"/>
      <c r="D232" s="25"/>
      <c r="E232" s="25"/>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61"/>
      <c r="B233" s="23"/>
      <c r="C233" s="24"/>
      <c r="D233" s="25"/>
      <c r="E233" s="25"/>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61"/>
      <c r="B234" s="23"/>
      <c r="C234" s="24"/>
      <c r="D234" s="25"/>
      <c r="E234" s="25"/>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61"/>
      <c r="B235" s="23"/>
      <c r="C235" s="24"/>
      <c r="D235" s="25"/>
      <c r="E235" s="25"/>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61"/>
      <c r="B236" s="23"/>
      <c r="C236" s="24"/>
      <c r="D236" s="25"/>
      <c r="E236" s="25"/>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61"/>
      <c r="B237" s="23"/>
      <c r="C237" s="24"/>
      <c r="D237" s="25"/>
      <c r="E237" s="25"/>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61"/>
      <c r="B238" s="23"/>
      <c r="C238" s="24"/>
      <c r="D238" s="25"/>
      <c r="E238" s="25"/>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61"/>
      <c r="B239" s="23"/>
      <c r="C239" s="24"/>
      <c r="D239" s="25"/>
      <c r="E239" s="25"/>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61"/>
      <c r="B240" s="23"/>
      <c r="C240" s="24"/>
      <c r="D240" s="25"/>
      <c r="E240" s="25"/>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61"/>
      <c r="B241" s="23"/>
      <c r="C241" s="24"/>
      <c r="D241" s="25"/>
      <c r="E241" s="25"/>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61"/>
      <c r="B242" s="23"/>
      <c r="C242" s="24"/>
      <c r="D242" s="25"/>
      <c r="E242" s="25"/>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61"/>
      <c r="B243" s="23"/>
      <c r="C243" s="24"/>
      <c r="D243" s="25"/>
      <c r="E243" s="25"/>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61"/>
      <c r="B244" s="23"/>
      <c r="C244" s="24"/>
      <c r="D244" s="25"/>
      <c r="E244" s="25"/>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61"/>
      <c r="B245" s="23"/>
      <c r="C245" s="24"/>
      <c r="D245" s="25"/>
      <c r="E245" s="25"/>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
    <mergeCell ref="A44:B44"/>
    <mergeCell ref="A45:B45"/>
    <mergeCell ref="C45:D45"/>
    <mergeCell ref="A1:A2"/>
    <mergeCell ref="B1:F1"/>
    <mergeCell ref="C3:C7"/>
    <mergeCell ref="F3:F18"/>
    <mergeCell ref="C8:C12"/>
    <mergeCell ref="C13:C15"/>
    <mergeCell ref="A43:B43"/>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4.42578125" defaultRowHeight="15" customHeight="1" x14ac:dyDescent="0.25"/>
  <cols>
    <col min="1" max="1" width="8.140625" customWidth="1"/>
    <col min="2" max="2" width="33.140625" customWidth="1"/>
    <col min="3" max="3" width="20" customWidth="1"/>
    <col min="4" max="4" width="44.42578125" customWidth="1"/>
    <col min="5" max="5" width="38.85546875" customWidth="1"/>
    <col min="6" max="6" width="44.85546875" customWidth="1"/>
    <col min="7" max="7" width="42.85546875" customWidth="1"/>
    <col min="8" max="8" width="32.85546875" customWidth="1"/>
    <col min="9" max="9" width="39.5703125" customWidth="1"/>
    <col min="10" max="26" width="8.85546875" customWidth="1"/>
  </cols>
  <sheetData>
    <row r="1" spans="1:26" ht="31.5" customHeight="1" x14ac:dyDescent="0.25">
      <c r="A1" s="293" t="s">
        <v>0</v>
      </c>
      <c r="B1" s="295" t="s">
        <v>1</v>
      </c>
      <c r="C1" s="296"/>
      <c r="D1" s="296"/>
      <c r="E1" s="296"/>
      <c r="F1" s="297"/>
      <c r="G1" s="1"/>
      <c r="H1" s="1"/>
      <c r="I1" s="1"/>
      <c r="J1" s="1"/>
      <c r="K1" s="1"/>
      <c r="L1" s="1"/>
      <c r="M1" s="1"/>
      <c r="N1" s="1"/>
      <c r="O1" s="1"/>
      <c r="P1" s="1"/>
      <c r="Q1" s="1"/>
      <c r="R1" s="1"/>
      <c r="S1" s="1"/>
      <c r="T1" s="1"/>
      <c r="U1" s="1"/>
      <c r="V1" s="1"/>
      <c r="W1" s="1"/>
      <c r="X1" s="1"/>
      <c r="Y1" s="1"/>
      <c r="Z1" s="1"/>
    </row>
    <row r="2" spans="1:26" ht="15.75" x14ac:dyDescent="0.25">
      <c r="A2" s="294"/>
      <c r="B2" s="87" t="s">
        <v>2</v>
      </c>
      <c r="C2" s="88" t="s">
        <v>3</v>
      </c>
      <c r="D2" s="89" t="s">
        <v>4</v>
      </c>
      <c r="E2" s="3" t="s">
        <v>5</v>
      </c>
      <c r="F2" s="90" t="s">
        <v>6</v>
      </c>
      <c r="G2" s="4"/>
      <c r="H2" s="4"/>
      <c r="I2" s="4"/>
      <c r="J2" s="4"/>
      <c r="K2" s="4"/>
      <c r="L2" s="4"/>
      <c r="M2" s="4"/>
      <c r="N2" s="4"/>
      <c r="O2" s="4"/>
      <c r="P2" s="4"/>
      <c r="Q2" s="4"/>
      <c r="R2" s="4"/>
      <c r="S2" s="4"/>
      <c r="T2" s="4"/>
      <c r="U2" s="4"/>
      <c r="V2" s="4"/>
      <c r="W2" s="4"/>
      <c r="X2" s="4"/>
      <c r="Y2" s="4"/>
      <c r="Z2" s="4"/>
    </row>
    <row r="3" spans="1:26" ht="18.75" customHeight="1" x14ac:dyDescent="0.25">
      <c r="A3" s="3">
        <v>1</v>
      </c>
      <c r="B3" s="5" t="s">
        <v>7</v>
      </c>
      <c r="C3" s="298" t="s">
        <v>206</v>
      </c>
      <c r="D3" s="91">
        <v>106300</v>
      </c>
      <c r="E3" s="92">
        <v>3017</v>
      </c>
      <c r="F3" s="299" t="s">
        <v>231</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93">
        <v>15</v>
      </c>
      <c r="E4" s="94">
        <v>1</v>
      </c>
      <c r="F4" s="300"/>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95">
        <v>7087</v>
      </c>
      <c r="E5" s="96">
        <v>3017</v>
      </c>
      <c r="F5" s="300"/>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97">
        <v>0</v>
      </c>
      <c r="E6" s="98">
        <v>0</v>
      </c>
      <c r="F6" s="300"/>
      <c r="G6" s="1"/>
      <c r="H6" s="1"/>
      <c r="I6" s="1"/>
      <c r="J6" s="1"/>
      <c r="K6" s="1"/>
      <c r="L6" s="1"/>
      <c r="M6" s="1"/>
      <c r="N6" s="1"/>
      <c r="O6" s="1"/>
      <c r="P6" s="1"/>
      <c r="Q6" s="1"/>
      <c r="R6" s="1"/>
      <c r="S6" s="1"/>
      <c r="T6" s="1"/>
      <c r="U6" s="1"/>
      <c r="V6" s="1"/>
      <c r="W6" s="1"/>
      <c r="X6" s="1"/>
      <c r="Y6" s="1"/>
      <c r="Z6" s="1"/>
    </row>
    <row r="7" spans="1:26" ht="36.75" customHeight="1" x14ac:dyDescent="0.25">
      <c r="A7" s="99">
        <v>5</v>
      </c>
      <c r="B7" s="8" t="s">
        <v>14</v>
      </c>
      <c r="C7" s="272"/>
      <c r="D7" s="9">
        <v>0</v>
      </c>
      <c r="E7" s="100">
        <v>0</v>
      </c>
      <c r="F7" s="300"/>
      <c r="G7" s="1"/>
      <c r="H7" s="1"/>
      <c r="I7" s="1"/>
      <c r="J7" s="1"/>
      <c r="K7" s="1"/>
      <c r="L7" s="1"/>
      <c r="M7" s="1"/>
      <c r="N7" s="1"/>
      <c r="O7" s="1"/>
      <c r="P7" s="1"/>
      <c r="Q7" s="1"/>
      <c r="R7" s="1"/>
      <c r="S7" s="1"/>
      <c r="T7" s="1"/>
      <c r="U7" s="1"/>
      <c r="V7" s="1"/>
      <c r="W7" s="1"/>
      <c r="X7" s="1"/>
      <c r="Y7" s="1"/>
      <c r="Z7" s="1"/>
    </row>
    <row r="8" spans="1:26" ht="72" customHeight="1" x14ac:dyDescent="0.25">
      <c r="A8" s="101">
        <v>6</v>
      </c>
      <c r="B8" s="102" t="s">
        <v>208</v>
      </c>
      <c r="C8" s="298" t="s">
        <v>209</v>
      </c>
      <c r="D8" s="103" t="s">
        <v>232</v>
      </c>
      <c r="E8" s="104" t="s">
        <v>233</v>
      </c>
      <c r="F8" s="300"/>
      <c r="G8" s="1"/>
      <c r="H8" s="1"/>
      <c r="I8" s="1"/>
      <c r="J8" s="1"/>
      <c r="K8" s="1"/>
      <c r="L8" s="1"/>
      <c r="M8" s="1"/>
      <c r="N8" s="1"/>
      <c r="O8" s="1"/>
      <c r="P8" s="1"/>
      <c r="Q8" s="1"/>
      <c r="R8" s="1"/>
      <c r="S8" s="1"/>
      <c r="T8" s="1"/>
      <c r="U8" s="1"/>
      <c r="V8" s="1"/>
      <c r="W8" s="1"/>
      <c r="X8" s="1"/>
      <c r="Y8" s="1"/>
      <c r="Z8" s="1"/>
    </row>
    <row r="9" spans="1:26" ht="57" customHeight="1" x14ac:dyDescent="0.25">
      <c r="A9" s="105">
        <v>7</v>
      </c>
      <c r="B9" s="8" t="s">
        <v>18</v>
      </c>
      <c r="C9" s="277"/>
      <c r="D9" s="106">
        <v>0</v>
      </c>
      <c r="E9" s="107">
        <v>0</v>
      </c>
      <c r="F9" s="300"/>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7"/>
      <c r="D10" s="106">
        <v>0</v>
      </c>
      <c r="E10" s="52">
        <v>0</v>
      </c>
      <c r="F10" s="300"/>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277"/>
      <c r="D11" s="108" t="s">
        <v>212</v>
      </c>
      <c r="E11" s="109" t="s">
        <v>213</v>
      </c>
      <c r="F11" s="300"/>
      <c r="G11" s="1"/>
      <c r="H11" s="1"/>
      <c r="I11" s="1"/>
      <c r="J11" s="1"/>
      <c r="K11" s="1"/>
      <c r="L11" s="1"/>
      <c r="M11" s="1"/>
      <c r="N11" s="1"/>
      <c r="O11" s="1"/>
      <c r="P11" s="1"/>
      <c r="Q11" s="1"/>
      <c r="R11" s="1"/>
      <c r="S11" s="1"/>
      <c r="T11" s="1"/>
      <c r="U11" s="1"/>
      <c r="V11" s="1"/>
      <c r="W11" s="1"/>
      <c r="X11" s="1"/>
      <c r="Y11" s="1"/>
      <c r="Z11" s="1"/>
    </row>
    <row r="12" spans="1:26" ht="63" customHeight="1" x14ac:dyDescent="0.25">
      <c r="A12" s="3">
        <v>10</v>
      </c>
      <c r="B12" s="5" t="s">
        <v>24</v>
      </c>
      <c r="C12" s="272"/>
      <c r="D12" s="108" t="s">
        <v>234</v>
      </c>
      <c r="E12" s="131" t="s">
        <v>235</v>
      </c>
      <c r="F12" s="300"/>
      <c r="G12" s="1"/>
      <c r="H12" s="1"/>
      <c r="I12" s="1"/>
      <c r="J12" s="1"/>
      <c r="K12" s="1"/>
      <c r="L12" s="1"/>
      <c r="M12" s="1"/>
      <c r="N12" s="1"/>
      <c r="O12" s="1"/>
      <c r="P12" s="1"/>
      <c r="Q12" s="1"/>
      <c r="R12" s="1"/>
      <c r="S12" s="1"/>
      <c r="T12" s="1"/>
      <c r="U12" s="1"/>
      <c r="V12" s="1"/>
      <c r="W12" s="1"/>
      <c r="X12" s="1"/>
      <c r="Y12" s="1"/>
      <c r="Z12" s="1"/>
    </row>
    <row r="13" spans="1:26" ht="105" customHeight="1" x14ac:dyDescent="0.25">
      <c r="A13" s="3">
        <v>11</v>
      </c>
      <c r="B13" s="5" t="s">
        <v>27</v>
      </c>
      <c r="C13" s="302"/>
      <c r="D13" s="110" t="s">
        <v>236</v>
      </c>
      <c r="E13" s="109" t="s">
        <v>237</v>
      </c>
      <c r="F13" s="300"/>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77"/>
      <c r="D14" s="111" t="s">
        <v>216</v>
      </c>
      <c r="E14" s="112">
        <v>1</v>
      </c>
      <c r="F14" s="300"/>
      <c r="G14" s="1"/>
      <c r="H14" s="1"/>
      <c r="I14" s="1"/>
      <c r="J14" s="1"/>
      <c r="K14" s="1"/>
      <c r="L14" s="1"/>
      <c r="M14" s="1"/>
      <c r="N14" s="1"/>
      <c r="O14" s="1"/>
      <c r="P14" s="1"/>
      <c r="Q14" s="1"/>
      <c r="R14" s="1"/>
      <c r="S14" s="1"/>
      <c r="T14" s="1"/>
      <c r="U14" s="1"/>
      <c r="V14" s="1"/>
      <c r="W14" s="1"/>
      <c r="X14" s="1"/>
      <c r="Y14" s="1"/>
      <c r="Z14" s="1"/>
    </row>
    <row r="15" spans="1:26" ht="81.75" customHeight="1" x14ac:dyDescent="0.25">
      <c r="A15" s="3">
        <v>13</v>
      </c>
      <c r="B15" s="5" t="s">
        <v>32</v>
      </c>
      <c r="C15" s="272"/>
      <c r="D15" s="110" t="s">
        <v>238</v>
      </c>
      <c r="E15" s="109" t="s">
        <v>239</v>
      </c>
      <c r="F15" s="300"/>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113"/>
      <c r="D16" s="114" t="s">
        <v>219</v>
      </c>
      <c r="E16" s="115" t="s">
        <v>220</v>
      </c>
      <c r="F16" s="300"/>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5"/>
      <c r="D17" s="116" t="s">
        <v>240</v>
      </c>
      <c r="E17" s="117" t="s">
        <v>40</v>
      </c>
      <c r="F17" s="300"/>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7"/>
      <c r="D18" s="118" t="s">
        <v>241</v>
      </c>
      <c r="E18" s="119"/>
      <c r="F18" s="301"/>
      <c r="G18" s="1"/>
      <c r="H18" s="1"/>
      <c r="I18" s="1"/>
      <c r="J18" s="1"/>
      <c r="K18" s="1"/>
      <c r="L18" s="1"/>
      <c r="M18" s="1"/>
      <c r="N18" s="1"/>
      <c r="O18" s="1"/>
      <c r="P18" s="1"/>
      <c r="Q18" s="1"/>
      <c r="R18" s="1"/>
      <c r="S18" s="1"/>
      <c r="T18" s="1"/>
      <c r="U18" s="1"/>
      <c r="V18" s="1"/>
      <c r="W18" s="1"/>
      <c r="X18" s="1"/>
      <c r="Y18" s="1"/>
      <c r="Z18" s="1"/>
    </row>
    <row r="19" spans="1:26" ht="47.25" customHeight="1" x14ac:dyDescent="0.25">
      <c r="A19" s="23"/>
      <c r="B19" s="24"/>
      <c r="C19" s="25"/>
      <c r="D19" s="25"/>
      <c r="E19" s="1"/>
      <c r="F19" s="1"/>
      <c r="G19" s="1"/>
      <c r="H19" s="1"/>
      <c r="I19" s="1"/>
      <c r="J19" s="1"/>
      <c r="K19" s="1"/>
      <c r="L19" s="1"/>
      <c r="M19" s="1"/>
      <c r="N19" s="1"/>
      <c r="O19" s="1"/>
      <c r="P19" s="1"/>
      <c r="Q19" s="1"/>
      <c r="R19" s="1"/>
      <c r="S19" s="1"/>
      <c r="T19" s="1"/>
      <c r="U19" s="1"/>
      <c r="V19" s="1"/>
      <c r="W19" s="1"/>
      <c r="X19" s="1"/>
      <c r="Y19" s="1"/>
      <c r="Z19" s="1"/>
    </row>
    <row r="20" spans="1:26" ht="44.25" customHeight="1" x14ac:dyDescent="0.25">
      <c r="A20" s="120"/>
      <c r="B20" s="120" t="s">
        <v>43</v>
      </c>
      <c r="C20" s="121"/>
      <c r="D20" s="121"/>
      <c r="E20" s="121"/>
      <c r="F20" s="121"/>
      <c r="G20" s="121"/>
      <c r="H20" s="121"/>
      <c r="I20" s="121"/>
      <c r="J20" s="1"/>
      <c r="K20" s="1"/>
      <c r="L20" s="1"/>
      <c r="M20" s="1"/>
      <c r="N20" s="1"/>
      <c r="O20" s="1"/>
      <c r="P20" s="1"/>
      <c r="Q20" s="1"/>
      <c r="R20" s="1"/>
      <c r="S20" s="1"/>
      <c r="T20" s="1"/>
      <c r="U20" s="1"/>
      <c r="V20" s="1"/>
      <c r="W20" s="1"/>
      <c r="X20" s="1"/>
      <c r="Y20" s="1"/>
      <c r="Z20" s="1"/>
    </row>
    <row r="21" spans="1:26" ht="36" customHeight="1" x14ac:dyDescent="0.25">
      <c r="A21" s="122" t="s">
        <v>44</v>
      </c>
      <c r="B21" s="123" t="s">
        <v>45</v>
      </c>
      <c r="C21" s="122" t="s">
        <v>46</v>
      </c>
      <c r="D21" s="122" t="s">
        <v>47</v>
      </c>
      <c r="E21" s="122" t="s">
        <v>48</v>
      </c>
      <c r="F21" s="122" t="s">
        <v>49</v>
      </c>
      <c r="G21" s="122" t="s">
        <v>50</v>
      </c>
      <c r="H21" s="30" t="s">
        <v>51</v>
      </c>
      <c r="I21" s="31" t="s">
        <v>52</v>
      </c>
      <c r="J21" s="1"/>
      <c r="K21" s="1"/>
      <c r="L21" s="1"/>
      <c r="M21" s="1"/>
      <c r="N21" s="1"/>
      <c r="O21" s="1"/>
      <c r="P21" s="1"/>
      <c r="Q21" s="1"/>
      <c r="R21" s="1"/>
      <c r="S21" s="1"/>
      <c r="T21" s="1"/>
      <c r="U21" s="1"/>
      <c r="V21" s="1"/>
      <c r="W21" s="1"/>
      <c r="X21" s="1"/>
      <c r="Y21" s="1"/>
      <c r="Z21" s="1"/>
    </row>
    <row r="22" spans="1:26" ht="15.75" customHeight="1" x14ac:dyDescent="0.25">
      <c r="A22" s="32">
        <v>46125</v>
      </c>
      <c r="B22" s="33" t="s">
        <v>53</v>
      </c>
      <c r="C22" s="34"/>
      <c r="D22" s="33"/>
      <c r="E22" s="34"/>
      <c r="F22" s="34"/>
      <c r="G22" s="34"/>
      <c r="H22" s="78"/>
      <c r="I22" s="79"/>
      <c r="J22" s="1"/>
      <c r="K22" s="1"/>
      <c r="L22" s="1"/>
      <c r="M22" s="1"/>
      <c r="N22" s="1"/>
      <c r="O22" s="1"/>
      <c r="P22" s="1"/>
      <c r="Q22" s="1"/>
      <c r="R22" s="1"/>
      <c r="S22" s="1"/>
      <c r="T22" s="1"/>
      <c r="U22" s="1"/>
      <c r="V22" s="1"/>
      <c r="W22" s="1"/>
      <c r="X22" s="1"/>
      <c r="Y22" s="1"/>
      <c r="Z22" s="1"/>
    </row>
    <row r="23" spans="1:26" ht="15.75" customHeight="1" x14ac:dyDescent="0.25">
      <c r="A23" s="32">
        <v>46126</v>
      </c>
      <c r="B23" s="33" t="s">
        <v>58</v>
      </c>
      <c r="C23" s="34"/>
      <c r="D23" s="33"/>
      <c r="E23" s="34"/>
      <c r="F23" s="34"/>
      <c r="G23" s="34"/>
      <c r="H23" s="78"/>
      <c r="I23" s="79"/>
      <c r="J23" s="1"/>
      <c r="K23" s="1"/>
      <c r="L23" s="1"/>
      <c r="M23" s="1"/>
      <c r="N23" s="1"/>
      <c r="O23" s="1"/>
      <c r="P23" s="1"/>
      <c r="Q23" s="1"/>
      <c r="R23" s="1"/>
      <c r="S23" s="1"/>
      <c r="T23" s="1"/>
      <c r="U23" s="1"/>
      <c r="V23" s="1"/>
      <c r="W23" s="1"/>
      <c r="X23" s="1"/>
      <c r="Y23" s="1"/>
      <c r="Z23" s="1"/>
    </row>
    <row r="24" spans="1:26" ht="15.75" customHeight="1" x14ac:dyDescent="0.25">
      <c r="A24" s="32">
        <v>46127</v>
      </c>
      <c r="B24" s="33" t="s">
        <v>62</v>
      </c>
      <c r="C24" s="34"/>
      <c r="D24" s="33"/>
      <c r="E24" s="34"/>
      <c r="F24" s="34"/>
      <c r="G24" s="34"/>
      <c r="H24" s="78"/>
      <c r="I24" s="79"/>
      <c r="J24" s="1"/>
      <c r="K24" s="1"/>
      <c r="L24" s="1"/>
      <c r="M24" s="1"/>
      <c r="N24" s="1"/>
      <c r="O24" s="1"/>
      <c r="P24" s="1"/>
      <c r="Q24" s="1"/>
      <c r="R24" s="1"/>
      <c r="S24" s="1"/>
      <c r="T24" s="1"/>
      <c r="U24" s="1"/>
      <c r="V24" s="1"/>
      <c r="W24" s="1"/>
      <c r="X24" s="1"/>
      <c r="Y24" s="1"/>
      <c r="Z24" s="1"/>
    </row>
    <row r="25" spans="1:26" ht="15.75" customHeight="1" x14ac:dyDescent="0.25">
      <c r="A25" s="32">
        <v>46128</v>
      </c>
      <c r="B25" s="33" t="s">
        <v>66</v>
      </c>
      <c r="C25" s="34">
        <v>1</v>
      </c>
      <c r="D25" s="33">
        <v>14000</v>
      </c>
      <c r="E25" s="34">
        <v>1500</v>
      </c>
      <c r="F25" s="34"/>
      <c r="G25" s="34" t="s">
        <v>242</v>
      </c>
      <c r="H25" s="78">
        <v>87770512522</v>
      </c>
      <c r="I25" s="79" t="s">
        <v>243</v>
      </c>
      <c r="J25" s="1"/>
      <c r="K25" s="1"/>
      <c r="L25" s="1"/>
      <c r="M25" s="1"/>
      <c r="N25" s="1"/>
      <c r="O25" s="1"/>
      <c r="P25" s="1"/>
      <c r="Q25" s="1"/>
      <c r="R25" s="1"/>
      <c r="S25" s="1"/>
      <c r="T25" s="1"/>
      <c r="U25" s="1"/>
      <c r="V25" s="1"/>
      <c r="W25" s="1"/>
      <c r="X25" s="1"/>
      <c r="Y25" s="1"/>
      <c r="Z25" s="1"/>
    </row>
    <row r="26" spans="1:26" ht="15.75" customHeight="1" x14ac:dyDescent="0.25">
      <c r="A26" s="32">
        <v>46129</v>
      </c>
      <c r="B26" s="33" t="s">
        <v>69</v>
      </c>
      <c r="C26" s="34"/>
      <c r="D26" s="33"/>
      <c r="E26" s="34"/>
      <c r="F26" s="34"/>
      <c r="G26" s="34"/>
      <c r="H26" s="78"/>
      <c r="I26" s="80"/>
      <c r="J26" s="1"/>
      <c r="K26" s="1"/>
      <c r="L26" s="1"/>
      <c r="M26" s="1"/>
      <c r="N26" s="1"/>
      <c r="O26" s="1"/>
      <c r="P26" s="1"/>
      <c r="Q26" s="1"/>
      <c r="R26" s="1"/>
      <c r="S26" s="1"/>
      <c r="T26" s="1"/>
      <c r="U26" s="1"/>
      <c r="V26" s="1"/>
      <c r="W26" s="1"/>
      <c r="X26" s="1"/>
      <c r="Y26" s="1"/>
      <c r="Z26" s="1"/>
    </row>
    <row r="27" spans="1:26" ht="15.75" customHeight="1" x14ac:dyDescent="0.25">
      <c r="A27" s="32">
        <v>46130</v>
      </c>
      <c r="B27" s="33" t="s">
        <v>70</v>
      </c>
      <c r="C27" s="34">
        <v>2</v>
      </c>
      <c r="D27" s="33">
        <v>16500</v>
      </c>
      <c r="E27" s="34">
        <v>1000</v>
      </c>
      <c r="F27" s="34"/>
      <c r="G27" s="34" t="s">
        <v>244</v>
      </c>
      <c r="H27" s="132">
        <v>87024419944</v>
      </c>
      <c r="I27" s="80"/>
      <c r="J27" s="1"/>
      <c r="K27" s="1"/>
      <c r="L27" s="1"/>
      <c r="M27" s="1"/>
      <c r="N27" s="1"/>
      <c r="O27" s="1"/>
      <c r="P27" s="1"/>
      <c r="Q27" s="1"/>
      <c r="R27" s="1"/>
      <c r="S27" s="1"/>
      <c r="T27" s="1"/>
      <c r="U27" s="1"/>
      <c r="V27" s="1"/>
      <c r="W27" s="1"/>
      <c r="X27" s="1"/>
      <c r="Y27" s="1"/>
      <c r="Z27" s="1"/>
    </row>
    <row r="28" spans="1:26" ht="24" customHeight="1" x14ac:dyDescent="0.25">
      <c r="A28" s="32">
        <v>46131</v>
      </c>
      <c r="B28" s="33" t="s">
        <v>71</v>
      </c>
      <c r="C28" s="34"/>
      <c r="D28" s="33"/>
      <c r="E28" s="34"/>
      <c r="F28" s="34"/>
      <c r="G28" s="34"/>
      <c r="H28" s="78"/>
      <c r="I28" s="79"/>
      <c r="J28" s="1"/>
      <c r="K28" s="1"/>
      <c r="L28" s="1"/>
      <c r="M28" s="1"/>
      <c r="N28" s="1"/>
      <c r="O28" s="1"/>
      <c r="P28" s="1"/>
      <c r="Q28" s="1"/>
      <c r="R28" s="1"/>
      <c r="S28" s="1"/>
      <c r="T28" s="1"/>
      <c r="U28" s="1"/>
      <c r="V28" s="1"/>
      <c r="W28" s="1"/>
      <c r="X28" s="1"/>
      <c r="Y28" s="1"/>
      <c r="Z28" s="1"/>
    </row>
    <row r="29" spans="1:26" ht="15.75" customHeight="1" x14ac:dyDescent="0.25">
      <c r="A29" s="77"/>
      <c r="B29" s="33"/>
      <c r="C29" s="34"/>
      <c r="D29" s="33"/>
      <c r="E29" s="34"/>
      <c r="F29" s="34"/>
      <c r="G29" s="34"/>
      <c r="H29" s="78"/>
      <c r="I29" s="79"/>
      <c r="J29" s="1"/>
      <c r="K29" s="1"/>
      <c r="L29" s="1"/>
      <c r="M29" s="1"/>
      <c r="N29" s="1"/>
      <c r="O29" s="1"/>
      <c r="P29" s="1"/>
      <c r="Q29" s="1"/>
      <c r="R29" s="1"/>
      <c r="S29" s="1"/>
      <c r="T29" s="1"/>
      <c r="U29" s="1"/>
      <c r="V29" s="1"/>
      <c r="W29" s="1"/>
      <c r="X29" s="1"/>
      <c r="Y29" s="1"/>
      <c r="Z29" s="1"/>
    </row>
    <row r="30" spans="1:26" ht="15.75" customHeight="1" x14ac:dyDescent="0.25">
      <c r="A30" s="77"/>
      <c r="B30" s="33"/>
      <c r="C30" s="34"/>
      <c r="D30" s="33"/>
      <c r="E30" s="34"/>
      <c r="F30" s="34"/>
      <c r="G30" s="34"/>
      <c r="H30" s="78"/>
      <c r="I30" s="79"/>
      <c r="J30" s="1"/>
      <c r="K30" s="1"/>
      <c r="L30" s="1"/>
      <c r="M30" s="1"/>
      <c r="N30" s="1"/>
      <c r="O30" s="1"/>
      <c r="P30" s="1"/>
      <c r="Q30" s="1"/>
      <c r="R30" s="1"/>
      <c r="S30" s="1"/>
      <c r="T30" s="1"/>
      <c r="U30" s="1"/>
      <c r="V30" s="1"/>
      <c r="W30" s="1"/>
      <c r="X30" s="1"/>
      <c r="Y30" s="1"/>
      <c r="Z30" s="1"/>
    </row>
    <row r="31" spans="1:26" ht="15.75" customHeight="1" x14ac:dyDescent="0.25">
      <c r="A31" s="77"/>
      <c r="B31" s="33"/>
      <c r="C31" s="34"/>
      <c r="D31" s="33"/>
      <c r="E31" s="34"/>
      <c r="F31" s="34"/>
      <c r="G31" s="34"/>
      <c r="H31" s="78"/>
      <c r="I31" s="79"/>
      <c r="J31" s="1"/>
      <c r="K31" s="1"/>
      <c r="L31" s="1"/>
      <c r="M31" s="1"/>
      <c r="N31" s="1"/>
      <c r="O31" s="1"/>
      <c r="P31" s="1"/>
      <c r="Q31" s="1"/>
      <c r="R31" s="1"/>
      <c r="S31" s="1"/>
      <c r="T31" s="1"/>
      <c r="U31" s="1"/>
      <c r="V31" s="1"/>
      <c r="W31" s="1"/>
      <c r="X31" s="1"/>
      <c r="Y31" s="1"/>
      <c r="Z31" s="1"/>
    </row>
    <row r="32" spans="1:26" ht="15.75" customHeight="1" x14ac:dyDescent="0.25">
      <c r="A32" s="77"/>
      <c r="B32" s="33"/>
      <c r="C32" s="34"/>
      <c r="D32" s="33"/>
      <c r="E32" s="34"/>
      <c r="F32" s="34"/>
      <c r="G32" s="34"/>
      <c r="H32" s="78"/>
      <c r="I32" s="80"/>
      <c r="J32" s="1"/>
      <c r="K32" s="1"/>
      <c r="L32" s="1"/>
      <c r="M32" s="1"/>
      <c r="N32" s="1"/>
      <c r="O32" s="1"/>
      <c r="P32" s="1"/>
      <c r="Q32" s="1"/>
      <c r="R32" s="1"/>
      <c r="S32" s="1"/>
      <c r="T32" s="1"/>
      <c r="U32" s="1"/>
      <c r="V32" s="1"/>
      <c r="W32" s="1"/>
      <c r="X32" s="1"/>
      <c r="Y32" s="1"/>
      <c r="Z32" s="1"/>
    </row>
    <row r="33" spans="1:26" ht="15.75" customHeight="1" x14ac:dyDescent="0.25">
      <c r="A33" s="77"/>
      <c r="B33" s="33"/>
      <c r="C33" s="34"/>
      <c r="D33" s="33"/>
      <c r="E33" s="34"/>
      <c r="F33" s="34"/>
      <c r="G33" s="34"/>
      <c r="H33" s="78"/>
      <c r="I33" s="80"/>
      <c r="J33" s="1"/>
      <c r="K33" s="1"/>
      <c r="L33" s="1"/>
      <c r="M33" s="1"/>
      <c r="N33" s="1"/>
      <c r="O33" s="1"/>
      <c r="P33" s="1"/>
      <c r="Q33" s="1"/>
      <c r="R33" s="1"/>
      <c r="S33" s="1"/>
      <c r="T33" s="1"/>
      <c r="U33" s="1"/>
      <c r="V33" s="1"/>
      <c r="W33" s="1"/>
      <c r="X33" s="1"/>
      <c r="Y33" s="1"/>
      <c r="Z33" s="1"/>
    </row>
    <row r="34" spans="1:26" ht="15.75" customHeight="1" x14ac:dyDescent="0.25">
      <c r="A34" s="77"/>
      <c r="B34" s="33"/>
      <c r="C34" s="34"/>
      <c r="D34" s="33"/>
      <c r="E34" s="34"/>
      <c r="F34" s="34"/>
      <c r="G34" s="34"/>
      <c r="H34" s="78"/>
      <c r="I34" s="79"/>
      <c r="J34" s="1"/>
      <c r="K34" s="1"/>
      <c r="L34" s="1"/>
      <c r="M34" s="1"/>
      <c r="N34" s="1"/>
      <c r="O34" s="1"/>
      <c r="P34" s="1"/>
      <c r="Q34" s="1"/>
      <c r="R34" s="1"/>
      <c r="S34" s="1"/>
      <c r="T34" s="1"/>
      <c r="U34" s="1"/>
      <c r="V34" s="1"/>
      <c r="W34" s="1"/>
      <c r="X34" s="1"/>
      <c r="Y34" s="1"/>
      <c r="Z34" s="1"/>
    </row>
    <row r="35" spans="1:26" ht="15.75" customHeight="1" x14ac:dyDescent="0.25">
      <c r="A35" s="77"/>
      <c r="B35" s="81"/>
      <c r="C35" s="34"/>
      <c r="D35" s="33"/>
      <c r="E35" s="34"/>
      <c r="F35" s="34"/>
      <c r="G35" s="34"/>
      <c r="H35" s="78"/>
      <c r="I35" s="80"/>
      <c r="J35" s="1"/>
      <c r="K35" s="1"/>
      <c r="L35" s="1"/>
      <c r="M35" s="1"/>
      <c r="N35" s="1"/>
      <c r="O35" s="1"/>
      <c r="P35" s="1"/>
      <c r="Q35" s="1"/>
      <c r="R35" s="1"/>
      <c r="S35" s="1"/>
      <c r="T35" s="1"/>
      <c r="U35" s="1"/>
      <c r="V35" s="1"/>
      <c r="W35" s="1"/>
      <c r="X35" s="1"/>
      <c r="Y35" s="1"/>
      <c r="Z35" s="1"/>
    </row>
    <row r="36" spans="1:26" ht="15.75" customHeight="1" x14ac:dyDescent="0.25">
      <c r="A36" s="77"/>
      <c r="B36" s="82"/>
      <c r="C36" s="34"/>
      <c r="D36" s="33"/>
      <c r="E36" s="34"/>
      <c r="F36" s="34"/>
      <c r="G36" s="34"/>
      <c r="H36" s="78"/>
      <c r="I36" s="80"/>
      <c r="J36" s="1"/>
      <c r="K36" s="1"/>
      <c r="L36" s="1"/>
      <c r="M36" s="1"/>
      <c r="N36" s="1"/>
      <c r="O36" s="1"/>
      <c r="P36" s="1"/>
      <c r="Q36" s="1"/>
      <c r="R36" s="1"/>
      <c r="S36" s="1"/>
      <c r="T36" s="1"/>
      <c r="U36" s="1"/>
      <c r="V36" s="1"/>
      <c r="W36" s="1"/>
      <c r="X36" s="1"/>
      <c r="Y36" s="1"/>
      <c r="Z36" s="1"/>
    </row>
    <row r="37" spans="1:26" ht="15.75" customHeight="1" x14ac:dyDescent="0.25">
      <c r="A37" s="77"/>
      <c r="B37" s="82"/>
      <c r="C37" s="34"/>
      <c r="D37" s="33"/>
      <c r="E37" s="34"/>
      <c r="F37" s="34"/>
      <c r="G37" s="34"/>
      <c r="H37" s="78"/>
      <c r="I37" s="80"/>
      <c r="J37" s="1"/>
      <c r="K37" s="1"/>
      <c r="L37" s="1"/>
      <c r="M37" s="1"/>
      <c r="N37" s="1"/>
      <c r="O37" s="1"/>
      <c r="P37" s="1"/>
      <c r="Q37" s="1"/>
      <c r="R37" s="1"/>
      <c r="S37" s="1"/>
      <c r="T37" s="1"/>
      <c r="U37" s="1"/>
      <c r="V37" s="1"/>
      <c r="W37" s="1"/>
      <c r="X37" s="1"/>
      <c r="Y37" s="1"/>
      <c r="Z37" s="1"/>
    </row>
    <row r="38" spans="1:26" ht="15.75" customHeight="1" x14ac:dyDescent="0.25">
      <c r="A38" s="83"/>
      <c r="B38" s="82"/>
      <c r="C38" s="34"/>
      <c r="D38" s="33"/>
      <c r="E38" s="34"/>
      <c r="F38" s="34"/>
      <c r="G38" s="34"/>
      <c r="H38" s="78"/>
      <c r="I38" s="84"/>
      <c r="J38" s="1"/>
      <c r="K38" s="1"/>
      <c r="L38" s="1"/>
      <c r="M38" s="1"/>
      <c r="N38" s="1"/>
      <c r="O38" s="1"/>
      <c r="P38" s="1"/>
      <c r="Q38" s="1"/>
      <c r="R38" s="1"/>
      <c r="S38" s="1"/>
      <c r="T38" s="1"/>
      <c r="U38" s="1"/>
      <c r="V38" s="1"/>
      <c r="W38" s="1"/>
      <c r="X38" s="1"/>
      <c r="Y38" s="1"/>
      <c r="Z38" s="1"/>
    </row>
    <row r="39" spans="1:26" ht="15.75" customHeight="1" x14ac:dyDescent="0.25">
      <c r="A39" s="83"/>
      <c r="B39" s="82"/>
      <c r="C39" s="34"/>
      <c r="D39" s="33"/>
      <c r="E39" s="34"/>
      <c r="F39" s="34"/>
      <c r="G39" s="34"/>
      <c r="H39" s="78"/>
      <c r="I39" s="84"/>
      <c r="J39" s="1"/>
      <c r="K39" s="1"/>
      <c r="L39" s="1"/>
      <c r="M39" s="1"/>
      <c r="N39" s="1"/>
      <c r="O39" s="1"/>
      <c r="P39" s="1"/>
      <c r="Q39" s="1"/>
      <c r="R39" s="1"/>
      <c r="S39" s="1"/>
      <c r="T39" s="1"/>
      <c r="U39" s="1"/>
      <c r="V39" s="1"/>
      <c r="W39" s="1"/>
      <c r="X39" s="1"/>
      <c r="Y39" s="1"/>
      <c r="Z39" s="1"/>
    </row>
    <row r="40" spans="1:26" ht="15.75" customHeight="1" x14ac:dyDescent="0.25">
      <c r="A40" s="81"/>
      <c r="B40" s="82"/>
      <c r="C40" s="34"/>
      <c r="D40" s="33"/>
      <c r="E40" s="34"/>
      <c r="F40" s="34"/>
      <c r="G40" s="34"/>
      <c r="H40" s="78"/>
      <c r="I40" s="84"/>
      <c r="J40" s="1"/>
      <c r="K40" s="1"/>
      <c r="L40" s="1"/>
      <c r="M40" s="1"/>
      <c r="N40" s="1"/>
      <c r="O40" s="1"/>
      <c r="P40" s="1"/>
      <c r="Q40" s="1"/>
      <c r="R40" s="1"/>
      <c r="S40" s="1"/>
      <c r="T40" s="1"/>
      <c r="U40" s="1"/>
      <c r="V40" s="1"/>
      <c r="W40" s="1"/>
      <c r="X40" s="1"/>
      <c r="Y40" s="1"/>
      <c r="Z40" s="1"/>
    </row>
    <row r="41" spans="1:26" ht="15.75" customHeight="1" x14ac:dyDescent="0.25">
      <c r="A41" s="124"/>
      <c r="B41" s="124">
        <v>7</v>
      </c>
      <c r="C41" s="124">
        <f t="shared" ref="C41:F41" si="0">SUM(C22:C40)</f>
        <v>3</v>
      </c>
      <c r="D41" s="124">
        <f t="shared" si="0"/>
        <v>30500</v>
      </c>
      <c r="E41" s="124">
        <f t="shared" si="0"/>
        <v>2500</v>
      </c>
      <c r="F41" s="124">
        <f t="shared" si="0"/>
        <v>0</v>
      </c>
      <c r="G41" s="125"/>
      <c r="H41" s="50"/>
      <c r="I41" s="5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69" t="s">
        <v>72</v>
      </c>
      <c r="B43" s="270"/>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90" t="s">
        <v>76</v>
      </c>
      <c r="B44" s="281"/>
      <c r="C44" s="126">
        <v>9</v>
      </c>
      <c r="D44" s="127">
        <v>81400</v>
      </c>
      <c r="E44" s="128">
        <v>14120</v>
      </c>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91" t="s">
        <v>77</v>
      </c>
      <c r="B45" s="270"/>
      <c r="C45" s="292"/>
      <c r="D45" s="270"/>
      <c r="E45" s="129"/>
      <c r="F45" s="130"/>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3"/>
      <c r="B121" s="24"/>
      <c r="C121" s="25"/>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3"/>
      <c r="B122" s="24"/>
      <c r="C122" s="25"/>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3"/>
      <c r="B123" s="24"/>
      <c r="C123" s="25"/>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3"/>
      <c r="B124" s="24"/>
      <c r="C124" s="25"/>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3"/>
      <c r="B125" s="24"/>
      <c r="C125" s="25"/>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3"/>
      <c r="B126" s="24"/>
      <c r="C126" s="25"/>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3"/>
      <c r="B127" s="24"/>
      <c r="C127" s="25"/>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3"/>
      <c r="B128" s="24"/>
      <c r="C128" s="25"/>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3"/>
      <c r="B129" s="24"/>
      <c r="C129" s="25"/>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3"/>
      <c r="B130" s="24"/>
      <c r="C130" s="25"/>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3"/>
      <c r="B131" s="24"/>
      <c r="C131" s="25"/>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3"/>
      <c r="B132" s="24"/>
      <c r="C132" s="25"/>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3"/>
      <c r="B133" s="24"/>
      <c r="C133" s="25"/>
      <c r="D133" s="25"/>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3"/>
      <c r="B134" s="24"/>
      <c r="C134" s="25"/>
      <c r="D134" s="25"/>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3"/>
      <c r="B135" s="24"/>
      <c r="C135" s="25"/>
      <c r="D135" s="25"/>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3"/>
      <c r="B136" s="24"/>
      <c r="C136" s="25"/>
      <c r="D136" s="25"/>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3"/>
      <c r="B137" s="24"/>
      <c r="C137" s="25"/>
      <c r="D137" s="25"/>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3"/>
      <c r="B138" s="24"/>
      <c r="C138" s="25"/>
      <c r="D138" s="25"/>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3"/>
      <c r="B139" s="24"/>
      <c r="C139" s="25"/>
      <c r="D139" s="25"/>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3"/>
      <c r="B140" s="24"/>
      <c r="C140" s="25"/>
      <c r="D140" s="25"/>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3"/>
      <c r="B141" s="24"/>
      <c r="C141" s="25"/>
      <c r="D141" s="25"/>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3"/>
      <c r="B142" s="24"/>
      <c r="C142" s="25"/>
      <c r="D142" s="25"/>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61"/>
      <c r="B143" s="23"/>
      <c r="C143" s="24"/>
      <c r="D143" s="25"/>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61"/>
      <c r="B144" s="23"/>
      <c r="C144" s="24"/>
      <c r="D144" s="25"/>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61"/>
      <c r="B145" s="23"/>
      <c r="C145" s="24"/>
      <c r="D145" s="25"/>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61"/>
      <c r="B146" s="23"/>
      <c r="C146" s="24"/>
      <c r="D146" s="25"/>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61"/>
      <c r="B147" s="23"/>
      <c r="C147" s="24"/>
      <c r="D147" s="25"/>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61"/>
      <c r="B148" s="23"/>
      <c r="C148" s="24"/>
      <c r="D148" s="25"/>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61"/>
      <c r="B149" s="23"/>
      <c r="C149" s="24"/>
      <c r="D149" s="25"/>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61"/>
      <c r="B150" s="23"/>
      <c r="C150" s="24"/>
      <c r="D150" s="25"/>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61"/>
      <c r="B151" s="23"/>
      <c r="C151" s="24"/>
      <c r="D151" s="25"/>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61"/>
      <c r="B152" s="23"/>
      <c r="C152" s="24"/>
      <c r="D152" s="25"/>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61"/>
      <c r="B153" s="23"/>
      <c r="C153" s="24"/>
      <c r="D153" s="25"/>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61"/>
      <c r="B154" s="23"/>
      <c r="C154" s="24"/>
      <c r="D154" s="25"/>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61"/>
      <c r="B155" s="23"/>
      <c r="C155" s="24"/>
      <c r="D155" s="25"/>
      <c r="E155" s="25"/>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61"/>
      <c r="B156" s="23"/>
      <c r="C156" s="24"/>
      <c r="D156" s="25"/>
      <c r="E156" s="25"/>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61"/>
      <c r="B157" s="23"/>
      <c r="C157" s="24"/>
      <c r="D157" s="25"/>
      <c r="E157" s="25"/>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61"/>
      <c r="B158" s="23"/>
      <c r="C158" s="24"/>
      <c r="D158" s="25"/>
      <c r="E158" s="25"/>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61"/>
      <c r="B159" s="23"/>
      <c r="C159" s="24"/>
      <c r="D159" s="25"/>
      <c r="E159" s="25"/>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61"/>
      <c r="B160" s="23"/>
      <c r="C160" s="24"/>
      <c r="D160" s="25"/>
      <c r="E160" s="25"/>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61"/>
      <c r="B161" s="23"/>
      <c r="C161" s="24"/>
      <c r="D161" s="25"/>
      <c r="E161" s="25"/>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61"/>
      <c r="B162" s="23"/>
      <c r="C162" s="24"/>
      <c r="D162" s="25"/>
      <c r="E162" s="25"/>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61"/>
      <c r="B163" s="23"/>
      <c r="C163" s="24"/>
      <c r="D163" s="25"/>
      <c r="E163" s="25"/>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61"/>
      <c r="B164" s="23"/>
      <c r="C164" s="24"/>
      <c r="D164" s="25"/>
      <c r="E164" s="25"/>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61"/>
      <c r="B165" s="23"/>
      <c r="C165" s="24"/>
      <c r="D165" s="25"/>
      <c r="E165" s="25"/>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61"/>
      <c r="B166" s="23"/>
      <c r="C166" s="24"/>
      <c r="D166" s="25"/>
      <c r="E166" s="25"/>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61"/>
      <c r="B167" s="23"/>
      <c r="C167" s="24"/>
      <c r="D167" s="25"/>
      <c r="E167" s="25"/>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61"/>
      <c r="B168" s="23"/>
      <c r="C168" s="24"/>
      <c r="D168" s="25"/>
      <c r="E168" s="25"/>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61"/>
      <c r="B169" s="23"/>
      <c r="C169" s="24"/>
      <c r="D169" s="25"/>
      <c r="E169" s="25"/>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61"/>
      <c r="B170" s="23"/>
      <c r="C170" s="24"/>
      <c r="D170" s="25"/>
      <c r="E170" s="25"/>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61"/>
      <c r="B171" s="23"/>
      <c r="C171" s="24"/>
      <c r="D171" s="25"/>
      <c r="E171" s="25"/>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61"/>
      <c r="B221" s="23"/>
      <c r="C221" s="24"/>
      <c r="D221" s="25"/>
      <c r="E221" s="25"/>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61"/>
      <c r="B222" s="23"/>
      <c r="C222" s="24"/>
      <c r="D222" s="25"/>
      <c r="E222" s="25"/>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61"/>
      <c r="B223" s="23"/>
      <c r="C223" s="24"/>
      <c r="D223" s="25"/>
      <c r="E223" s="25"/>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61"/>
      <c r="B224" s="23"/>
      <c r="C224" s="24"/>
      <c r="D224" s="25"/>
      <c r="E224" s="25"/>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61"/>
      <c r="B225" s="23"/>
      <c r="C225" s="24"/>
      <c r="D225" s="25"/>
      <c r="E225" s="25"/>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61"/>
      <c r="B226" s="23"/>
      <c r="C226" s="24"/>
      <c r="D226" s="25"/>
      <c r="E226" s="25"/>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61"/>
      <c r="B227" s="23"/>
      <c r="C227" s="24"/>
      <c r="D227" s="25"/>
      <c r="E227" s="25"/>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61"/>
      <c r="B228" s="23"/>
      <c r="C228" s="24"/>
      <c r="D228" s="25"/>
      <c r="E228" s="25"/>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61"/>
      <c r="B229" s="23"/>
      <c r="C229" s="24"/>
      <c r="D229" s="25"/>
      <c r="E229" s="25"/>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61"/>
      <c r="B230" s="23"/>
      <c r="C230" s="24"/>
      <c r="D230" s="25"/>
      <c r="E230" s="25"/>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61"/>
      <c r="B231" s="23"/>
      <c r="C231" s="24"/>
      <c r="D231" s="25"/>
      <c r="E231" s="25"/>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61"/>
      <c r="B232" s="23"/>
      <c r="C232" s="24"/>
      <c r="D232" s="25"/>
      <c r="E232" s="25"/>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61"/>
      <c r="B233" s="23"/>
      <c r="C233" s="24"/>
      <c r="D233" s="25"/>
      <c r="E233" s="25"/>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61"/>
      <c r="B234" s="23"/>
      <c r="C234" s="24"/>
      <c r="D234" s="25"/>
      <c r="E234" s="25"/>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61"/>
      <c r="B235" s="23"/>
      <c r="C235" s="24"/>
      <c r="D235" s="25"/>
      <c r="E235" s="25"/>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61"/>
      <c r="B236" s="23"/>
      <c r="C236" s="24"/>
      <c r="D236" s="25"/>
      <c r="E236" s="25"/>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61"/>
      <c r="B237" s="23"/>
      <c r="C237" s="24"/>
      <c r="D237" s="25"/>
      <c r="E237" s="25"/>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61"/>
      <c r="B238" s="23"/>
      <c r="C238" s="24"/>
      <c r="D238" s="25"/>
      <c r="E238" s="25"/>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61"/>
      <c r="B239" s="23"/>
      <c r="C239" s="24"/>
      <c r="D239" s="25"/>
      <c r="E239" s="25"/>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61"/>
      <c r="B240" s="23"/>
      <c r="C240" s="24"/>
      <c r="D240" s="25"/>
      <c r="E240" s="25"/>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61"/>
      <c r="B241" s="23"/>
      <c r="C241" s="24"/>
      <c r="D241" s="25"/>
      <c r="E241" s="25"/>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61"/>
      <c r="B242" s="23"/>
      <c r="C242" s="24"/>
      <c r="D242" s="25"/>
      <c r="E242" s="25"/>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61"/>
      <c r="B243" s="23"/>
      <c r="C243" s="24"/>
      <c r="D243" s="25"/>
      <c r="E243" s="25"/>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61"/>
      <c r="B244" s="23"/>
      <c r="C244" s="24"/>
      <c r="D244" s="25"/>
      <c r="E244" s="25"/>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61"/>
      <c r="B245" s="23"/>
      <c r="C245" s="24"/>
      <c r="D245" s="25"/>
      <c r="E245" s="25"/>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
    <mergeCell ref="A44:B44"/>
    <mergeCell ref="A45:B45"/>
    <mergeCell ref="C45:D45"/>
    <mergeCell ref="A1:A2"/>
    <mergeCell ref="B1:F1"/>
    <mergeCell ref="C3:C7"/>
    <mergeCell ref="F3:F18"/>
    <mergeCell ref="C8:C12"/>
    <mergeCell ref="C13:C15"/>
    <mergeCell ref="A43:B43"/>
  </mergeCells>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defaultColWidth="14.42578125" defaultRowHeight="15" customHeight="1" x14ac:dyDescent="0.25"/>
  <cols>
    <col min="1" max="1" width="8.140625" customWidth="1"/>
    <col min="2" max="2" width="33.140625" customWidth="1"/>
    <col min="3" max="3" width="20" customWidth="1"/>
    <col min="4" max="4" width="44.42578125" customWidth="1"/>
    <col min="5" max="6" width="38.85546875" customWidth="1"/>
    <col min="7" max="7" width="32.85546875" customWidth="1"/>
    <col min="8" max="8" width="19.42578125" customWidth="1"/>
    <col min="9" max="9" width="39.5703125" customWidth="1"/>
    <col min="10" max="26" width="8.85546875" customWidth="1"/>
  </cols>
  <sheetData>
    <row r="1" spans="1:26" ht="31.5" customHeight="1" x14ac:dyDescent="0.3">
      <c r="A1" s="306" t="s">
        <v>0</v>
      </c>
      <c r="B1" s="307" t="s">
        <v>1</v>
      </c>
      <c r="C1" s="296"/>
      <c r="D1" s="296"/>
      <c r="E1" s="296"/>
      <c r="F1" s="297"/>
      <c r="G1" s="133"/>
      <c r="H1" s="133"/>
      <c r="I1" s="133"/>
      <c r="J1" s="133"/>
      <c r="K1" s="133"/>
      <c r="L1" s="133"/>
      <c r="M1" s="133"/>
      <c r="N1" s="133"/>
      <c r="O1" s="133"/>
      <c r="P1" s="133"/>
      <c r="Q1" s="133"/>
      <c r="R1" s="133"/>
      <c r="S1" s="133"/>
      <c r="T1" s="133"/>
      <c r="U1" s="133"/>
      <c r="V1" s="133"/>
      <c r="W1" s="133"/>
      <c r="X1" s="133"/>
      <c r="Y1" s="133"/>
      <c r="Z1" s="133"/>
    </row>
    <row r="2" spans="1:26" ht="18" customHeight="1" x14ac:dyDescent="0.3">
      <c r="A2" s="294"/>
      <c r="B2" s="134" t="s">
        <v>2</v>
      </c>
      <c r="C2" s="135" t="s">
        <v>3</v>
      </c>
      <c r="D2" s="136" t="s">
        <v>4</v>
      </c>
      <c r="E2" s="137" t="s">
        <v>5</v>
      </c>
      <c r="F2" s="138" t="s">
        <v>6</v>
      </c>
      <c r="G2" s="139"/>
      <c r="H2" s="139"/>
      <c r="I2" s="139"/>
      <c r="J2" s="139"/>
      <c r="K2" s="139"/>
      <c r="L2" s="139"/>
      <c r="M2" s="139"/>
      <c r="N2" s="139"/>
      <c r="O2" s="139"/>
      <c r="P2" s="139"/>
      <c r="Q2" s="139"/>
      <c r="R2" s="139"/>
      <c r="S2" s="139"/>
      <c r="T2" s="139"/>
      <c r="U2" s="139"/>
      <c r="V2" s="139"/>
      <c r="W2" s="139"/>
      <c r="X2" s="139"/>
      <c r="Y2" s="139"/>
      <c r="Z2" s="139"/>
    </row>
    <row r="3" spans="1:26" ht="18.75" customHeight="1" x14ac:dyDescent="0.3">
      <c r="A3" s="137">
        <v>1</v>
      </c>
      <c r="B3" s="140" t="s">
        <v>7</v>
      </c>
      <c r="C3" s="308" t="s">
        <v>245</v>
      </c>
      <c r="D3" s="141">
        <v>58590</v>
      </c>
      <c r="E3" s="142">
        <v>20551</v>
      </c>
      <c r="F3" s="309" t="s">
        <v>246</v>
      </c>
      <c r="G3" s="133"/>
      <c r="H3" s="133"/>
      <c r="I3" s="133"/>
      <c r="J3" s="133"/>
      <c r="K3" s="133"/>
      <c r="L3" s="133"/>
      <c r="M3" s="133"/>
      <c r="N3" s="133"/>
      <c r="O3" s="133"/>
      <c r="P3" s="133"/>
      <c r="Q3" s="133"/>
      <c r="R3" s="133"/>
      <c r="S3" s="133"/>
      <c r="T3" s="133"/>
      <c r="U3" s="133"/>
      <c r="V3" s="133"/>
      <c r="W3" s="133"/>
      <c r="X3" s="133"/>
      <c r="Y3" s="133"/>
      <c r="Z3" s="133"/>
    </row>
    <row r="4" spans="1:26" ht="21" customHeight="1" x14ac:dyDescent="0.3">
      <c r="A4" s="137">
        <v>2</v>
      </c>
      <c r="B4" s="140" t="s">
        <v>11</v>
      </c>
      <c r="C4" s="277"/>
      <c r="D4" s="143">
        <v>8</v>
      </c>
      <c r="E4" s="144">
        <v>2</v>
      </c>
      <c r="F4" s="300"/>
      <c r="G4" s="133"/>
      <c r="H4" s="133"/>
      <c r="I4" s="133"/>
      <c r="J4" s="133"/>
      <c r="K4" s="133"/>
      <c r="L4" s="133"/>
      <c r="M4" s="133"/>
      <c r="N4" s="133"/>
      <c r="O4" s="133"/>
      <c r="P4" s="133"/>
      <c r="Q4" s="133"/>
      <c r="R4" s="133"/>
      <c r="S4" s="133"/>
      <c r="T4" s="133"/>
      <c r="U4" s="133"/>
      <c r="V4" s="133"/>
      <c r="W4" s="133"/>
      <c r="X4" s="133"/>
      <c r="Y4" s="133"/>
      <c r="Z4" s="133"/>
    </row>
    <row r="5" spans="1:26" ht="19.5" customHeight="1" x14ac:dyDescent="0.3">
      <c r="A5" s="137">
        <v>3</v>
      </c>
      <c r="B5" s="140" t="s">
        <v>12</v>
      </c>
      <c r="C5" s="277"/>
      <c r="D5" s="145">
        <v>7324</v>
      </c>
      <c r="E5" s="146">
        <v>10275</v>
      </c>
      <c r="F5" s="300"/>
      <c r="G5" s="133"/>
      <c r="H5" s="133"/>
      <c r="I5" s="133"/>
      <c r="J5" s="133"/>
      <c r="K5" s="133"/>
      <c r="L5" s="133"/>
      <c r="M5" s="133"/>
      <c r="N5" s="133"/>
      <c r="O5" s="133"/>
      <c r="P5" s="133"/>
      <c r="Q5" s="133"/>
      <c r="R5" s="133"/>
      <c r="S5" s="133"/>
      <c r="T5" s="133"/>
      <c r="U5" s="133"/>
      <c r="V5" s="133"/>
      <c r="W5" s="133"/>
      <c r="X5" s="133"/>
      <c r="Y5" s="133"/>
      <c r="Z5" s="133"/>
    </row>
    <row r="6" spans="1:26" ht="29.25" customHeight="1" x14ac:dyDescent="0.3">
      <c r="A6" s="137">
        <v>4</v>
      </c>
      <c r="B6" s="140" t="s">
        <v>13</v>
      </c>
      <c r="C6" s="277"/>
      <c r="D6" s="147">
        <v>0</v>
      </c>
      <c r="E6" s="148">
        <v>0</v>
      </c>
      <c r="F6" s="300"/>
      <c r="G6" s="133"/>
      <c r="H6" s="133"/>
      <c r="I6" s="133"/>
      <c r="J6" s="133"/>
      <c r="K6" s="133"/>
      <c r="L6" s="133"/>
      <c r="M6" s="133"/>
      <c r="N6" s="133"/>
      <c r="O6" s="133"/>
      <c r="P6" s="133"/>
      <c r="Q6" s="133"/>
      <c r="R6" s="133"/>
      <c r="S6" s="133"/>
      <c r="T6" s="133"/>
      <c r="U6" s="133"/>
      <c r="V6" s="133"/>
      <c r="W6" s="133"/>
      <c r="X6" s="133"/>
      <c r="Y6" s="133"/>
      <c r="Z6" s="133"/>
    </row>
    <row r="7" spans="1:26" ht="36.75" customHeight="1" x14ac:dyDescent="0.3">
      <c r="A7" s="137">
        <v>5</v>
      </c>
      <c r="B7" s="149" t="s">
        <v>14</v>
      </c>
      <c r="C7" s="272"/>
      <c r="D7" s="150">
        <v>0</v>
      </c>
      <c r="E7" s="151">
        <v>0</v>
      </c>
      <c r="F7" s="300"/>
      <c r="G7" s="133"/>
      <c r="H7" s="133"/>
      <c r="I7" s="133"/>
      <c r="J7" s="133"/>
      <c r="K7" s="133"/>
      <c r="L7" s="133"/>
      <c r="M7" s="133"/>
      <c r="N7" s="133"/>
      <c r="O7" s="133"/>
      <c r="P7" s="133"/>
      <c r="Q7" s="133"/>
      <c r="R7" s="133"/>
      <c r="S7" s="133"/>
      <c r="T7" s="133"/>
      <c r="U7" s="133"/>
      <c r="V7" s="133"/>
      <c r="W7" s="133"/>
      <c r="X7" s="133"/>
      <c r="Y7" s="133"/>
      <c r="Z7" s="133"/>
    </row>
    <row r="8" spans="1:26" ht="72" customHeight="1" x14ac:dyDescent="0.3">
      <c r="A8" s="137">
        <v>6</v>
      </c>
      <c r="B8" s="152" t="s">
        <v>208</v>
      </c>
      <c r="C8" s="308" t="s">
        <v>247</v>
      </c>
      <c r="D8" s="153" t="s">
        <v>248</v>
      </c>
      <c r="E8" s="154" t="s">
        <v>249</v>
      </c>
      <c r="F8" s="300"/>
      <c r="G8" s="133"/>
      <c r="H8" s="133"/>
      <c r="I8" s="133"/>
      <c r="J8" s="133"/>
      <c r="K8" s="133"/>
      <c r="L8" s="133"/>
      <c r="M8" s="133"/>
      <c r="N8" s="133"/>
      <c r="O8" s="133"/>
      <c r="P8" s="133"/>
      <c r="Q8" s="133"/>
      <c r="R8" s="133"/>
      <c r="S8" s="133"/>
      <c r="T8" s="133"/>
      <c r="U8" s="133"/>
      <c r="V8" s="133"/>
      <c r="W8" s="133"/>
      <c r="X8" s="133"/>
      <c r="Y8" s="133"/>
      <c r="Z8" s="133"/>
    </row>
    <row r="9" spans="1:26" ht="57" customHeight="1" x14ac:dyDescent="0.3">
      <c r="A9" s="137">
        <v>7</v>
      </c>
      <c r="B9" s="149" t="s">
        <v>18</v>
      </c>
      <c r="C9" s="277"/>
      <c r="D9" s="155">
        <v>0</v>
      </c>
      <c r="E9" s="156">
        <v>0</v>
      </c>
      <c r="F9" s="300"/>
      <c r="G9" s="133"/>
      <c r="H9" s="133"/>
      <c r="I9" s="133"/>
      <c r="J9" s="133"/>
      <c r="K9" s="133"/>
      <c r="L9" s="133"/>
      <c r="M9" s="133"/>
      <c r="N9" s="133"/>
      <c r="O9" s="133"/>
      <c r="P9" s="133"/>
      <c r="Q9" s="133"/>
      <c r="R9" s="133"/>
      <c r="S9" s="133"/>
      <c r="T9" s="133"/>
      <c r="U9" s="133"/>
      <c r="V9" s="133"/>
      <c r="W9" s="133"/>
      <c r="X9" s="133"/>
      <c r="Y9" s="133"/>
      <c r="Z9" s="133"/>
    </row>
    <row r="10" spans="1:26" ht="43.5" customHeight="1" x14ac:dyDescent="0.3">
      <c r="A10" s="137">
        <v>8</v>
      </c>
      <c r="B10" s="140" t="s">
        <v>19</v>
      </c>
      <c r="C10" s="277"/>
      <c r="D10" s="155">
        <v>0</v>
      </c>
      <c r="E10" s="157">
        <v>0</v>
      </c>
      <c r="F10" s="300"/>
      <c r="G10" s="133"/>
      <c r="H10" s="133"/>
      <c r="I10" s="133"/>
      <c r="J10" s="133"/>
      <c r="K10" s="133"/>
      <c r="L10" s="133"/>
      <c r="M10" s="133"/>
      <c r="N10" s="133"/>
      <c r="O10" s="133"/>
      <c r="P10" s="133"/>
      <c r="Q10" s="133"/>
      <c r="R10" s="133"/>
      <c r="S10" s="133"/>
      <c r="T10" s="133"/>
      <c r="U10" s="133"/>
      <c r="V10" s="133"/>
      <c r="W10" s="133"/>
      <c r="X10" s="133"/>
      <c r="Y10" s="133"/>
      <c r="Z10" s="133"/>
    </row>
    <row r="11" spans="1:26" ht="90.75" customHeight="1" x14ac:dyDescent="0.3">
      <c r="A11" s="137">
        <v>9</v>
      </c>
      <c r="B11" s="140" t="s">
        <v>20</v>
      </c>
      <c r="C11" s="277"/>
      <c r="D11" s="158" t="s">
        <v>212</v>
      </c>
      <c r="E11" s="159" t="s">
        <v>213</v>
      </c>
      <c r="F11" s="300"/>
      <c r="G11" s="133"/>
      <c r="H11" s="133"/>
      <c r="I11" s="133"/>
      <c r="J11" s="133"/>
      <c r="K11" s="133"/>
      <c r="L11" s="133"/>
      <c r="M11" s="133"/>
      <c r="N11" s="133"/>
      <c r="O11" s="133"/>
      <c r="P11" s="133"/>
      <c r="Q11" s="133"/>
      <c r="R11" s="133"/>
      <c r="S11" s="133"/>
      <c r="T11" s="133"/>
      <c r="U11" s="133"/>
      <c r="V11" s="133"/>
      <c r="W11" s="133"/>
      <c r="X11" s="133"/>
      <c r="Y11" s="133"/>
      <c r="Z11" s="133"/>
    </row>
    <row r="12" spans="1:26" ht="63" customHeight="1" x14ac:dyDescent="0.3">
      <c r="A12" s="137">
        <v>10</v>
      </c>
      <c r="B12" s="140" t="s">
        <v>24</v>
      </c>
      <c r="C12" s="272"/>
      <c r="D12" s="158" t="s">
        <v>250</v>
      </c>
      <c r="E12" s="160" t="s">
        <v>251</v>
      </c>
      <c r="F12" s="300"/>
      <c r="G12" s="133"/>
      <c r="H12" s="133"/>
      <c r="I12" s="133"/>
      <c r="J12" s="133"/>
      <c r="K12" s="133"/>
      <c r="L12" s="133"/>
      <c r="M12" s="133"/>
      <c r="N12" s="133"/>
      <c r="O12" s="133"/>
      <c r="P12" s="133"/>
      <c r="Q12" s="133"/>
      <c r="R12" s="133"/>
      <c r="S12" s="133"/>
      <c r="T12" s="133"/>
      <c r="U12" s="133"/>
      <c r="V12" s="133"/>
      <c r="W12" s="133"/>
      <c r="X12" s="133"/>
      <c r="Y12" s="133"/>
      <c r="Z12" s="133"/>
    </row>
    <row r="13" spans="1:26" ht="105" customHeight="1" x14ac:dyDescent="0.3">
      <c r="A13" s="137">
        <v>11</v>
      </c>
      <c r="B13" s="140" t="s">
        <v>27</v>
      </c>
      <c r="C13" s="310"/>
      <c r="D13" s="161" t="s">
        <v>252</v>
      </c>
      <c r="E13" s="159" t="s">
        <v>253</v>
      </c>
      <c r="F13" s="300"/>
      <c r="G13" s="133"/>
      <c r="H13" s="133"/>
      <c r="I13" s="133"/>
      <c r="J13" s="133"/>
      <c r="K13" s="133"/>
      <c r="L13" s="133"/>
      <c r="M13" s="133"/>
      <c r="N13" s="133"/>
      <c r="O13" s="133"/>
      <c r="P13" s="133"/>
      <c r="Q13" s="133"/>
      <c r="R13" s="133"/>
      <c r="S13" s="133"/>
      <c r="T13" s="133"/>
      <c r="U13" s="133"/>
      <c r="V13" s="133"/>
      <c r="W13" s="133"/>
      <c r="X13" s="133"/>
      <c r="Y13" s="133"/>
      <c r="Z13" s="133"/>
    </row>
    <row r="14" spans="1:26" ht="52.5" customHeight="1" x14ac:dyDescent="0.3">
      <c r="A14" s="137">
        <v>12</v>
      </c>
      <c r="B14" s="149" t="s">
        <v>30</v>
      </c>
      <c r="C14" s="277"/>
      <c r="D14" s="162" t="s">
        <v>254</v>
      </c>
      <c r="E14" s="163">
        <v>1</v>
      </c>
      <c r="F14" s="300"/>
      <c r="G14" s="133"/>
      <c r="H14" s="133"/>
      <c r="I14" s="133"/>
      <c r="J14" s="133"/>
      <c r="K14" s="133"/>
      <c r="L14" s="133"/>
      <c r="M14" s="133"/>
      <c r="N14" s="133"/>
      <c r="O14" s="133"/>
      <c r="P14" s="133"/>
      <c r="Q14" s="133"/>
      <c r="R14" s="133"/>
      <c r="S14" s="133"/>
      <c r="T14" s="133"/>
      <c r="U14" s="133"/>
      <c r="V14" s="133"/>
      <c r="W14" s="133"/>
      <c r="X14" s="133"/>
      <c r="Y14" s="133"/>
      <c r="Z14" s="133"/>
    </row>
    <row r="15" spans="1:26" ht="81.75" customHeight="1" x14ac:dyDescent="0.3">
      <c r="A15" s="137">
        <v>13</v>
      </c>
      <c r="B15" s="140" t="s">
        <v>32</v>
      </c>
      <c r="C15" s="272"/>
      <c r="D15" s="161" t="s">
        <v>255</v>
      </c>
      <c r="E15" s="159" t="s">
        <v>256</v>
      </c>
      <c r="F15" s="300"/>
      <c r="G15" s="133"/>
      <c r="H15" s="133"/>
      <c r="I15" s="133"/>
      <c r="J15" s="133"/>
      <c r="K15" s="133"/>
      <c r="L15" s="133"/>
      <c r="M15" s="133"/>
      <c r="N15" s="133"/>
      <c r="O15" s="133"/>
      <c r="P15" s="133"/>
      <c r="Q15" s="133"/>
      <c r="R15" s="133"/>
      <c r="S15" s="133"/>
      <c r="T15" s="133"/>
      <c r="U15" s="133"/>
      <c r="V15" s="133"/>
      <c r="W15" s="133"/>
      <c r="X15" s="133"/>
      <c r="Y15" s="133"/>
      <c r="Z15" s="133"/>
    </row>
    <row r="16" spans="1:26" ht="97.5" customHeight="1" x14ac:dyDescent="0.3">
      <c r="A16" s="137">
        <v>14</v>
      </c>
      <c r="B16" s="149" t="s">
        <v>35</v>
      </c>
      <c r="C16" s="164"/>
      <c r="D16" s="165" t="s">
        <v>257</v>
      </c>
      <c r="E16" s="166" t="s">
        <v>258</v>
      </c>
      <c r="F16" s="300"/>
      <c r="G16" s="133"/>
      <c r="H16" s="133"/>
      <c r="I16" s="133"/>
      <c r="J16" s="133"/>
      <c r="K16" s="133"/>
      <c r="L16" s="133"/>
      <c r="M16" s="133"/>
      <c r="N16" s="133"/>
      <c r="O16" s="133"/>
      <c r="P16" s="133"/>
      <c r="Q16" s="133"/>
      <c r="R16" s="133"/>
      <c r="S16" s="133"/>
      <c r="T16" s="133"/>
      <c r="U16" s="133"/>
      <c r="V16" s="133"/>
      <c r="W16" s="133"/>
      <c r="X16" s="133"/>
      <c r="Y16" s="133"/>
      <c r="Z16" s="133"/>
    </row>
    <row r="17" spans="1:26" ht="90.75" customHeight="1" x14ac:dyDescent="0.3">
      <c r="A17" s="137">
        <v>15</v>
      </c>
      <c r="B17" s="140" t="s">
        <v>38</v>
      </c>
      <c r="C17" s="140"/>
      <c r="D17" s="167" t="s">
        <v>259</v>
      </c>
      <c r="E17" s="168" t="s">
        <v>260</v>
      </c>
      <c r="F17" s="300"/>
      <c r="G17" s="133"/>
      <c r="H17" s="133"/>
      <c r="I17" s="133"/>
      <c r="J17" s="133"/>
      <c r="K17" s="133"/>
      <c r="L17" s="133"/>
      <c r="M17" s="133"/>
      <c r="N17" s="133"/>
      <c r="O17" s="133"/>
      <c r="P17" s="133"/>
      <c r="Q17" s="133"/>
      <c r="R17" s="133"/>
      <c r="S17" s="133"/>
      <c r="T17" s="133"/>
      <c r="U17" s="133"/>
      <c r="V17" s="133"/>
      <c r="W17" s="133"/>
      <c r="X17" s="133"/>
      <c r="Y17" s="133"/>
      <c r="Z17" s="133"/>
    </row>
    <row r="18" spans="1:26" ht="133.5" customHeight="1" x14ac:dyDescent="0.3">
      <c r="A18" s="137">
        <v>16</v>
      </c>
      <c r="B18" s="140" t="s">
        <v>41</v>
      </c>
      <c r="C18" s="169"/>
      <c r="D18" s="170" t="s">
        <v>261</v>
      </c>
      <c r="E18" s="171" t="s">
        <v>262</v>
      </c>
      <c r="F18" s="301"/>
      <c r="G18" s="133"/>
      <c r="H18" s="133"/>
      <c r="I18" s="133"/>
      <c r="J18" s="133"/>
      <c r="K18" s="133"/>
      <c r="L18" s="133"/>
      <c r="M18" s="133"/>
      <c r="N18" s="133"/>
      <c r="O18" s="133"/>
      <c r="P18" s="133"/>
      <c r="Q18" s="133"/>
      <c r="R18" s="133"/>
      <c r="S18" s="133"/>
      <c r="T18" s="133"/>
      <c r="U18" s="133"/>
      <c r="V18" s="133"/>
      <c r="W18" s="133"/>
      <c r="X18" s="133"/>
      <c r="Y18" s="133"/>
      <c r="Z18" s="133"/>
    </row>
    <row r="19" spans="1:26" ht="47.25" customHeight="1" x14ac:dyDescent="0.3">
      <c r="A19" s="172"/>
      <c r="B19" s="173"/>
      <c r="C19" s="174"/>
      <c r="D19" s="174"/>
      <c r="E19" s="133"/>
      <c r="F19" s="133"/>
      <c r="G19" s="133"/>
      <c r="H19" s="133"/>
      <c r="I19" s="133"/>
      <c r="J19" s="133"/>
      <c r="K19" s="133"/>
      <c r="L19" s="133"/>
      <c r="M19" s="133"/>
      <c r="N19" s="133"/>
      <c r="O19" s="133"/>
      <c r="P19" s="133"/>
      <c r="Q19" s="133"/>
      <c r="R19" s="133"/>
      <c r="S19" s="133"/>
      <c r="T19" s="133"/>
      <c r="U19" s="133"/>
      <c r="V19" s="133"/>
      <c r="W19" s="133"/>
      <c r="X19" s="133"/>
      <c r="Y19" s="133"/>
      <c r="Z19" s="133"/>
    </row>
    <row r="20" spans="1:26" ht="44.25" customHeight="1" x14ac:dyDescent="0.3">
      <c r="A20" s="175"/>
      <c r="B20" s="175" t="s">
        <v>43</v>
      </c>
      <c r="C20" s="176"/>
      <c r="D20" s="176"/>
      <c r="E20" s="176"/>
      <c r="F20" s="176"/>
      <c r="G20" s="176"/>
      <c r="H20" s="176"/>
      <c r="I20" s="176"/>
      <c r="J20" s="133"/>
      <c r="K20" s="133"/>
      <c r="L20" s="133"/>
      <c r="M20" s="133"/>
      <c r="N20" s="133"/>
      <c r="O20" s="133"/>
      <c r="P20" s="133"/>
      <c r="Q20" s="133"/>
      <c r="R20" s="133"/>
      <c r="S20" s="133"/>
      <c r="T20" s="133"/>
      <c r="U20" s="133"/>
      <c r="V20" s="133"/>
      <c r="W20" s="133"/>
      <c r="X20" s="133"/>
      <c r="Y20" s="133"/>
      <c r="Z20" s="133"/>
    </row>
    <row r="21" spans="1:26" ht="36" customHeight="1" x14ac:dyDescent="0.3">
      <c r="A21" s="177" t="s">
        <v>44</v>
      </c>
      <c r="B21" s="178" t="s">
        <v>45</v>
      </c>
      <c r="C21" s="177" t="s">
        <v>46</v>
      </c>
      <c r="D21" s="177" t="s">
        <v>47</v>
      </c>
      <c r="E21" s="177" t="s">
        <v>48</v>
      </c>
      <c r="F21" s="177" t="s">
        <v>49</v>
      </c>
      <c r="G21" s="177" t="s">
        <v>50</v>
      </c>
      <c r="H21" s="179" t="s">
        <v>51</v>
      </c>
      <c r="I21" s="180" t="s">
        <v>52</v>
      </c>
      <c r="J21" s="133"/>
      <c r="K21" s="133"/>
      <c r="L21" s="133"/>
      <c r="M21" s="133"/>
      <c r="N21" s="133"/>
      <c r="O21" s="133"/>
      <c r="P21" s="133"/>
      <c r="Q21" s="133"/>
      <c r="R21" s="133"/>
      <c r="S21" s="133"/>
      <c r="T21" s="133"/>
      <c r="U21" s="133"/>
      <c r="V21" s="133"/>
      <c r="W21" s="133"/>
      <c r="X21" s="133"/>
      <c r="Y21" s="133"/>
      <c r="Z21" s="133"/>
    </row>
    <row r="22" spans="1:26" ht="18" customHeight="1" x14ac:dyDescent="0.3">
      <c r="A22" s="181">
        <v>46118</v>
      </c>
      <c r="B22" s="182" t="s">
        <v>53</v>
      </c>
      <c r="C22" s="183">
        <v>1</v>
      </c>
      <c r="D22" s="182">
        <v>19400</v>
      </c>
      <c r="E22" s="183">
        <v>2220</v>
      </c>
      <c r="F22" s="183" t="s">
        <v>263</v>
      </c>
      <c r="G22" s="183" t="s">
        <v>264</v>
      </c>
      <c r="H22" s="184"/>
      <c r="I22" s="185" t="s">
        <v>265</v>
      </c>
      <c r="J22" s="133"/>
      <c r="K22" s="133"/>
      <c r="L22" s="133"/>
      <c r="M22" s="133"/>
      <c r="N22" s="133"/>
      <c r="O22" s="133"/>
      <c r="P22" s="133"/>
      <c r="Q22" s="133"/>
      <c r="R22" s="133"/>
      <c r="S22" s="133"/>
      <c r="T22" s="133"/>
      <c r="U22" s="133"/>
      <c r="V22" s="133"/>
      <c r="W22" s="133"/>
      <c r="X22" s="133"/>
      <c r="Y22" s="133"/>
      <c r="Z22" s="133"/>
    </row>
    <row r="23" spans="1:26" ht="18" customHeight="1" x14ac:dyDescent="0.3">
      <c r="A23" s="181">
        <v>46119</v>
      </c>
      <c r="B23" s="182" t="s">
        <v>58</v>
      </c>
      <c r="C23" s="183"/>
      <c r="D23" s="182"/>
      <c r="E23" s="183"/>
      <c r="F23" s="183"/>
      <c r="G23" s="183"/>
      <c r="H23" s="184"/>
      <c r="I23" s="185"/>
      <c r="J23" s="133"/>
      <c r="K23" s="133"/>
      <c r="L23" s="133"/>
      <c r="M23" s="133"/>
      <c r="N23" s="133"/>
      <c r="O23" s="133"/>
      <c r="P23" s="133"/>
      <c r="Q23" s="133"/>
      <c r="R23" s="133"/>
      <c r="S23" s="133"/>
      <c r="T23" s="133"/>
      <c r="U23" s="133"/>
      <c r="V23" s="133"/>
      <c r="W23" s="133"/>
      <c r="X23" s="133"/>
      <c r="Y23" s="133"/>
      <c r="Z23" s="133"/>
    </row>
    <row r="24" spans="1:26" ht="18" customHeight="1" x14ac:dyDescent="0.3">
      <c r="A24" s="181">
        <v>46120</v>
      </c>
      <c r="B24" s="182" t="s">
        <v>62</v>
      </c>
      <c r="C24" s="183"/>
      <c r="D24" s="182"/>
      <c r="E24" s="183"/>
      <c r="F24" s="183"/>
      <c r="G24" s="183"/>
      <c r="H24" s="184"/>
      <c r="I24" s="185"/>
      <c r="J24" s="133"/>
      <c r="K24" s="133"/>
      <c r="L24" s="133"/>
      <c r="M24" s="133"/>
      <c r="N24" s="133"/>
      <c r="O24" s="133"/>
      <c r="P24" s="133"/>
      <c r="Q24" s="133"/>
      <c r="R24" s="133"/>
      <c r="S24" s="133"/>
      <c r="T24" s="133"/>
      <c r="U24" s="133"/>
      <c r="V24" s="133"/>
      <c r="W24" s="133"/>
      <c r="X24" s="133"/>
      <c r="Y24" s="133"/>
      <c r="Z24" s="133"/>
    </row>
    <row r="25" spans="1:26" ht="18" customHeight="1" x14ac:dyDescent="0.3">
      <c r="A25" s="181">
        <v>46121</v>
      </c>
      <c r="B25" s="182" t="s">
        <v>66</v>
      </c>
      <c r="C25" s="183">
        <v>1</v>
      </c>
      <c r="D25" s="182">
        <v>14000</v>
      </c>
      <c r="E25" s="183">
        <v>1500</v>
      </c>
      <c r="F25" s="183" t="s">
        <v>263</v>
      </c>
      <c r="G25" s="183" t="s">
        <v>266</v>
      </c>
      <c r="H25" s="184">
        <v>87079802249</v>
      </c>
      <c r="I25" s="185" t="s">
        <v>265</v>
      </c>
      <c r="J25" s="133"/>
      <c r="K25" s="133"/>
      <c r="L25" s="133"/>
      <c r="M25" s="133"/>
      <c r="N25" s="133"/>
      <c r="O25" s="133"/>
      <c r="P25" s="133"/>
      <c r="Q25" s="133"/>
      <c r="R25" s="133"/>
      <c r="S25" s="133"/>
      <c r="T25" s="133"/>
      <c r="U25" s="133"/>
      <c r="V25" s="133"/>
      <c r="W25" s="133"/>
      <c r="X25" s="133"/>
      <c r="Y25" s="133"/>
      <c r="Z25" s="133"/>
    </row>
    <row r="26" spans="1:26" ht="18" customHeight="1" x14ac:dyDescent="0.3">
      <c r="A26" s="181">
        <v>46122</v>
      </c>
      <c r="B26" s="182" t="s">
        <v>69</v>
      </c>
      <c r="C26" s="183"/>
      <c r="D26" s="182"/>
      <c r="E26" s="183"/>
      <c r="F26" s="183"/>
      <c r="G26" s="183"/>
      <c r="H26" s="184"/>
      <c r="I26" s="186"/>
      <c r="J26" s="133"/>
      <c r="K26" s="133"/>
      <c r="L26" s="133"/>
      <c r="M26" s="133"/>
      <c r="N26" s="133"/>
      <c r="O26" s="133"/>
      <c r="P26" s="133"/>
      <c r="Q26" s="133"/>
      <c r="R26" s="133"/>
      <c r="S26" s="133"/>
      <c r="T26" s="133"/>
      <c r="U26" s="133"/>
      <c r="V26" s="133"/>
      <c r="W26" s="133"/>
      <c r="X26" s="133"/>
      <c r="Y26" s="133"/>
      <c r="Z26" s="133"/>
    </row>
    <row r="27" spans="1:26" ht="18" customHeight="1" x14ac:dyDescent="0.3">
      <c r="A27" s="181">
        <v>46123</v>
      </c>
      <c r="B27" s="182" t="s">
        <v>70</v>
      </c>
      <c r="C27" s="183"/>
      <c r="D27" s="182"/>
      <c r="E27" s="183"/>
      <c r="F27" s="183"/>
      <c r="G27" s="183"/>
      <c r="H27" s="184"/>
      <c r="I27" s="186"/>
      <c r="J27" s="133"/>
      <c r="K27" s="133"/>
      <c r="L27" s="133"/>
      <c r="M27" s="133"/>
      <c r="N27" s="133"/>
      <c r="O27" s="133"/>
      <c r="P27" s="133"/>
      <c r="Q27" s="133"/>
      <c r="R27" s="133"/>
      <c r="S27" s="133"/>
      <c r="T27" s="133"/>
      <c r="U27" s="133"/>
      <c r="V27" s="133"/>
      <c r="W27" s="133"/>
      <c r="X27" s="133"/>
      <c r="Y27" s="133"/>
      <c r="Z27" s="133"/>
    </row>
    <row r="28" spans="1:26" ht="24" customHeight="1" x14ac:dyDescent="0.3">
      <c r="A28" s="181">
        <v>46124</v>
      </c>
      <c r="B28" s="182" t="s">
        <v>71</v>
      </c>
      <c r="C28" s="183">
        <v>3</v>
      </c>
      <c r="D28" s="182">
        <v>38900</v>
      </c>
      <c r="E28" s="183">
        <v>6000</v>
      </c>
      <c r="F28" s="183" t="s">
        <v>267</v>
      </c>
      <c r="G28" s="183" t="s">
        <v>268</v>
      </c>
      <c r="H28" s="184">
        <v>87789285844</v>
      </c>
      <c r="I28" s="185" t="s">
        <v>265</v>
      </c>
      <c r="J28" s="133"/>
      <c r="K28" s="133"/>
      <c r="L28" s="133"/>
      <c r="M28" s="133"/>
      <c r="N28" s="133"/>
      <c r="O28" s="133"/>
      <c r="P28" s="133"/>
      <c r="Q28" s="133"/>
      <c r="R28" s="133"/>
      <c r="S28" s="133"/>
      <c r="T28" s="133"/>
      <c r="U28" s="133"/>
      <c r="V28" s="133"/>
      <c r="W28" s="133"/>
      <c r="X28" s="133"/>
      <c r="Y28" s="133"/>
      <c r="Z28" s="133"/>
    </row>
    <row r="29" spans="1:26" ht="18" customHeight="1" x14ac:dyDescent="0.3">
      <c r="A29" s="187"/>
      <c r="B29" s="182"/>
      <c r="C29" s="183"/>
      <c r="D29" s="182"/>
      <c r="E29" s="183"/>
      <c r="F29" s="183"/>
      <c r="G29" s="183"/>
      <c r="H29" s="184"/>
      <c r="I29" s="185"/>
      <c r="J29" s="133"/>
      <c r="K29" s="133"/>
      <c r="L29" s="133"/>
      <c r="M29" s="133"/>
      <c r="N29" s="133"/>
      <c r="O29" s="133"/>
      <c r="P29" s="133"/>
      <c r="Q29" s="133"/>
      <c r="R29" s="133"/>
      <c r="S29" s="133"/>
      <c r="T29" s="133"/>
      <c r="U29" s="133"/>
      <c r="V29" s="133"/>
      <c r="W29" s="133"/>
      <c r="X29" s="133"/>
      <c r="Y29" s="133"/>
      <c r="Z29" s="133"/>
    </row>
    <row r="30" spans="1:26" ht="18" customHeight="1" x14ac:dyDescent="0.3">
      <c r="A30" s="187"/>
      <c r="B30" s="182"/>
      <c r="C30" s="183"/>
      <c r="D30" s="182"/>
      <c r="E30" s="183"/>
      <c r="F30" s="183"/>
      <c r="G30" s="183"/>
      <c r="H30" s="184"/>
      <c r="I30" s="185"/>
      <c r="J30" s="133"/>
      <c r="K30" s="133"/>
      <c r="L30" s="133"/>
      <c r="M30" s="133"/>
      <c r="N30" s="133"/>
      <c r="O30" s="133"/>
      <c r="P30" s="133"/>
      <c r="Q30" s="133"/>
      <c r="R30" s="133"/>
      <c r="S30" s="133"/>
      <c r="T30" s="133"/>
      <c r="U30" s="133"/>
      <c r="V30" s="133"/>
      <c r="W30" s="133"/>
      <c r="X30" s="133"/>
      <c r="Y30" s="133"/>
      <c r="Z30" s="133"/>
    </row>
    <row r="31" spans="1:26" ht="18" customHeight="1" x14ac:dyDescent="0.3">
      <c r="A31" s="187"/>
      <c r="B31" s="182"/>
      <c r="C31" s="183"/>
      <c r="D31" s="182"/>
      <c r="E31" s="183"/>
      <c r="F31" s="183"/>
      <c r="G31" s="183"/>
      <c r="H31" s="184"/>
      <c r="I31" s="185"/>
      <c r="J31" s="133"/>
      <c r="K31" s="133"/>
      <c r="L31" s="133"/>
      <c r="M31" s="133"/>
      <c r="N31" s="133"/>
      <c r="O31" s="133"/>
      <c r="P31" s="133"/>
      <c r="Q31" s="133"/>
      <c r="R31" s="133"/>
      <c r="S31" s="133"/>
      <c r="T31" s="133"/>
      <c r="U31" s="133"/>
      <c r="V31" s="133"/>
      <c r="W31" s="133"/>
      <c r="X31" s="133"/>
      <c r="Y31" s="133"/>
      <c r="Z31" s="133"/>
    </row>
    <row r="32" spans="1:26" ht="18" customHeight="1" x14ac:dyDescent="0.3">
      <c r="A32" s="187"/>
      <c r="B32" s="182"/>
      <c r="C32" s="183"/>
      <c r="D32" s="182"/>
      <c r="E32" s="183"/>
      <c r="F32" s="183"/>
      <c r="G32" s="183"/>
      <c r="H32" s="184"/>
      <c r="I32" s="186"/>
      <c r="J32" s="133"/>
      <c r="K32" s="133"/>
      <c r="L32" s="133"/>
      <c r="M32" s="133"/>
      <c r="N32" s="133"/>
      <c r="O32" s="133"/>
      <c r="P32" s="133"/>
      <c r="Q32" s="133"/>
      <c r="R32" s="133"/>
      <c r="S32" s="133"/>
      <c r="T32" s="133"/>
      <c r="U32" s="133"/>
      <c r="V32" s="133"/>
      <c r="W32" s="133"/>
      <c r="X32" s="133"/>
      <c r="Y32" s="133"/>
      <c r="Z32" s="133"/>
    </row>
    <row r="33" spans="1:26" ht="18" customHeight="1" x14ac:dyDescent="0.3">
      <c r="A33" s="187"/>
      <c r="B33" s="182"/>
      <c r="C33" s="183"/>
      <c r="D33" s="182"/>
      <c r="E33" s="183"/>
      <c r="F33" s="183"/>
      <c r="G33" s="183"/>
      <c r="H33" s="184"/>
      <c r="I33" s="186"/>
      <c r="J33" s="133"/>
      <c r="K33" s="133"/>
      <c r="L33" s="133"/>
      <c r="M33" s="133"/>
      <c r="N33" s="133"/>
      <c r="O33" s="133"/>
      <c r="P33" s="133"/>
      <c r="Q33" s="133"/>
      <c r="R33" s="133"/>
      <c r="S33" s="133"/>
      <c r="T33" s="133"/>
      <c r="U33" s="133"/>
      <c r="V33" s="133"/>
      <c r="W33" s="133"/>
      <c r="X33" s="133"/>
      <c r="Y33" s="133"/>
      <c r="Z33" s="133"/>
    </row>
    <row r="34" spans="1:26" ht="18" customHeight="1" x14ac:dyDescent="0.3">
      <c r="A34" s="187"/>
      <c r="B34" s="182"/>
      <c r="C34" s="183"/>
      <c r="D34" s="182"/>
      <c r="E34" s="183"/>
      <c r="F34" s="183"/>
      <c r="G34" s="183"/>
      <c r="H34" s="184"/>
      <c r="I34" s="185"/>
      <c r="J34" s="133"/>
      <c r="K34" s="133"/>
      <c r="L34" s="133"/>
      <c r="M34" s="133"/>
      <c r="N34" s="133"/>
      <c r="O34" s="133"/>
      <c r="P34" s="133"/>
      <c r="Q34" s="133"/>
      <c r="R34" s="133"/>
      <c r="S34" s="133"/>
      <c r="T34" s="133"/>
      <c r="U34" s="133"/>
      <c r="V34" s="133"/>
      <c r="W34" s="133"/>
      <c r="X34" s="133"/>
      <c r="Y34" s="133"/>
      <c r="Z34" s="133"/>
    </row>
    <row r="35" spans="1:26" ht="18" customHeight="1" x14ac:dyDescent="0.3">
      <c r="A35" s="187"/>
      <c r="B35" s="188"/>
      <c r="C35" s="183"/>
      <c r="D35" s="182"/>
      <c r="E35" s="183"/>
      <c r="F35" s="183"/>
      <c r="G35" s="183"/>
      <c r="H35" s="184"/>
      <c r="I35" s="186"/>
      <c r="J35" s="133"/>
      <c r="K35" s="133"/>
      <c r="L35" s="133"/>
      <c r="M35" s="133"/>
      <c r="N35" s="133"/>
      <c r="O35" s="133"/>
      <c r="P35" s="133"/>
      <c r="Q35" s="133"/>
      <c r="R35" s="133"/>
      <c r="S35" s="133"/>
      <c r="T35" s="133"/>
      <c r="U35" s="133"/>
      <c r="V35" s="133"/>
      <c r="W35" s="133"/>
      <c r="X35" s="133"/>
      <c r="Y35" s="133"/>
      <c r="Z35" s="133"/>
    </row>
    <row r="36" spans="1:26" ht="18" customHeight="1" x14ac:dyDescent="0.3">
      <c r="A36" s="187"/>
      <c r="B36" s="189"/>
      <c r="C36" s="183"/>
      <c r="D36" s="182"/>
      <c r="E36" s="183"/>
      <c r="F36" s="183"/>
      <c r="G36" s="183"/>
      <c r="H36" s="184"/>
      <c r="I36" s="186"/>
      <c r="J36" s="133"/>
      <c r="K36" s="133"/>
      <c r="L36" s="133"/>
      <c r="M36" s="133"/>
      <c r="N36" s="133"/>
      <c r="O36" s="133"/>
      <c r="P36" s="133"/>
      <c r="Q36" s="133"/>
      <c r="R36" s="133"/>
      <c r="S36" s="133"/>
      <c r="T36" s="133"/>
      <c r="U36" s="133"/>
      <c r="V36" s="133"/>
      <c r="W36" s="133"/>
      <c r="X36" s="133"/>
      <c r="Y36" s="133"/>
      <c r="Z36" s="133"/>
    </row>
    <row r="37" spans="1:26" ht="18" customHeight="1" x14ac:dyDescent="0.3">
      <c r="A37" s="187"/>
      <c r="B37" s="189"/>
      <c r="C37" s="183"/>
      <c r="D37" s="182"/>
      <c r="E37" s="183"/>
      <c r="F37" s="183"/>
      <c r="G37" s="183"/>
      <c r="H37" s="184"/>
      <c r="I37" s="186"/>
      <c r="J37" s="133"/>
      <c r="K37" s="133"/>
      <c r="L37" s="133"/>
      <c r="M37" s="133"/>
      <c r="N37" s="133"/>
      <c r="O37" s="133"/>
      <c r="P37" s="133"/>
      <c r="Q37" s="133"/>
      <c r="R37" s="133"/>
      <c r="S37" s="133"/>
      <c r="T37" s="133"/>
      <c r="U37" s="133"/>
      <c r="V37" s="133"/>
      <c r="W37" s="133"/>
      <c r="X37" s="133"/>
      <c r="Y37" s="133"/>
      <c r="Z37" s="133"/>
    </row>
    <row r="38" spans="1:26" ht="18" customHeight="1" x14ac:dyDescent="0.3">
      <c r="A38" s="190"/>
      <c r="B38" s="189"/>
      <c r="C38" s="183"/>
      <c r="D38" s="182"/>
      <c r="E38" s="183"/>
      <c r="F38" s="183"/>
      <c r="G38" s="183"/>
      <c r="H38" s="184"/>
      <c r="I38" s="191"/>
      <c r="J38" s="133"/>
      <c r="K38" s="133"/>
      <c r="L38" s="133"/>
      <c r="M38" s="133"/>
      <c r="N38" s="133"/>
      <c r="O38" s="133"/>
      <c r="P38" s="133"/>
      <c r="Q38" s="133"/>
      <c r="R38" s="133"/>
      <c r="S38" s="133"/>
      <c r="T38" s="133"/>
      <c r="U38" s="133"/>
      <c r="V38" s="133"/>
      <c r="W38" s="133"/>
      <c r="X38" s="133"/>
      <c r="Y38" s="133"/>
      <c r="Z38" s="133"/>
    </row>
    <row r="39" spans="1:26" ht="18" customHeight="1" x14ac:dyDescent="0.3">
      <c r="A39" s="190"/>
      <c r="B39" s="189"/>
      <c r="C39" s="183"/>
      <c r="D39" s="182"/>
      <c r="E39" s="183"/>
      <c r="F39" s="183"/>
      <c r="G39" s="183"/>
      <c r="H39" s="184"/>
      <c r="I39" s="191"/>
      <c r="J39" s="133"/>
      <c r="K39" s="133"/>
      <c r="L39" s="133"/>
      <c r="M39" s="133"/>
      <c r="N39" s="133"/>
      <c r="O39" s="133"/>
      <c r="P39" s="133"/>
      <c r="Q39" s="133"/>
      <c r="R39" s="133"/>
      <c r="S39" s="133"/>
      <c r="T39" s="133"/>
      <c r="U39" s="133"/>
      <c r="V39" s="133"/>
      <c r="W39" s="133"/>
      <c r="X39" s="133"/>
      <c r="Y39" s="133"/>
      <c r="Z39" s="133"/>
    </row>
    <row r="40" spans="1:26" ht="18" customHeight="1" x14ac:dyDescent="0.3">
      <c r="A40" s="188"/>
      <c r="B40" s="189"/>
      <c r="C40" s="183"/>
      <c r="D40" s="182"/>
      <c r="E40" s="183"/>
      <c r="F40" s="183"/>
      <c r="G40" s="183"/>
      <c r="H40" s="184"/>
      <c r="I40" s="191"/>
      <c r="J40" s="133"/>
      <c r="K40" s="133"/>
      <c r="L40" s="133"/>
      <c r="M40" s="133"/>
      <c r="N40" s="133"/>
      <c r="O40" s="133"/>
      <c r="P40" s="133"/>
      <c r="Q40" s="133"/>
      <c r="R40" s="133"/>
      <c r="S40" s="133"/>
      <c r="T40" s="133"/>
      <c r="U40" s="133"/>
      <c r="V40" s="133"/>
      <c r="W40" s="133"/>
      <c r="X40" s="133"/>
      <c r="Y40" s="133"/>
      <c r="Z40" s="133"/>
    </row>
    <row r="41" spans="1:26" ht="18" customHeight="1" x14ac:dyDescent="0.3">
      <c r="A41" s="192"/>
      <c r="B41" s="192">
        <f>COUNTA(B22:B40)</f>
        <v>7</v>
      </c>
      <c r="C41" s="192">
        <f t="shared" ref="C41:F41" si="0">SUM(C22:C40)</f>
        <v>5</v>
      </c>
      <c r="D41" s="192">
        <f t="shared" si="0"/>
        <v>72300</v>
      </c>
      <c r="E41" s="192">
        <f t="shared" si="0"/>
        <v>9720</v>
      </c>
      <c r="F41" s="192">
        <f t="shared" si="0"/>
        <v>0</v>
      </c>
      <c r="G41" s="193"/>
      <c r="H41" s="194"/>
      <c r="I41" s="195"/>
      <c r="J41" s="133"/>
      <c r="K41" s="133"/>
      <c r="L41" s="133"/>
      <c r="M41" s="133"/>
      <c r="N41" s="133"/>
      <c r="O41" s="133"/>
      <c r="P41" s="133"/>
      <c r="Q41" s="133"/>
      <c r="R41" s="133"/>
      <c r="S41" s="133"/>
      <c r="T41" s="133"/>
      <c r="U41" s="133"/>
      <c r="V41" s="133"/>
      <c r="W41" s="133"/>
      <c r="X41" s="133"/>
      <c r="Y41" s="133"/>
      <c r="Z41" s="133"/>
    </row>
    <row r="42" spans="1:26" ht="18" customHeight="1" x14ac:dyDescent="0.3">
      <c r="A42" s="172"/>
      <c r="B42" s="173"/>
      <c r="C42" s="174"/>
      <c r="D42" s="174"/>
      <c r="E42" s="133"/>
      <c r="F42" s="133"/>
      <c r="G42" s="133"/>
      <c r="H42" s="133"/>
      <c r="I42" s="133"/>
      <c r="J42" s="133"/>
      <c r="K42" s="133"/>
      <c r="L42" s="133"/>
      <c r="M42" s="133"/>
      <c r="N42" s="133"/>
      <c r="O42" s="133"/>
      <c r="P42" s="133"/>
      <c r="Q42" s="133"/>
      <c r="R42" s="133"/>
      <c r="S42" s="133"/>
      <c r="T42" s="133"/>
      <c r="U42" s="133"/>
      <c r="V42" s="133"/>
      <c r="W42" s="133"/>
      <c r="X42" s="133"/>
      <c r="Y42" s="133"/>
      <c r="Z42" s="133"/>
    </row>
    <row r="43" spans="1:26" ht="18" customHeight="1" x14ac:dyDescent="0.3">
      <c r="A43" s="303" t="s">
        <v>72</v>
      </c>
      <c r="B43" s="270"/>
      <c r="C43" s="174"/>
      <c r="D43" s="174"/>
      <c r="E43" s="133"/>
      <c r="F43" s="133"/>
      <c r="G43" s="133"/>
      <c r="H43" s="133"/>
      <c r="I43" s="133"/>
      <c r="J43" s="133"/>
      <c r="K43" s="133"/>
      <c r="L43" s="133"/>
      <c r="M43" s="133"/>
      <c r="N43" s="133"/>
      <c r="O43" s="133"/>
      <c r="P43" s="133"/>
      <c r="Q43" s="133"/>
      <c r="R43" s="133"/>
      <c r="S43" s="133"/>
      <c r="T43" s="133"/>
      <c r="U43" s="133"/>
      <c r="V43" s="133"/>
      <c r="W43" s="133"/>
      <c r="X43" s="133"/>
      <c r="Y43" s="133"/>
      <c r="Z43" s="133"/>
    </row>
    <row r="44" spans="1:26" ht="18" customHeight="1" x14ac:dyDescent="0.3">
      <c r="A44" s="304" t="s">
        <v>269</v>
      </c>
      <c r="B44" s="305"/>
      <c r="C44" s="196">
        <v>9</v>
      </c>
      <c r="D44" s="197">
        <v>81400</v>
      </c>
      <c r="E44" s="198">
        <v>14120</v>
      </c>
      <c r="F44" s="133"/>
      <c r="G44" s="133"/>
      <c r="H44" s="133"/>
      <c r="I44" s="133"/>
      <c r="J44" s="133"/>
      <c r="K44" s="133"/>
      <c r="L44" s="133"/>
      <c r="M44" s="133"/>
      <c r="N44" s="133"/>
      <c r="O44" s="133"/>
      <c r="P44" s="133"/>
      <c r="Q44" s="133"/>
      <c r="R44" s="133"/>
      <c r="S44" s="133"/>
      <c r="T44" s="133"/>
      <c r="U44" s="133"/>
      <c r="V44" s="133"/>
      <c r="W44" s="133"/>
      <c r="X44" s="133"/>
      <c r="Y44" s="133"/>
      <c r="Z44" s="133"/>
    </row>
    <row r="45" spans="1:26" ht="18" customHeight="1" x14ac:dyDescent="0.3">
      <c r="A45" s="172"/>
      <c r="B45" s="173"/>
      <c r="C45" s="174"/>
      <c r="D45" s="174"/>
      <c r="E45" s="133"/>
      <c r="F45" s="133"/>
      <c r="G45" s="133"/>
      <c r="H45" s="133"/>
      <c r="I45" s="133"/>
      <c r="J45" s="133"/>
      <c r="K45" s="133"/>
      <c r="L45" s="133"/>
      <c r="M45" s="133"/>
      <c r="N45" s="133"/>
      <c r="O45" s="133"/>
      <c r="P45" s="133"/>
      <c r="Q45" s="133"/>
      <c r="R45" s="133"/>
      <c r="S45" s="133"/>
      <c r="T45" s="133"/>
      <c r="U45" s="133"/>
      <c r="V45" s="133"/>
      <c r="W45" s="133"/>
      <c r="X45" s="133"/>
      <c r="Y45" s="133"/>
      <c r="Z45" s="133"/>
    </row>
    <row r="46" spans="1:26" ht="18" customHeight="1" x14ac:dyDescent="0.3">
      <c r="A46" s="172"/>
      <c r="B46" s="173"/>
      <c r="C46" s="174"/>
      <c r="D46" s="174"/>
      <c r="E46" s="133"/>
      <c r="F46" s="133"/>
      <c r="G46" s="133"/>
      <c r="H46" s="133"/>
      <c r="I46" s="133"/>
      <c r="J46" s="133"/>
      <c r="K46" s="133"/>
      <c r="L46" s="133"/>
      <c r="M46" s="133"/>
      <c r="N46" s="133"/>
      <c r="O46" s="133"/>
      <c r="P46" s="133"/>
      <c r="Q46" s="133"/>
      <c r="R46" s="133"/>
      <c r="S46" s="133"/>
      <c r="T46" s="133"/>
      <c r="U46" s="133"/>
      <c r="V46" s="133"/>
      <c r="W46" s="133"/>
      <c r="X46" s="133"/>
      <c r="Y46" s="133"/>
      <c r="Z46" s="133"/>
    </row>
    <row r="47" spans="1:26" ht="18" customHeight="1" x14ac:dyDescent="0.3">
      <c r="A47" s="172"/>
      <c r="B47" s="173"/>
      <c r="C47" s="174"/>
      <c r="D47" s="174"/>
      <c r="E47" s="133"/>
      <c r="F47" s="133"/>
      <c r="G47" s="133"/>
      <c r="H47" s="133"/>
      <c r="I47" s="133"/>
      <c r="J47" s="133"/>
      <c r="K47" s="133"/>
      <c r="L47" s="133"/>
      <c r="M47" s="133"/>
      <c r="N47" s="133"/>
      <c r="O47" s="133"/>
      <c r="P47" s="133"/>
      <c r="Q47" s="133"/>
      <c r="R47" s="133"/>
      <c r="S47" s="133"/>
      <c r="T47" s="133"/>
      <c r="U47" s="133"/>
      <c r="V47" s="133"/>
      <c r="W47" s="133"/>
      <c r="X47" s="133"/>
      <c r="Y47" s="133"/>
      <c r="Z47" s="133"/>
    </row>
    <row r="48" spans="1:26" ht="18" customHeight="1" x14ac:dyDescent="0.3">
      <c r="A48" s="172"/>
      <c r="B48" s="173"/>
      <c r="C48" s="174"/>
      <c r="D48" s="174"/>
      <c r="E48" s="133"/>
      <c r="F48" s="133"/>
      <c r="G48" s="133"/>
      <c r="H48" s="133"/>
      <c r="I48" s="133"/>
      <c r="J48" s="133"/>
      <c r="K48" s="133"/>
      <c r="L48" s="133"/>
      <c r="M48" s="133"/>
      <c r="N48" s="133"/>
      <c r="O48" s="133"/>
      <c r="P48" s="133"/>
      <c r="Q48" s="133"/>
      <c r="R48" s="133"/>
      <c r="S48" s="133"/>
      <c r="T48" s="133"/>
      <c r="U48" s="133"/>
      <c r="V48" s="133"/>
      <c r="W48" s="133"/>
      <c r="X48" s="133"/>
      <c r="Y48" s="133"/>
      <c r="Z48" s="133"/>
    </row>
    <row r="49" spans="1:26" ht="18" customHeight="1" x14ac:dyDescent="0.3">
      <c r="A49" s="172"/>
      <c r="B49" s="173"/>
      <c r="C49" s="174"/>
      <c r="D49" s="174"/>
      <c r="E49" s="133"/>
      <c r="F49" s="133"/>
      <c r="G49" s="133"/>
      <c r="H49" s="133"/>
      <c r="I49" s="133"/>
      <c r="J49" s="133"/>
      <c r="K49" s="133"/>
      <c r="L49" s="133"/>
      <c r="M49" s="133"/>
      <c r="N49" s="133"/>
      <c r="O49" s="133"/>
      <c r="P49" s="133"/>
      <c r="Q49" s="133"/>
      <c r="R49" s="133"/>
      <c r="S49" s="133"/>
      <c r="T49" s="133"/>
      <c r="U49" s="133"/>
      <c r="V49" s="133"/>
      <c r="W49" s="133"/>
      <c r="X49" s="133"/>
      <c r="Y49" s="133"/>
      <c r="Z49" s="133"/>
    </row>
    <row r="50" spans="1:26" ht="18" customHeight="1" x14ac:dyDescent="0.3">
      <c r="A50" s="172"/>
      <c r="B50" s="173"/>
      <c r="C50" s="174"/>
      <c r="D50" s="174"/>
      <c r="E50" s="133"/>
      <c r="F50" s="133"/>
      <c r="G50" s="133"/>
      <c r="H50" s="133"/>
      <c r="I50" s="133"/>
      <c r="J50" s="133"/>
      <c r="K50" s="133"/>
      <c r="L50" s="133"/>
      <c r="M50" s="133"/>
      <c r="N50" s="133"/>
      <c r="O50" s="133"/>
      <c r="P50" s="133"/>
      <c r="Q50" s="133"/>
      <c r="R50" s="133"/>
      <c r="S50" s="133"/>
      <c r="T50" s="133"/>
      <c r="U50" s="133"/>
      <c r="V50" s="133"/>
      <c r="W50" s="133"/>
      <c r="X50" s="133"/>
      <c r="Y50" s="133"/>
      <c r="Z50" s="133"/>
    </row>
    <row r="51" spans="1:26" ht="18" customHeight="1" x14ac:dyDescent="0.3">
      <c r="A51" s="172"/>
      <c r="B51" s="173"/>
      <c r="C51" s="174"/>
      <c r="D51" s="174"/>
      <c r="E51" s="133"/>
      <c r="F51" s="133"/>
      <c r="G51" s="133"/>
      <c r="H51" s="133"/>
      <c r="I51" s="133"/>
      <c r="J51" s="133"/>
      <c r="K51" s="133"/>
      <c r="L51" s="133"/>
      <c r="M51" s="133"/>
      <c r="N51" s="133"/>
      <c r="O51" s="133"/>
      <c r="P51" s="133"/>
      <c r="Q51" s="133"/>
      <c r="R51" s="133"/>
      <c r="S51" s="133"/>
      <c r="T51" s="133"/>
      <c r="U51" s="133"/>
      <c r="V51" s="133"/>
      <c r="W51" s="133"/>
      <c r="X51" s="133"/>
      <c r="Y51" s="133"/>
      <c r="Z51" s="133"/>
    </row>
    <row r="52" spans="1:26" ht="18" customHeight="1" x14ac:dyDescent="0.3">
      <c r="A52" s="172"/>
      <c r="B52" s="173"/>
      <c r="C52" s="174"/>
      <c r="D52" s="174"/>
      <c r="E52" s="133"/>
      <c r="F52" s="133"/>
      <c r="G52" s="133"/>
      <c r="H52" s="133"/>
      <c r="I52" s="133"/>
      <c r="J52" s="133"/>
      <c r="K52" s="133"/>
      <c r="L52" s="133"/>
      <c r="M52" s="133"/>
      <c r="N52" s="133"/>
      <c r="O52" s="133"/>
      <c r="P52" s="133"/>
      <c r="Q52" s="133"/>
      <c r="R52" s="133"/>
      <c r="S52" s="133"/>
      <c r="T52" s="133"/>
      <c r="U52" s="133"/>
      <c r="V52" s="133"/>
      <c r="W52" s="133"/>
      <c r="X52" s="133"/>
      <c r="Y52" s="133"/>
      <c r="Z52" s="133"/>
    </row>
    <row r="53" spans="1:26" ht="18" customHeight="1" x14ac:dyDescent="0.3">
      <c r="A53" s="172"/>
      <c r="B53" s="173"/>
      <c r="C53" s="174"/>
      <c r="D53" s="174"/>
      <c r="E53" s="133"/>
      <c r="F53" s="133"/>
      <c r="G53" s="133"/>
      <c r="H53" s="133"/>
      <c r="I53" s="133"/>
      <c r="J53" s="133"/>
      <c r="K53" s="133"/>
      <c r="L53" s="133"/>
      <c r="M53" s="133"/>
      <c r="N53" s="133"/>
      <c r="O53" s="133"/>
      <c r="P53" s="133"/>
      <c r="Q53" s="133"/>
      <c r="R53" s="133"/>
      <c r="S53" s="133"/>
      <c r="T53" s="133"/>
      <c r="U53" s="133"/>
      <c r="V53" s="133"/>
      <c r="W53" s="133"/>
      <c r="X53" s="133"/>
      <c r="Y53" s="133"/>
      <c r="Z53" s="133"/>
    </row>
    <row r="54" spans="1:26" ht="18" customHeight="1" x14ac:dyDescent="0.3">
      <c r="A54" s="172"/>
      <c r="B54" s="173"/>
      <c r="C54" s="174"/>
      <c r="D54" s="174"/>
      <c r="E54" s="133"/>
      <c r="F54" s="133"/>
      <c r="G54" s="133"/>
      <c r="H54" s="133"/>
      <c r="I54" s="133"/>
      <c r="J54" s="133"/>
      <c r="K54" s="133"/>
      <c r="L54" s="133"/>
      <c r="M54" s="133"/>
      <c r="N54" s="133"/>
      <c r="O54" s="133"/>
      <c r="P54" s="133"/>
      <c r="Q54" s="133"/>
      <c r="R54" s="133"/>
      <c r="S54" s="133"/>
      <c r="T54" s="133"/>
      <c r="U54" s="133"/>
      <c r="V54" s="133"/>
      <c r="W54" s="133"/>
      <c r="X54" s="133"/>
      <c r="Y54" s="133"/>
      <c r="Z54" s="133"/>
    </row>
    <row r="55" spans="1:26" ht="18" customHeight="1" x14ac:dyDescent="0.3">
      <c r="A55" s="172"/>
      <c r="B55" s="173"/>
      <c r="C55" s="174"/>
      <c r="D55" s="174"/>
      <c r="E55" s="133"/>
      <c r="F55" s="133"/>
      <c r="G55" s="133"/>
      <c r="H55" s="133"/>
      <c r="I55" s="133"/>
      <c r="J55" s="133"/>
      <c r="K55" s="133"/>
      <c r="L55" s="133"/>
      <c r="M55" s="133"/>
      <c r="N55" s="133"/>
      <c r="O55" s="133"/>
      <c r="P55" s="133"/>
      <c r="Q55" s="133"/>
      <c r="R55" s="133"/>
      <c r="S55" s="133"/>
      <c r="T55" s="133"/>
      <c r="U55" s="133"/>
      <c r="V55" s="133"/>
      <c r="W55" s="133"/>
      <c r="X55" s="133"/>
      <c r="Y55" s="133"/>
      <c r="Z55" s="133"/>
    </row>
    <row r="56" spans="1:26" ht="18" customHeight="1" x14ac:dyDescent="0.3">
      <c r="A56" s="172"/>
      <c r="B56" s="173"/>
      <c r="C56" s="174"/>
      <c r="D56" s="174"/>
      <c r="E56" s="133"/>
      <c r="F56" s="133"/>
      <c r="G56" s="133"/>
      <c r="H56" s="133"/>
      <c r="I56" s="133"/>
      <c r="J56" s="133"/>
      <c r="K56" s="133"/>
      <c r="L56" s="133"/>
      <c r="M56" s="133"/>
      <c r="N56" s="133"/>
      <c r="O56" s="133"/>
      <c r="P56" s="133"/>
      <c r="Q56" s="133"/>
      <c r="R56" s="133"/>
      <c r="S56" s="133"/>
      <c r="T56" s="133"/>
      <c r="U56" s="133"/>
      <c r="V56" s="133"/>
      <c r="W56" s="133"/>
      <c r="X56" s="133"/>
      <c r="Y56" s="133"/>
      <c r="Z56" s="133"/>
    </row>
    <row r="57" spans="1:26" ht="18" customHeight="1" x14ac:dyDescent="0.3">
      <c r="A57" s="172"/>
      <c r="B57" s="173"/>
      <c r="C57" s="174"/>
      <c r="D57" s="174"/>
      <c r="E57" s="133"/>
      <c r="F57" s="133"/>
      <c r="G57" s="133"/>
      <c r="H57" s="133"/>
      <c r="I57" s="133"/>
      <c r="J57" s="133"/>
      <c r="K57" s="133"/>
      <c r="L57" s="133"/>
      <c r="M57" s="133"/>
      <c r="N57" s="133"/>
      <c r="O57" s="133"/>
      <c r="P57" s="133"/>
      <c r="Q57" s="133"/>
      <c r="R57" s="133"/>
      <c r="S57" s="133"/>
      <c r="T57" s="133"/>
      <c r="U57" s="133"/>
      <c r="V57" s="133"/>
      <c r="W57" s="133"/>
      <c r="X57" s="133"/>
      <c r="Y57" s="133"/>
      <c r="Z57" s="133"/>
    </row>
    <row r="58" spans="1:26" ht="18" customHeight="1" x14ac:dyDescent="0.3">
      <c r="A58" s="172"/>
      <c r="B58" s="173"/>
      <c r="C58" s="174"/>
      <c r="D58" s="174"/>
      <c r="E58" s="133"/>
      <c r="F58" s="133"/>
      <c r="G58" s="133"/>
      <c r="H58" s="133"/>
      <c r="I58" s="133"/>
      <c r="J58" s="133"/>
      <c r="K58" s="133"/>
      <c r="L58" s="133"/>
      <c r="M58" s="133"/>
      <c r="N58" s="133"/>
      <c r="O58" s="133"/>
      <c r="P58" s="133"/>
      <c r="Q58" s="133"/>
      <c r="R58" s="133"/>
      <c r="S58" s="133"/>
      <c r="T58" s="133"/>
      <c r="U58" s="133"/>
      <c r="V58" s="133"/>
      <c r="W58" s="133"/>
      <c r="X58" s="133"/>
      <c r="Y58" s="133"/>
      <c r="Z58" s="133"/>
    </row>
    <row r="59" spans="1:26" ht="18" customHeight="1" x14ac:dyDescent="0.3">
      <c r="A59" s="172"/>
      <c r="B59" s="173"/>
      <c r="C59" s="174"/>
      <c r="D59" s="174"/>
      <c r="E59" s="133"/>
      <c r="F59" s="133"/>
      <c r="G59" s="133"/>
      <c r="H59" s="133"/>
      <c r="I59" s="133"/>
      <c r="J59" s="133"/>
      <c r="K59" s="133"/>
      <c r="L59" s="133"/>
      <c r="M59" s="133"/>
      <c r="N59" s="133"/>
      <c r="O59" s="133"/>
      <c r="P59" s="133"/>
      <c r="Q59" s="133"/>
      <c r="R59" s="133"/>
      <c r="S59" s="133"/>
      <c r="T59" s="133"/>
      <c r="U59" s="133"/>
      <c r="V59" s="133"/>
      <c r="W59" s="133"/>
      <c r="X59" s="133"/>
      <c r="Y59" s="133"/>
      <c r="Z59" s="133"/>
    </row>
    <row r="60" spans="1:26" ht="18" customHeight="1" x14ac:dyDescent="0.3">
      <c r="A60" s="172"/>
      <c r="B60" s="173"/>
      <c r="C60" s="174"/>
      <c r="D60" s="174"/>
      <c r="E60" s="133"/>
      <c r="F60" s="133"/>
      <c r="G60" s="133"/>
      <c r="H60" s="133"/>
      <c r="I60" s="133"/>
      <c r="J60" s="133"/>
      <c r="K60" s="133"/>
      <c r="L60" s="133"/>
      <c r="M60" s="133"/>
      <c r="N60" s="133"/>
      <c r="O60" s="133"/>
      <c r="P60" s="133"/>
      <c r="Q60" s="133"/>
      <c r="R60" s="133"/>
      <c r="S60" s="133"/>
      <c r="T60" s="133"/>
      <c r="U60" s="133"/>
      <c r="V60" s="133"/>
      <c r="W60" s="133"/>
      <c r="X60" s="133"/>
      <c r="Y60" s="133"/>
      <c r="Z60" s="133"/>
    </row>
    <row r="61" spans="1:26" ht="18" customHeight="1" x14ac:dyDescent="0.3">
      <c r="A61" s="172"/>
      <c r="B61" s="173"/>
      <c r="C61" s="174"/>
      <c r="D61" s="174"/>
      <c r="E61" s="133"/>
      <c r="F61" s="133"/>
      <c r="G61" s="133"/>
      <c r="H61" s="133"/>
      <c r="I61" s="133"/>
      <c r="J61" s="133"/>
      <c r="K61" s="133"/>
      <c r="L61" s="133"/>
      <c r="M61" s="133"/>
      <c r="N61" s="133"/>
      <c r="O61" s="133"/>
      <c r="P61" s="133"/>
      <c r="Q61" s="133"/>
      <c r="R61" s="133"/>
      <c r="S61" s="133"/>
      <c r="T61" s="133"/>
      <c r="U61" s="133"/>
      <c r="V61" s="133"/>
      <c r="W61" s="133"/>
      <c r="X61" s="133"/>
      <c r="Y61" s="133"/>
      <c r="Z61" s="133"/>
    </row>
    <row r="62" spans="1:26" ht="18" customHeight="1" x14ac:dyDescent="0.3">
      <c r="A62" s="172"/>
      <c r="B62" s="173"/>
      <c r="C62" s="174"/>
      <c r="D62" s="174"/>
      <c r="E62" s="133"/>
      <c r="F62" s="133"/>
      <c r="G62" s="133"/>
      <c r="H62" s="133"/>
      <c r="I62" s="133"/>
      <c r="J62" s="133"/>
      <c r="K62" s="133"/>
      <c r="L62" s="133"/>
      <c r="M62" s="133"/>
      <c r="N62" s="133"/>
      <c r="O62" s="133"/>
      <c r="P62" s="133"/>
      <c r="Q62" s="133"/>
      <c r="R62" s="133"/>
      <c r="S62" s="133"/>
      <c r="T62" s="133"/>
      <c r="U62" s="133"/>
      <c r="V62" s="133"/>
      <c r="W62" s="133"/>
      <c r="X62" s="133"/>
      <c r="Y62" s="133"/>
      <c r="Z62" s="133"/>
    </row>
    <row r="63" spans="1:26" ht="18" customHeight="1" x14ac:dyDescent="0.3">
      <c r="A63" s="172"/>
      <c r="B63" s="173"/>
      <c r="C63" s="174"/>
      <c r="D63" s="174"/>
      <c r="E63" s="133"/>
      <c r="F63" s="133"/>
      <c r="G63" s="133"/>
      <c r="H63" s="133"/>
      <c r="I63" s="133"/>
      <c r="J63" s="133"/>
      <c r="K63" s="133"/>
      <c r="L63" s="133"/>
      <c r="M63" s="133"/>
      <c r="N63" s="133"/>
      <c r="O63" s="133"/>
      <c r="P63" s="133"/>
      <c r="Q63" s="133"/>
      <c r="R63" s="133"/>
      <c r="S63" s="133"/>
      <c r="T63" s="133"/>
      <c r="U63" s="133"/>
      <c r="V63" s="133"/>
      <c r="W63" s="133"/>
      <c r="X63" s="133"/>
      <c r="Y63" s="133"/>
      <c r="Z63" s="133"/>
    </row>
    <row r="64" spans="1:26" ht="18" customHeight="1" x14ac:dyDescent="0.3">
      <c r="A64" s="172"/>
      <c r="B64" s="173"/>
      <c r="C64" s="174"/>
      <c r="D64" s="174"/>
      <c r="E64" s="133"/>
      <c r="F64" s="133"/>
      <c r="G64" s="133"/>
      <c r="H64" s="133"/>
      <c r="I64" s="133"/>
      <c r="J64" s="133"/>
      <c r="K64" s="133"/>
      <c r="L64" s="133"/>
      <c r="M64" s="133"/>
      <c r="N64" s="133"/>
      <c r="O64" s="133"/>
      <c r="P64" s="133"/>
      <c r="Q64" s="133"/>
      <c r="R64" s="133"/>
      <c r="S64" s="133"/>
      <c r="T64" s="133"/>
      <c r="U64" s="133"/>
      <c r="V64" s="133"/>
      <c r="W64" s="133"/>
      <c r="X64" s="133"/>
      <c r="Y64" s="133"/>
      <c r="Z64" s="133"/>
    </row>
    <row r="65" spans="1:26" ht="18" customHeight="1" x14ac:dyDescent="0.3">
      <c r="A65" s="172"/>
      <c r="B65" s="173"/>
      <c r="C65" s="174"/>
      <c r="D65" s="174"/>
      <c r="E65" s="133"/>
      <c r="F65" s="133"/>
      <c r="G65" s="133"/>
      <c r="H65" s="133"/>
      <c r="I65" s="133"/>
      <c r="J65" s="133"/>
      <c r="K65" s="133"/>
      <c r="L65" s="133"/>
      <c r="M65" s="133"/>
      <c r="N65" s="133"/>
      <c r="O65" s="133"/>
      <c r="P65" s="133"/>
      <c r="Q65" s="133"/>
      <c r="R65" s="133"/>
      <c r="S65" s="133"/>
      <c r="T65" s="133"/>
      <c r="U65" s="133"/>
      <c r="V65" s="133"/>
      <c r="W65" s="133"/>
      <c r="X65" s="133"/>
      <c r="Y65" s="133"/>
      <c r="Z65" s="133"/>
    </row>
    <row r="66" spans="1:26" ht="18" customHeight="1" x14ac:dyDescent="0.3">
      <c r="A66" s="172"/>
      <c r="B66" s="173"/>
      <c r="C66" s="174"/>
      <c r="D66" s="174"/>
      <c r="E66" s="133"/>
      <c r="F66" s="133"/>
      <c r="G66" s="133"/>
      <c r="H66" s="133"/>
      <c r="I66" s="133"/>
      <c r="J66" s="133"/>
      <c r="K66" s="133"/>
      <c r="L66" s="133"/>
      <c r="M66" s="133"/>
      <c r="N66" s="133"/>
      <c r="O66" s="133"/>
      <c r="P66" s="133"/>
      <c r="Q66" s="133"/>
      <c r="R66" s="133"/>
      <c r="S66" s="133"/>
      <c r="T66" s="133"/>
      <c r="U66" s="133"/>
      <c r="V66" s="133"/>
      <c r="W66" s="133"/>
      <c r="X66" s="133"/>
      <c r="Y66" s="133"/>
      <c r="Z66" s="133"/>
    </row>
    <row r="67" spans="1:26" ht="18" customHeight="1" x14ac:dyDescent="0.3">
      <c r="A67" s="172"/>
      <c r="B67" s="173"/>
      <c r="C67" s="174"/>
      <c r="D67" s="174"/>
      <c r="E67" s="133"/>
      <c r="F67" s="133"/>
      <c r="G67" s="133"/>
      <c r="H67" s="133"/>
      <c r="I67" s="133"/>
      <c r="J67" s="133"/>
      <c r="K67" s="133"/>
      <c r="L67" s="133"/>
      <c r="M67" s="133"/>
      <c r="N67" s="133"/>
      <c r="O67" s="133"/>
      <c r="P67" s="133"/>
      <c r="Q67" s="133"/>
      <c r="R67" s="133"/>
      <c r="S67" s="133"/>
      <c r="T67" s="133"/>
      <c r="U67" s="133"/>
      <c r="V67" s="133"/>
      <c r="W67" s="133"/>
      <c r="X67" s="133"/>
      <c r="Y67" s="133"/>
      <c r="Z67" s="133"/>
    </row>
    <row r="68" spans="1:26" ht="18" customHeight="1" x14ac:dyDescent="0.3">
      <c r="A68" s="172"/>
      <c r="B68" s="173"/>
      <c r="C68" s="174"/>
      <c r="D68" s="174"/>
      <c r="E68" s="133"/>
      <c r="F68" s="133"/>
      <c r="G68" s="133"/>
      <c r="H68" s="133"/>
      <c r="I68" s="133"/>
      <c r="J68" s="133"/>
      <c r="K68" s="133"/>
      <c r="L68" s="133"/>
      <c r="M68" s="133"/>
      <c r="N68" s="133"/>
      <c r="O68" s="133"/>
      <c r="P68" s="133"/>
      <c r="Q68" s="133"/>
      <c r="R68" s="133"/>
      <c r="S68" s="133"/>
      <c r="T68" s="133"/>
      <c r="U68" s="133"/>
      <c r="V68" s="133"/>
      <c r="W68" s="133"/>
      <c r="X68" s="133"/>
      <c r="Y68" s="133"/>
      <c r="Z68" s="133"/>
    </row>
    <row r="69" spans="1:26" ht="18" customHeight="1" x14ac:dyDescent="0.3">
      <c r="A69" s="172"/>
      <c r="B69" s="173"/>
      <c r="C69" s="174"/>
      <c r="D69" s="174"/>
      <c r="E69" s="133"/>
      <c r="F69" s="133"/>
      <c r="G69" s="133"/>
      <c r="H69" s="133"/>
      <c r="I69" s="133"/>
      <c r="J69" s="133"/>
      <c r="K69" s="133"/>
      <c r="L69" s="133"/>
      <c r="M69" s="133"/>
      <c r="N69" s="133"/>
      <c r="O69" s="133"/>
      <c r="P69" s="133"/>
      <c r="Q69" s="133"/>
      <c r="R69" s="133"/>
      <c r="S69" s="133"/>
      <c r="T69" s="133"/>
      <c r="U69" s="133"/>
      <c r="V69" s="133"/>
      <c r="W69" s="133"/>
      <c r="X69" s="133"/>
      <c r="Y69" s="133"/>
      <c r="Z69" s="133"/>
    </row>
    <row r="70" spans="1:26" ht="18" customHeight="1" x14ac:dyDescent="0.3">
      <c r="A70" s="172"/>
      <c r="B70" s="173"/>
      <c r="C70" s="174"/>
      <c r="D70" s="174"/>
      <c r="E70" s="133"/>
      <c r="F70" s="133"/>
      <c r="G70" s="133"/>
      <c r="H70" s="133"/>
      <c r="I70" s="133"/>
      <c r="J70" s="133"/>
      <c r="K70" s="133"/>
      <c r="L70" s="133"/>
      <c r="M70" s="133"/>
      <c r="N70" s="133"/>
      <c r="O70" s="133"/>
      <c r="P70" s="133"/>
      <c r="Q70" s="133"/>
      <c r="R70" s="133"/>
      <c r="S70" s="133"/>
      <c r="T70" s="133"/>
      <c r="U70" s="133"/>
      <c r="V70" s="133"/>
      <c r="W70" s="133"/>
      <c r="X70" s="133"/>
      <c r="Y70" s="133"/>
      <c r="Z70" s="133"/>
    </row>
    <row r="71" spans="1:26" ht="18" customHeight="1" x14ac:dyDescent="0.3">
      <c r="A71" s="172"/>
      <c r="B71" s="173"/>
      <c r="C71" s="174"/>
      <c r="D71" s="174"/>
      <c r="E71" s="133"/>
      <c r="F71" s="133"/>
      <c r="G71" s="133"/>
      <c r="H71" s="133"/>
      <c r="I71" s="133"/>
      <c r="J71" s="133"/>
      <c r="K71" s="133"/>
      <c r="L71" s="133"/>
      <c r="M71" s="133"/>
      <c r="N71" s="133"/>
      <c r="O71" s="133"/>
      <c r="P71" s="133"/>
      <c r="Q71" s="133"/>
      <c r="R71" s="133"/>
      <c r="S71" s="133"/>
      <c r="T71" s="133"/>
      <c r="U71" s="133"/>
      <c r="V71" s="133"/>
      <c r="W71" s="133"/>
      <c r="X71" s="133"/>
      <c r="Y71" s="133"/>
      <c r="Z71" s="133"/>
    </row>
    <row r="72" spans="1:26" ht="18" customHeight="1" x14ac:dyDescent="0.3">
      <c r="A72" s="172"/>
      <c r="B72" s="173"/>
      <c r="C72" s="174"/>
      <c r="D72" s="174"/>
      <c r="E72" s="133"/>
      <c r="F72" s="133"/>
      <c r="G72" s="133"/>
      <c r="H72" s="133"/>
      <c r="I72" s="133"/>
      <c r="J72" s="133"/>
      <c r="K72" s="133"/>
      <c r="L72" s="133"/>
      <c r="M72" s="133"/>
      <c r="N72" s="133"/>
      <c r="O72" s="133"/>
      <c r="P72" s="133"/>
      <c r="Q72" s="133"/>
      <c r="R72" s="133"/>
      <c r="S72" s="133"/>
      <c r="T72" s="133"/>
      <c r="U72" s="133"/>
      <c r="V72" s="133"/>
      <c r="W72" s="133"/>
      <c r="X72" s="133"/>
      <c r="Y72" s="133"/>
      <c r="Z72" s="133"/>
    </row>
    <row r="73" spans="1:26" ht="18" customHeight="1" x14ac:dyDescent="0.3">
      <c r="A73" s="172"/>
      <c r="B73" s="173"/>
      <c r="C73" s="174"/>
      <c r="D73" s="174"/>
      <c r="E73" s="133"/>
      <c r="F73" s="133"/>
      <c r="G73" s="133"/>
      <c r="H73" s="133"/>
      <c r="I73" s="133"/>
      <c r="J73" s="133"/>
      <c r="K73" s="133"/>
      <c r="L73" s="133"/>
      <c r="M73" s="133"/>
      <c r="N73" s="133"/>
      <c r="O73" s="133"/>
      <c r="P73" s="133"/>
      <c r="Q73" s="133"/>
      <c r="R73" s="133"/>
      <c r="S73" s="133"/>
      <c r="T73" s="133"/>
      <c r="U73" s="133"/>
      <c r="V73" s="133"/>
      <c r="W73" s="133"/>
      <c r="X73" s="133"/>
      <c r="Y73" s="133"/>
      <c r="Z73" s="133"/>
    </row>
    <row r="74" spans="1:26" ht="18" customHeight="1" x14ac:dyDescent="0.3">
      <c r="A74" s="172"/>
      <c r="B74" s="173"/>
      <c r="C74" s="174"/>
      <c r="D74" s="174"/>
      <c r="E74" s="133"/>
      <c r="F74" s="133"/>
      <c r="G74" s="133"/>
      <c r="H74" s="133"/>
      <c r="I74" s="133"/>
      <c r="J74" s="133"/>
      <c r="K74" s="133"/>
      <c r="L74" s="133"/>
      <c r="M74" s="133"/>
      <c r="N74" s="133"/>
      <c r="O74" s="133"/>
      <c r="P74" s="133"/>
      <c r="Q74" s="133"/>
      <c r="R74" s="133"/>
      <c r="S74" s="133"/>
      <c r="T74" s="133"/>
      <c r="U74" s="133"/>
      <c r="V74" s="133"/>
      <c r="W74" s="133"/>
      <c r="X74" s="133"/>
      <c r="Y74" s="133"/>
      <c r="Z74" s="133"/>
    </row>
    <row r="75" spans="1:26" ht="18" customHeight="1" x14ac:dyDescent="0.3">
      <c r="A75" s="172"/>
      <c r="B75" s="173"/>
      <c r="C75" s="174"/>
      <c r="D75" s="174"/>
      <c r="E75" s="133"/>
      <c r="F75" s="133"/>
      <c r="G75" s="133"/>
      <c r="H75" s="133"/>
      <c r="I75" s="133"/>
      <c r="J75" s="133"/>
      <c r="K75" s="133"/>
      <c r="L75" s="133"/>
      <c r="M75" s="133"/>
      <c r="N75" s="133"/>
      <c r="O75" s="133"/>
      <c r="P75" s="133"/>
      <c r="Q75" s="133"/>
      <c r="R75" s="133"/>
      <c r="S75" s="133"/>
      <c r="T75" s="133"/>
      <c r="U75" s="133"/>
      <c r="V75" s="133"/>
      <c r="W75" s="133"/>
      <c r="X75" s="133"/>
      <c r="Y75" s="133"/>
      <c r="Z75" s="133"/>
    </row>
    <row r="76" spans="1:26" ht="18" customHeight="1" x14ac:dyDescent="0.3">
      <c r="A76" s="172"/>
      <c r="B76" s="173"/>
      <c r="C76" s="174"/>
      <c r="D76" s="174"/>
      <c r="E76" s="133"/>
      <c r="F76" s="133"/>
      <c r="G76" s="133"/>
      <c r="H76" s="133"/>
      <c r="I76" s="133"/>
      <c r="J76" s="133"/>
      <c r="K76" s="133"/>
      <c r="L76" s="133"/>
      <c r="M76" s="133"/>
      <c r="N76" s="133"/>
      <c r="O76" s="133"/>
      <c r="P76" s="133"/>
      <c r="Q76" s="133"/>
      <c r="R76" s="133"/>
      <c r="S76" s="133"/>
      <c r="T76" s="133"/>
      <c r="U76" s="133"/>
      <c r="V76" s="133"/>
      <c r="W76" s="133"/>
      <c r="X76" s="133"/>
      <c r="Y76" s="133"/>
      <c r="Z76" s="133"/>
    </row>
    <row r="77" spans="1:26" ht="18" customHeight="1" x14ac:dyDescent="0.3">
      <c r="A77" s="172"/>
      <c r="B77" s="173"/>
      <c r="C77" s="174"/>
      <c r="D77" s="174"/>
      <c r="E77" s="133"/>
      <c r="F77" s="133"/>
      <c r="G77" s="133"/>
      <c r="H77" s="133"/>
      <c r="I77" s="133"/>
      <c r="J77" s="133"/>
      <c r="K77" s="133"/>
      <c r="L77" s="133"/>
      <c r="M77" s="133"/>
      <c r="N77" s="133"/>
      <c r="O77" s="133"/>
      <c r="P77" s="133"/>
      <c r="Q77" s="133"/>
      <c r="R77" s="133"/>
      <c r="S77" s="133"/>
      <c r="T77" s="133"/>
      <c r="U77" s="133"/>
      <c r="V77" s="133"/>
      <c r="W77" s="133"/>
      <c r="X77" s="133"/>
      <c r="Y77" s="133"/>
      <c r="Z77" s="133"/>
    </row>
    <row r="78" spans="1:26" ht="18" customHeight="1" x14ac:dyDescent="0.3">
      <c r="A78" s="172"/>
      <c r="B78" s="173"/>
      <c r="C78" s="174"/>
      <c r="D78" s="174"/>
      <c r="E78" s="133"/>
      <c r="F78" s="133"/>
      <c r="G78" s="133"/>
      <c r="H78" s="133"/>
      <c r="I78" s="133"/>
      <c r="J78" s="133"/>
      <c r="K78" s="133"/>
      <c r="L78" s="133"/>
      <c r="M78" s="133"/>
      <c r="N78" s="133"/>
      <c r="O78" s="133"/>
      <c r="P78" s="133"/>
      <c r="Q78" s="133"/>
      <c r="R78" s="133"/>
      <c r="S78" s="133"/>
      <c r="T78" s="133"/>
      <c r="U78" s="133"/>
      <c r="V78" s="133"/>
      <c r="W78" s="133"/>
      <c r="X78" s="133"/>
      <c r="Y78" s="133"/>
      <c r="Z78" s="133"/>
    </row>
    <row r="79" spans="1:26" ht="18" customHeight="1" x14ac:dyDescent="0.3">
      <c r="A79" s="172"/>
      <c r="B79" s="173"/>
      <c r="C79" s="174"/>
      <c r="D79" s="174"/>
      <c r="E79" s="133"/>
      <c r="F79" s="133"/>
      <c r="G79" s="133"/>
      <c r="H79" s="133"/>
      <c r="I79" s="133"/>
      <c r="J79" s="133"/>
      <c r="K79" s="133"/>
      <c r="L79" s="133"/>
      <c r="M79" s="133"/>
      <c r="N79" s="133"/>
      <c r="O79" s="133"/>
      <c r="P79" s="133"/>
      <c r="Q79" s="133"/>
      <c r="R79" s="133"/>
      <c r="S79" s="133"/>
      <c r="T79" s="133"/>
      <c r="U79" s="133"/>
      <c r="V79" s="133"/>
      <c r="W79" s="133"/>
      <c r="X79" s="133"/>
      <c r="Y79" s="133"/>
      <c r="Z79" s="133"/>
    </row>
    <row r="80" spans="1:26" ht="18" customHeight="1" x14ac:dyDescent="0.3">
      <c r="A80" s="172"/>
      <c r="B80" s="173"/>
      <c r="C80" s="174"/>
      <c r="D80" s="174"/>
      <c r="E80" s="133"/>
      <c r="F80" s="133"/>
      <c r="G80" s="133"/>
      <c r="H80" s="133"/>
      <c r="I80" s="133"/>
      <c r="J80" s="133"/>
      <c r="K80" s="133"/>
      <c r="L80" s="133"/>
      <c r="M80" s="133"/>
      <c r="N80" s="133"/>
      <c r="O80" s="133"/>
      <c r="P80" s="133"/>
      <c r="Q80" s="133"/>
      <c r="R80" s="133"/>
      <c r="S80" s="133"/>
      <c r="T80" s="133"/>
      <c r="U80" s="133"/>
      <c r="V80" s="133"/>
      <c r="W80" s="133"/>
      <c r="X80" s="133"/>
      <c r="Y80" s="133"/>
      <c r="Z80" s="133"/>
    </row>
    <row r="81" spans="1:26" ht="18" customHeight="1" x14ac:dyDescent="0.3">
      <c r="A81" s="172"/>
      <c r="B81" s="173"/>
      <c r="C81" s="174"/>
      <c r="D81" s="174"/>
      <c r="E81" s="133"/>
      <c r="F81" s="133"/>
      <c r="G81" s="133"/>
      <c r="H81" s="133"/>
      <c r="I81" s="133"/>
      <c r="J81" s="133"/>
      <c r="K81" s="133"/>
      <c r="L81" s="133"/>
      <c r="M81" s="133"/>
      <c r="N81" s="133"/>
      <c r="O81" s="133"/>
      <c r="P81" s="133"/>
      <c r="Q81" s="133"/>
      <c r="R81" s="133"/>
      <c r="S81" s="133"/>
      <c r="T81" s="133"/>
      <c r="U81" s="133"/>
      <c r="V81" s="133"/>
      <c r="W81" s="133"/>
      <c r="X81" s="133"/>
      <c r="Y81" s="133"/>
      <c r="Z81" s="133"/>
    </row>
    <row r="82" spans="1:26" ht="18" customHeight="1" x14ac:dyDescent="0.3">
      <c r="A82" s="172"/>
      <c r="B82" s="173"/>
      <c r="C82" s="174"/>
      <c r="D82" s="174"/>
      <c r="E82" s="133"/>
      <c r="F82" s="133"/>
      <c r="G82" s="133"/>
      <c r="H82" s="133"/>
      <c r="I82" s="133"/>
      <c r="J82" s="133"/>
      <c r="K82" s="133"/>
      <c r="L82" s="133"/>
      <c r="M82" s="133"/>
      <c r="N82" s="133"/>
      <c r="O82" s="133"/>
      <c r="P82" s="133"/>
      <c r="Q82" s="133"/>
      <c r="R82" s="133"/>
      <c r="S82" s="133"/>
      <c r="T82" s="133"/>
      <c r="U82" s="133"/>
      <c r="V82" s="133"/>
      <c r="W82" s="133"/>
      <c r="X82" s="133"/>
      <c r="Y82" s="133"/>
      <c r="Z82" s="133"/>
    </row>
    <row r="83" spans="1:26" ht="18" customHeight="1" x14ac:dyDescent="0.3">
      <c r="A83" s="172"/>
      <c r="B83" s="173"/>
      <c r="C83" s="174"/>
      <c r="D83" s="174"/>
      <c r="E83" s="133"/>
      <c r="F83" s="133"/>
      <c r="G83" s="133"/>
      <c r="H83" s="133"/>
      <c r="I83" s="133"/>
      <c r="J83" s="133"/>
      <c r="K83" s="133"/>
      <c r="L83" s="133"/>
      <c r="M83" s="133"/>
      <c r="N83" s="133"/>
      <c r="O83" s="133"/>
      <c r="P83" s="133"/>
      <c r="Q83" s="133"/>
      <c r="R83" s="133"/>
      <c r="S83" s="133"/>
      <c r="T83" s="133"/>
      <c r="U83" s="133"/>
      <c r="V83" s="133"/>
      <c r="W83" s="133"/>
      <c r="X83" s="133"/>
      <c r="Y83" s="133"/>
      <c r="Z83" s="133"/>
    </row>
    <row r="84" spans="1:26" ht="18" customHeight="1" x14ac:dyDescent="0.3">
      <c r="A84" s="172"/>
      <c r="B84" s="173"/>
      <c r="C84" s="174"/>
      <c r="D84" s="174"/>
      <c r="E84" s="133"/>
      <c r="F84" s="133"/>
      <c r="G84" s="133"/>
      <c r="H84" s="133"/>
      <c r="I84" s="133"/>
      <c r="J84" s="133"/>
      <c r="K84" s="133"/>
      <c r="L84" s="133"/>
      <c r="M84" s="133"/>
      <c r="N84" s="133"/>
      <c r="O84" s="133"/>
      <c r="P84" s="133"/>
      <c r="Q84" s="133"/>
      <c r="R84" s="133"/>
      <c r="S84" s="133"/>
      <c r="T84" s="133"/>
      <c r="U84" s="133"/>
      <c r="V84" s="133"/>
      <c r="W84" s="133"/>
      <c r="X84" s="133"/>
      <c r="Y84" s="133"/>
      <c r="Z84" s="133"/>
    </row>
    <row r="85" spans="1:26" ht="18" customHeight="1" x14ac:dyDescent="0.3">
      <c r="A85" s="172"/>
      <c r="B85" s="173"/>
      <c r="C85" s="174"/>
      <c r="D85" s="174"/>
      <c r="E85" s="133"/>
      <c r="F85" s="133"/>
      <c r="G85" s="133"/>
      <c r="H85" s="133"/>
      <c r="I85" s="133"/>
      <c r="J85" s="133"/>
      <c r="K85" s="133"/>
      <c r="L85" s="133"/>
      <c r="M85" s="133"/>
      <c r="N85" s="133"/>
      <c r="O85" s="133"/>
      <c r="P85" s="133"/>
      <c r="Q85" s="133"/>
      <c r="R85" s="133"/>
      <c r="S85" s="133"/>
      <c r="T85" s="133"/>
      <c r="U85" s="133"/>
      <c r="V85" s="133"/>
      <c r="W85" s="133"/>
      <c r="X85" s="133"/>
      <c r="Y85" s="133"/>
      <c r="Z85" s="133"/>
    </row>
    <row r="86" spans="1:26" ht="18" customHeight="1" x14ac:dyDescent="0.3">
      <c r="A86" s="172"/>
      <c r="B86" s="173"/>
      <c r="C86" s="174"/>
      <c r="D86" s="174"/>
      <c r="E86" s="133"/>
      <c r="F86" s="133"/>
      <c r="G86" s="133"/>
      <c r="H86" s="133"/>
      <c r="I86" s="133"/>
      <c r="J86" s="133"/>
      <c r="K86" s="133"/>
      <c r="L86" s="133"/>
      <c r="M86" s="133"/>
      <c r="N86" s="133"/>
      <c r="O86" s="133"/>
      <c r="P86" s="133"/>
      <c r="Q86" s="133"/>
      <c r="R86" s="133"/>
      <c r="S86" s="133"/>
      <c r="T86" s="133"/>
      <c r="U86" s="133"/>
      <c r="V86" s="133"/>
      <c r="W86" s="133"/>
      <c r="X86" s="133"/>
      <c r="Y86" s="133"/>
      <c r="Z86" s="133"/>
    </row>
    <row r="87" spans="1:26" ht="18" customHeight="1" x14ac:dyDescent="0.3">
      <c r="A87" s="172"/>
      <c r="B87" s="173"/>
      <c r="C87" s="174"/>
      <c r="D87" s="174"/>
      <c r="E87" s="133"/>
      <c r="F87" s="133"/>
      <c r="G87" s="133"/>
      <c r="H87" s="133"/>
      <c r="I87" s="133"/>
      <c r="J87" s="133"/>
      <c r="K87" s="133"/>
      <c r="L87" s="133"/>
      <c r="M87" s="133"/>
      <c r="N87" s="133"/>
      <c r="O87" s="133"/>
      <c r="P87" s="133"/>
      <c r="Q87" s="133"/>
      <c r="R87" s="133"/>
      <c r="S87" s="133"/>
      <c r="T87" s="133"/>
      <c r="U87" s="133"/>
      <c r="V87" s="133"/>
      <c r="W87" s="133"/>
      <c r="X87" s="133"/>
      <c r="Y87" s="133"/>
      <c r="Z87" s="133"/>
    </row>
    <row r="88" spans="1:26" ht="18" customHeight="1" x14ac:dyDescent="0.3">
      <c r="A88" s="172"/>
      <c r="B88" s="173"/>
      <c r="C88" s="174"/>
      <c r="D88" s="174"/>
      <c r="E88" s="133"/>
      <c r="F88" s="133"/>
      <c r="G88" s="133"/>
      <c r="H88" s="133"/>
      <c r="I88" s="133"/>
      <c r="J88" s="133"/>
      <c r="K88" s="133"/>
      <c r="L88" s="133"/>
      <c r="M88" s="133"/>
      <c r="N88" s="133"/>
      <c r="O88" s="133"/>
      <c r="P88" s="133"/>
      <c r="Q88" s="133"/>
      <c r="R88" s="133"/>
      <c r="S88" s="133"/>
      <c r="T88" s="133"/>
      <c r="U88" s="133"/>
      <c r="V88" s="133"/>
      <c r="W88" s="133"/>
      <c r="X88" s="133"/>
      <c r="Y88" s="133"/>
      <c r="Z88" s="133"/>
    </row>
    <row r="89" spans="1:26" ht="18" customHeight="1" x14ac:dyDescent="0.3">
      <c r="A89" s="172"/>
      <c r="B89" s="173"/>
      <c r="C89" s="174"/>
      <c r="D89" s="174"/>
      <c r="E89" s="133"/>
      <c r="F89" s="133"/>
      <c r="G89" s="133"/>
      <c r="H89" s="133"/>
      <c r="I89" s="133"/>
      <c r="J89" s="133"/>
      <c r="K89" s="133"/>
      <c r="L89" s="133"/>
      <c r="M89" s="133"/>
      <c r="N89" s="133"/>
      <c r="O89" s="133"/>
      <c r="P89" s="133"/>
      <c r="Q89" s="133"/>
      <c r="R89" s="133"/>
      <c r="S89" s="133"/>
      <c r="T89" s="133"/>
      <c r="U89" s="133"/>
      <c r="V89" s="133"/>
      <c r="W89" s="133"/>
      <c r="X89" s="133"/>
      <c r="Y89" s="133"/>
      <c r="Z89" s="133"/>
    </row>
    <row r="90" spans="1:26" ht="18" customHeight="1" x14ac:dyDescent="0.3">
      <c r="A90" s="172"/>
      <c r="B90" s="173"/>
      <c r="C90" s="174"/>
      <c r="D90" s="174"/>
      <c r="E90" s="133"/>
      <c r="F90" s="133"/>
      <c r="G90" s="133"/>
      <c r="H90" s="133"/>
      <c r="I90" s="133"/>
      <c r="J90" s="133"/>
      <c r="K90" s="133"/>
      <c r="L90" s="133"/>
      <c r="M90" s="133"/>
      <c r="N90" s="133"/>
      <c r="O90" s="133"/>
      <c r="P90" s="133"/>
      <c r="Q90" s="133"/>
      <c r="R90" s="133"/>
      <c r="S90" s="133"/>
      <c r="T90" s="133"/>
      <c r="U90" s="133"/>
      <c r="V90" s="133"/>
      <c r="W90" s="133"/>
      <c r="X90" s="133"/>
      <c r="Y90" s="133"/>
      <c r="Z90" s="133"/>
    </row>
    <row r="91" spans="1:26" ht="18" customHeight="1" x14ac:dyDescent="0.3">
      <c r="A91" s="172"/>
      <c r="B91" s="173"/>
      <c r="C91" s="174"/>
      <c r="D91" s="174"/>
      <c r="E91" s="133"/>
      <c r="F91" s="133"/>
      <c r="G91" s="133"/>
      <c r="H91" s="133"/>
      <c r="I91" s="133"/>
      <c r="J91" s="133"/>
      <c r="K91" s="133"/>
      <c r="L91" s="133"/>
      <c r="M91" s="133"/>
      <c r="N91" s="133"/>
      <c r="O91" s="133"/>
      <c r="P91" s="133"/>
      <c r="Q91" s="133"/>
      <c r="R91" s="133"/>
      <c r="S91" s="133"/>
      <c r="T91" s="133"/>
      <c r="U91" s="133"/>
      <c r="V91" s="133"/>
      <c r="W91" s="133"/>
      <c r="X91" s="133"/>
      <c r="Y91" s="133"/>
      <c r="Z91" s="133"/>
    </row>
    <row r="92" spans="1:26" ht="18" customHeight="1" x14ac:dyDescent="0.3">
      <c r="A92" s="172"/>
      <c r="B92" s="173"/>
      <c r="C92" s="174"/>
      <c r="D92" s="174"/>
      <c r="E92" s="133"/>
      <c r="F92" s="133"/>
      <c r="G92" s="133"/>
      <c r="H92" s="133"/>
      <c r="I92" s="133"/>
      <c r="J92" s="133"/>
      <c r="K92" s="133"/>
      <c r="L92" s="133"/>
      <c r="M92" s="133"/>
      <c r="N92" s="133"/>
      <c r="O92" s="133"/>
      <c r="P92" s="133"/>
      <c r="Q92" s="133"/>
      <c r="R92" s="133"/>
      <c r="S92" s="133"/>
      <c r="T92" s="133"/>
      <c r="U92" s="133"/>
      <c r="V92" s="133"/>
      <c r="W92" s="133"/>
      <c r="X92" s="133"/>
      <c r="Y92" s="133"/>
      <c r="Z92" s="133"/>
    </row>
    <row r="93" spans="1:26" ht="18" customHeight="1" x14ac:dyDescent="0.3">
      <c r="A93" s="172"/>
      <c r="B93" s="173"/>
      <c r="C93" s="174"/>
      <c r="D93" s="174"/>
      <c r="E93" s="133"/>
      <c r="F93" s="133"/>
      <c r="G93" s="133"/>
      <c r="H93" s="133"/>
      <c r="I93" s="133"/>
      <c r="J93" s="133"/>
      <c r="K93" s="133"/>
      <c r="L93" s="133"/>
      <c r="M93" s="133"/>
      <c r="N93" s="133"/>
      <c r="O93" s="133"/>
      <c r="P93" s="133"/>
      <c r="Q93" s="133"/>
      <c r="R93" s="133"/>
      <c r="S93" s="133"/>
      <c r="T93" s="133"/>
      <c r="U93" s="133"/>
      <c r="V93" s="133"/>
      <c r="W93" s="133"/>
      <c r="X93" s="133"/>
      <c r="Y93" s="133"/>
      <c r="Z93" s="133"/>
    </row>
    <row r="94" spans="1:26" ht="18" customHeight="1" x14ac:dyDescent="0.3">
      <c r="A94" s="172"/>
      <c r="B94" s="173"/>
      <c r="C94" s="174"/>
      <c r="D94" s="174"/>
      <c r="E94" s="133"/>
      <c r="F94" s="133"/>
      <c r="G94" s="133"/>
      <c r="H94" s="133"/>
      <c r="I94" s="133"/>
      <c r="J94" s="133"/>
      <c r="K94" s="133"/>
      <c r="L94" s="133"/>
      <c r="M94" s="133"/>
      <c r="N94" s="133"/>
      <c r="O94" s="133"/>
      <c r="P94" s="133"/>
      <c r="Q94" s="133"/>
      <c r="R94" s="133"/>
      <c r="S94" s="133"/>
      <c r="T94" s="133"/>
      <c r="U94" s="133"/>
      <c r="V94" s="133"/>
      <c r="W94" s="133"/>
      <c r="X94" s="133"/>
      <c r="Y94" s="133"/>
      <c r="Z94" s="133"/>
    </row>
    <row r="95" spans="1:26" ht="18" customHeight="1" x14ac:dyDescent="0.3">
      <c r="A95" s="172"/>
      <c r="B95" s="173"/>
      <c r="C95" s="174"/>
      <c r="D95" s="174"/>
      <c r="E95" s="133"/>
      <c r="F95" s="133"/>
      <c r="G95" s="133"/>
      <c r="H95" s="133"/>
      <c r="I95" s="133"/>
      <c r="J95" s="133"/>
      <c r="K95" s="133"/>
      <c r="L95" s="133"/>
      <c r="M95" s="133"/>
      <c r="N95" s="133"/>
      <c r="O95" s="133"/>
      <c r="P95" s="133"/>
      <c r="Q95" s="133"/>
      <c r="R95" s="133"/>
      <c r="S95" s="133"/>
      <c r="T95" s="133"/>
      <c r="U95" s="133"/>
      <c r="V95" s="133"/>
      <c r="W95" s="133"/>
      <c r="X95" s="133"/>
      <c r="Y95" s="133"/>
      <c r="Z95" s="133"/>
    </row>
    <row r="96" spans="1:26" ht="18" customHeight="1" x14ac:dyDescent="0.3">
      <c r="A96" s="172"/>
      <c r="B96" s="173"/>
      <c r="C96" s="174"/>
      <c r="D96" s="174"/>
      <c r="E96" s="133"/>
      <c r="F96" s="133"/>
      <c r="G96" s="133"/>
      <c r="H96" s="133"/>
      <c r="I96" s="133"/>
      <c r="J96" s="133"/>
      <c r="K96" s="133"/>
      <c r="L96" s="133"/>
      <c r="M96" s="133"/>
      <c r="N96" s="133"/>
      <c r="O96" s="133"/>
      <c r="P96" s="133"/>
      <c r="Q96" s="133"/>
      <c r="R96" s="133"/>
      <c r="S96" s="133"/>
      <c r="T96" s="133"/>
      <c r="U96" s="133"/>
      <c r="V96" s="133"/>
      <c r="W96" s="133"/>
      <c r="X96" s="133"/>
      <c r="Y96" s="133"/>
      <c r="Z96" s="133"/>
    </row>
    <row r="97" spans="1:26" ht="18" customHeight="1" x14ac:dyDescent="0.3">
      <c r="A97" s="172"/>
      <c r="B97" s="173"/>
      <c r="C97" s="174"/>
      <c r="D97" s="174"/>
      <c r="E97" s="133"/>
      <c r="F97" s="133"/>
      <c r="G97" s="133"/>
      <c r="H97" s="133"/>
      <c r="I97" s="133"/>
      <c r="J97" s="133"/>
      <c r="K97" s="133"/>
      <c r="L97" s="133"/>
      <c r="M97" s="133"/>
      <c r="N97" s="133"/>
      <c r="O97" s="133"/>
      <c r="P97" s="133"/>
      <c r="Q97" s="133"/>
      <c r="R97" s="133"/>
      <c r="S97" s="133"/>
      <c r="T97" s="133"/>
      <c r="U97" s="133"/>
      <c r="V97" s="133"/>
      <c r="W97" s="133"/>
      <c r="X97" s="133"/>
      <c r="Y97" s="133"/>
      <c r="Z97" s="133"/>
    </row>
    <row r="98" spans="1:26" ht="18" customHeight="1" x14ac:dyDescent="0.3">
      <c r="A98" s="172"/>
      <c r="B98" s="173"/>
      <c r="C98" s="174"/>
      <c r="D98" s="174"/>
      <c r="E98" s="133"/>
      <c r="F98" s="133"/>
      <c r="G98" s="133"/>
      <c r="H98" s="133"/>
      <c r="I98" s="133"/>
      <c r="J98" s="133"/>
      <c r="K98" s="133"/>
      <c r="L98" s="133"/>
      <c r="M98" s="133"/>
      <c r="N98" s="133"/>
      <c r="O98" s="133"/>
      <c r="P98" s="133"/>
      <c r="Q98" s="133"/>
      <c r="R98" s="133"/>
      <c r="S98" s="133"/>
      <c r="T98" s="133"/>
      <c r="U98" s="133"/>
      <c r="V98" s="133"/>
      <c r="W98" s="133"/>
      <c r="X98" s="133"/>
      <c r="Y98" s="133"/>
      <c r="Z98" s="133"/>
    </row>
    <row r="99" spans="1:26" ht="18" customHeight="1" x14ac:dyDescent="0.3">
      <c r="A99" s="172"/>
      <c r="B99" s="173"/>
      <c r="C99" s="174"/>
      <c r="D99" s="174"/>
      <c r="E99" s="133"/>
      <c r="F99" s="133"/>
      <c r="G99" s="133"/>
      <c r="H99" s="133"/>
      <c r="I99" s="133"/>
      <c r="J99" s="133"/>
      <c r="K99" s="133"/>
      <c r="L99" s="133"/>
      <c r="M99" s="133"/>
      <c r="N99" s="133"/>
      <c r="O99" s="133"/>
      <c r="P99" s="133"/>
      <c r="Q99" s="133"/>
      <c r="R99" s="133"/>
      <c r="S99" s="133"/>
      <c r="T99" s="133"/>
      <c r="U99" s="133"/>
      <c r="V99" s="133"/>
      <c r="W99" s="133"/>
      <c r="X99" s="133"/>
      <c r="Y99" s="133"/>
      <c r="Z99" s="133"/>
    </row>
    <row r="100" spans="1:26" ht="18" customHeight="1" x14ac:dyDescent="0.3">
      <c r="A100" s="172"/>
      <c r="B100" s="173"/>
      <c r="C100" s="174"/>
      <c r="D100" s="174"/>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spans="1:26" ht="18" customHeight="1" x14ac:dyDescent="0.3">
      <c r="A101" s="172"/>
      <c r="B101" s="173"/>
      <c r="C101" s="174"/>
      <c r="D101" s="174"/>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spans="1:26" ht="18" customHeight="1" x14ac:dyDescent="0.3">
      <c r="A102" s="172"/>
      <c r="B102" s="173"/>
      <c r="C102" s="174"/>
      <c r="D102" s="174"/>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spans="1:26" ht="18" customHeight="1" x14ac:dyDescent="0.3">
      <c r="A103" s="172"/>
      <c r="B103" s="173"/>
      <c r="C103" s="174"/>
      <c r="D103" s="174"/>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spans="1:26" ht="18" customHeight="1" x14ac:dyDescent="0.3">
      <c r="A104" s="172"/>
      <c r="B104" s="173"/>
      <c r="C104" s="174"/>
      <c r="D104" s="174"/>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spans="1:26" ht="18" customHeight="1" x14ac:dyDescent="0.3">
      <c r="A105" s="172"/>
      <c r="B105" s="173"/>
      <c r="C105" s="174"/>
      <c r="D105" s="174"/>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row>
    <row r="106" spans="1:26" ht="18" customHeight="1" x14ac:dyDescent="0.3">
      <c r="A106" s="172"/>
      <c r="B106" s="173"/>
      <c r="C106" s="174"/>
      <c r="D106" s="174"/>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row>
    <row r="107" spans="1:26" ht="18" customHeight="1" x14ac:dyDescent="0.3">
      <c r="A107" s="172"/>
      <c r="B107" s="173"/>
      <c r="C107" s="174"/>
      <c r="D107" s="174"/>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row>
    <row r="108" spans="1:26" ht="18" customHeight="1" x14ac:dyDescent="0.3">
      <c r="A108" s="172"/>
      <c r="B108" s="173"/>
      <c r="C108" s="174"/>
      <c r="D108" s="174"/>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row>
    <row r="109" spans="1:26" ht="18" customHeight="1" x14ac:dyDescent="0.3">
      <c r="A109" s="172"/>
      <c r="B109" s="173"/>
      <c r="C109" s="174"/>
      <c r="D109" s="174"/>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row>
    <row r="110" spans="1:26" ht="18" customHeight="1" x14ac:dyDescent="0.3">
      <c r="A110" s="172"/>
      <c r="B110" s="173"/>
      <c r="C110" s="174"/>
      <c r="D110" s="174"/>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row>
    <row r="111" spans="1:26" ht="18" customHeight="1" x14ac:dyDescent="0.3">
      <c r="A111" s="172"/>
      <c r="B111" s="173"/>
      <c r="C111" s="174"/>
      <c r="D111" s="174"/>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row>
    <row r="112" spans="1:26" ht="18" customHeight="1" x14ac:dyDescent="0.3">
      <c r="A112" s="172"/>
      <c r="B112" s="173"/>
      <c r="C112" s="174"/>
      <c r="D112" s="174"/>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row>
    <row r="113" spans="1:26" ht="18" customHeight="1" x14ac:dyDescent="0.3">
      <c r="A113" s="172"/>
      <c r="B113" s="173"/>
      <c r="C113" s="174"/>
      <c r="D113" s="174"/>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row>
    <row r="114" spans="1:26" ht="18" customHeight="1" x14ac:dyDescent="0.3">
      <c r="A114" s="172"/>
      <c r="B114" s="173"/>
      <c r="C114" s="174"/>
      <c r="D114" s="174"/>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row>
    <row r="115" spans="1:26" ht="18" customHeight="1" x14ac:dyDescent="0.3">
      <c r="A115" s="172"/>
      <c r="B115" s="173"/>
      <c r="C115" s="174"/>
      <c r="D115" s="174"/>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row>
    <row r="116" spans="1:26" ht="18" customHeight="1" x14ac:dyDescent="0.3">
      <c r="A116" s="172"/>
      <c r="B116" s="173"/>
      <c r="C116" s="174"/>
      <c r="D116" s="174"/>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row>
    <row r="117" spans="1:26" ht="18" customHeight="1" x14ac:dyDescent="0.3">
      <c r="A117" s="172"/>
      <c r="B117" s="173"/>
      <c r="C117" s="174"/>
      <c r="D117" s="174"/>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row>
    <row r="118" spans="1:26" ht="18" customHeight="1" x14ac:dyDescent="0.3">
      <c r="A118" s="172"/>
      <c r="B118" s="173"/>
      <c r="C118" s="174"/>
      <c r="D118" s="174"/>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row>
    <row r="119" spans="1:26" ht="18" customHeight="1" x14ac:dyDescent="0.3">
      <c r="A119" s="172"/>
      <c r="B119" s="173"/>
      <c r="C119" s="174"/>
      <c r="D119" s="174"/>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row>
    <row r="120" spans="1:26" ht="18" customHeight="1" x14ac:dyDescent="0.3">
      <c r="A120" s="172"/>
      <c r="B120" s="173"/>
      <c r="C120" s="174"/>
      <c r="D120" s="174"/>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row>
    <row r="121" spans="1:26" ht="18" customHeight="1" x14ac:dyDescent="0.3">
      <c r="A121" s="172"/>
      <c r="B121" s="173"/>
      <c r="C121" s="174"/>
      <c r="D121" s="174"/>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row>
    <row r="122" spans="1:26" ht="18" customHeight="1" x14ac:dyDescent="0.3">
      <c r="A122" s="172"/>
      <c r="B122" s="173"/>
      <c r="C122" s="174"/>
      <c r="D122" s="174"/>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row>
    <row r="123" spans="1:26" ht="18" customHeight="1" x14ac:dyDescent="0.3">
      <c r="A123" s="172"/>
      <c r="B123" s="173"/>
      <c r="C123" s="174"/>
      <c r="D123" s="174"/>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row>
    <row r="124" spans="1:26" ht="18" customHeight="1" x14ac:dyDescent="0.3">
      <c r="A124" s="172"/>
      <c r="B124" s="173"/>
      <c r="C124" s="174"/>
      <c r="D124" s="174"/>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row>
    <row r="125" spans="1:26" ht="18" customHeight="1" x14ac:dyDescent="0.3">
      <c r="A125" s="172"/>
      <c r="B125" s="173"/>
      <c r="C125" s="174"/>
      <c r="D125" s="174"/>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row>
    <row r="126" spans="1:26" ht="18" customHeight="1" x14ac:dyDescent="0.3">
      <c r="A126" s="172"/>
      <c r="B126" s="173"/>
      <c r="C126" s="174"/>
      <c r="D126" s="174"/>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row>
    <row r="127" spans="1:26" ht="18" customHeight="1" x14ac:dyDescent="0.3">
      <c r="A127" s="172"/>
      <c r="B127" s="173"/>
      <c r="C127" s="174"/>
      <c r="D127" s="174"/>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row>
    <row r="128" spans="1:26" ht="18" customHeight="1" x14ac:dyDescent="0.3">
      <c r="A128" s="172"/>
      <c r="B128" s="173"/>
      <c r="C128" s="174"/>
      <c r="D128" s="174"/>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row>
    <row r="129" spans="1:26" ht="18" customHeight="1" x14ac:dyDescent="0.3">
      <c r="A129" s="172"/>
      <c r="B129" s="173"/>
      <c r="C129" s="174"/>
      <c r="D129" s="174"/>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row>
    <row r="130" spans="1:26" ht="18" customHeight="1" x14ac:dyDescent="0.3">
      <c r="A130" s="172"/>
      <c r="B130" s="173"/>
      <c r="C130" s="174"/>
      <c r="D130" s="174"/>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row>
    <row r="131" spans="1:26" ht="18" customHeight="1" x14ac:dyDescent="0.3">
      <c r="A131" s="172"/>
      <c r="B131" s="173"/>
      <c r="C131" s="174"/>
      <c r="D131" s="174"/>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row>
    <row r="132" spans="1:26" ht="18" customHeight="1" x14ac:dyDescent="0.3">
      <c r="A132" s="172"/>
      <c r="B132" s="173"/>
      <c r="C132" s="174"/>
      <c r="D132" s="174"/>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row>
    <row r="133" spans="1:26" ht="18" customHeight="1" x14ac:dyDescent="0.3">
      <c r="A133" s="172"/>
      <c r="B133" s="173"/>
      <c r="C133" s="174"/>
      <c r="D133" s="174"/>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row>
    <row r="134" spans="1:26" ht="18" customHeight="1" x14ac:dyDescent="0.3">
      <c r="A134" s="172"/>
      <c r="B134" s="173"/>
      <c r="C134" s="174"/>
      <c r="D134" s="174"/>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row>
    <row r="135" spans="1:26" ht="18" customHeight="1" x14ac:dyDescent="0.3">
      <c r="A135" s="172"/>
      <c r="B135" s="173"/>
      <c r="C135" s="174"/>
      <c r="D135" s="174"/>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row>
    <row r="136" spans="1:26" ht="18" customHeight="1" x14ac:dyDescent="0.3">
      <c r="A136" s="172"/>
      <c r="B136" s="173"/>
      <c r="C136" s="174"/>
      <c r="D136" s="174"/>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spans="1:26" ht="18" customHeight="1" x14ac:dyDescent="0.3">
      <c r="A137" s="172"/>
      <c r="B137" s="173"/>
      <c r="C137" s="174"/>
      <c r="D137" s="174"/>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spans="1:26" ht="18" customHeight="1" x14ac:dyDescent="0.3">
      <c r="A138" s="172"/>
      <c r="B138" s="173"/>
      <c r="C138" s="174"/>
      <c r="D138" s="174"/>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spans="1:26" ht="18" customHeight="1" x14ac:dyDescent="0.3">
      <c r="A139" s="172"/>
      <c r="B139" s="173"/>
      <c r="C139" s="174"/>
      <c r="D139" s="174"/>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spans="1:26" ht="18" customHeight="1" x14ac:dyDescent="0.3">
      <c r="A140" s="172"/>
      <c r="B140" s="173"/>
      <c r="C140" s="174"/>
      <c r="D140" s="174"/>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spans="1:26" ht="18" customHeight="1" x14ac:dyDescent="0.3">
      <c r="A141" s="172"/>
      <c r="B141" s="173"/>
      <c r="C141" s="174"/>
      <c r="D141" s="174"/>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spans="1:26" ht="18" customHeight="1" x14ac:dyDescent="0.3">
      <c r="A142" s="172"/>
      <c r="B142" s="173"/>
      <c r="C142" s="174"/>
      <c r="D142" s="174"/>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spans="1:26" ht="18" customHeight="1" x14ac:dyDescent="0.3">
      <c r="A143" s="199"/>
      <c r="B143" s="172"/>
      <c r="C143" s="173"/>
      <c r="D143" s="174"/>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spans="1:26" ht="18" customHeight="1" x14ac:dyDescent="0.3">
      <c r="A144" s="199"/>
      <c r="B144" s="172"/>
      <c r="C144" s="173"/>
      <c r="D144" s="174"/>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spans="1:26" ht="18" customHeight="1" x14ac:dyDescent="0.3">
      <c r="A145" s="199"/>
      <c r="B145" s="172"/>
      <c r="C145" s="173"/>
      <c r="D145" s="174"/>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spans="1:26" ht="18" customHeight="1" x14ac:dyDescent="0.3">
      <c r="A146" s="199"/>
      <c r="B146" s="172"/>
      <c r="C146" s="173"/>
      <c r="D146" s="174"/>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spans="1:26" ht="18" customHeight="1" x14ac:dyDescent="0.3">
      <c r="A147" s="199"/>
      <c r="B147" s="172"/>
      <c r="C147" s="173"/>
      <c r="D147" s="174"/>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spans="1:26" ht="18" customHeight="1" x14ac:dyDescent="0.3">
      <c r="A148" s="199"/>
      <c r="B148" s="172"/>
      <c r="C148" s="173"/>
      <c r="D148" s="174"/>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spans="1:26" ht="18" customHeight="1" x14ac:dyDescent="0.3">
      <c r="A149" s="199"/>
      <c r="B149" s="172"/>
      <c r="C149" s="173"/>
      <c r="D149" s="174"/>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spans="1:26" ht="18" customHeight="1" x14ac:dyDescent="0.3">
      <c r="A150" s="199"/>
      <c r="B150" s="172"/>
      <c r="C150" s="173"/>
      <c r="D150" s="174"/>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spans="1:26" ht="18" customHeight="1" x14ac:dyDescent="0.3">
      <c r="A151" s="199"/>
      <c r="B151" s="172"/>
      <c r="C151" s="173"/>
      <c r="D151" s="174"/>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spans="1:26" ht="18" customHeight="1" x14ac:dyDescent="0.3">
      <c r="A152" s="199"/>
      <c r="B152" s="172"/>
      <c r="C152" s="173"/>
      <c r="D152" s="174"/>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spans="1:26" ht="18" customHeight="1" x14ac:dyDescent="0.3">
      <c r="A153" s="199"/>
      <c r="B153" s="172"/>
      <c r="C153" s="173"/>
      <c r="D153" s="174"/>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spans="1:26" ht="18" customHeight="1" x14ac:dyDescent="0.3">
      <c r="A154" s="199"/>
      <c r="B154" s="172"/>
      <c r="C154" s="173"/>
      <c r="D154" s="174"/>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spans="1:26" ht="18" customHeight="1" x14ac:dyDescent="0.3">
      <c r="A155" s="199"/>
      <c r="B155" s="172"/>
      <c r="C155" s="173"/>
      <c r="D155" s="174"/>
      <c r="E155" s="174"/>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spans="1:26" ht="18" customHeight="1" x14ac:dyDescent="0.3">
      <c r="A156" s="199"/>
      <c r="B156" s="172"/>
      <c r="C156" s="173"/>
      <c r="D156" s="174"/>
      <c r="E156" s="174"/>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spans="1:26" ht="18" customHeight="1" x14ac:dyDescent="0.3">
      <c r="A157" s="199"/>
      <c r="B157" s="172"/>
      <c r="C157" s="173"/>
      <c r="D157" s="174"/>
      <c r="E157" s="174"/>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spans="1:26" ht="18" customHeight="1" x14ac:dyDescent="0.3">
      <c r="A158" s="199"/>
      <c r="B158" s="172"/>
      <c r="C158" s="173"/>
      <c r="D158" s="174"/>
      <c r="E158" s="174"/>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spans="1:26" ht="18" customHeight="1" x14ac:dyDescent="0.3">
      <c r="A159" s="199"/>
      <c r="B159" s="172"/>
      <c r="C159" s="173"/>
      <c r="D159" s="174"/>
      <c r="E159" s="174"/>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spans="1:26" ht="18" customHeight="1" x14ac:dyDescent="0.3">
      <c r="A160" s="199"/>
      <c r="B160" s="172"/>
      <c r="C160" s="173"/>
      <c r="D160" s="174"/>
      <c r="E160" s="174"/>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spans="1:26" ht="18" customHeight="1" x14ac:dyDescent="0.3">
      <c r="A161" s="199"/>
      <c r="B161" s="172"/>
      <c r="C161" s="173"/>
      <c r="D161" s="174"/>
      <c r="E161" s="174"/>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spans="1:26" ht="18" customHeight="1" x14ac:dyDescent="0.3">
      <c r="A162" s="199"/>
      <c r="B162" s="172"/>
      <c r="C162" s="173"/>
      <c r="D162" s="174"/>
      <c r="E162" s="174"/>
      <c r="F162" s="133"/>
      <c r="G162" s="133"/>
      <c r="H162" s="133"/>
      <c r="I162" s="133"/>
      <c r="J162" s="133"/>
      <c r="K162" s="133"/>
      <c r="L162" s="133"/>
      <c r="M162" s="133"/>
      <c r="N162" s="133"/>
      <c r="O162" s="133"/>
      <c r="P162" s="133"/>
      <c r="Q162" s="133"/>
      <c r="R162" s="133"/>
      <c r="S162" s="133"/>
      <c r="T162" s="133"/>
      <c r="U162" s="133"/>
      <c r="V162" s="133"/>
      <c r="W162" s="133"/>
      <c r="X162" s="133"/>
      <c r="Y162" s="133"/>
      <c r="Z162" s="133"/>
    </row>
    <row r="163" spans="1:26" ht="18" customHeight="1" x14ac:dyDescent="0.3">
      <c r="A163" s="199"/>
      <c r="B163" s="172"/>
      <c r="C163" s="173"/>
      <c r="D163" s="174"/>
      <c r="E163" s="174"/>
      <c r="F163" s="133"/>
      <c r="G163" s="133"/>
      <c r="H163" s="133"/>
      <c r="I163" s="133"/>
      <c r="J163" s="133"/>
      <c r="K163" s="133"/>
      <c r="L163" s="133"/>
      <c r="M163" s="133"/>
      <c r="N163" s="133"/>
      <c r="O163" s="133"/>
      <c r="P163" s="133"/>
      <c r="Q163" s="133"/>
      <c r="R163" s="133"/>
      <c r="S163" s="133"/>
      <c r="T163" s="133"/>
      <c r="U163" s="133"/>
      <c r="V163" s="133"/>
      <c r="W163" s="133"/>
      <c r="X163" s="133"/>
      <c r="Y163" s="133"/>
      <c r="Z163" s="133"/>
    </row>
    <row r="164" spans="1:26" ht="18" customHeight="1" x14ac:dyDescent="0.3">
      <c r="A164" s="199"/>
      <c r="B164" s="172"/>
      <c r="C164" s="173"/>
      <c r="D164" s="174"/>
      <c r="E164" s="174"/>
      <c r="F164" s="133"/>
      <c r="G164" s="133"/>
      <c r="H164" s="133"/>
      <c r="I164" s="133"/>
      <c r="J164" s="133"/>
      <c r="K164" s="133"/>
      <c r="L164" s="133"/>
      <c r="M164" s="133"/>
      <c r="N164" s="133"/>
      <c r="O164" s="133"/>
      <c r="P164" s="133"/>
      <c r="Q164" s="133"/>
      <c r="R164" s="133"/>
      <c r="S164" s="133"/>
      <c r="T164" s="133"/>
      <c r="U164" s="133"/>
      <c r="V164" s="133"/>
      <c r="W164" s="133"/>
      <c r="X164" s="133"/>
      <c r="Y164" s="133"/>
      <c r="Z164" s="133"/>
    </row>
    <row r="165" spans="1:26" ht="18" customHeight="1" x14ac:dyDescent="0.3">
      <c r="A165" s="199"/>
      <c r="B165" s="172"/>
      <c r="C165" s="173"/>
      <c r="D165" s="174"/>
      <c r="E165" s="174"/>
      <c r="F165" s="133"/>
      <c r="G165" s="133"/>
      <c r="H165" s="133"/>
      <c r="I165" s="133"/>
      <c r="J165" s="133"/>
      <c r="K165" s="133"/>
      <c r="L165" s="133"/>
      <c r="M165" s="133"/>
      <c r="N165" s="133"/>
      <c r="O165" s="133"/>
      <c r="P165" s="133"/>
      <c r="Q165" s="133"/>
      <c r="R165" s="133"/>
      <c r="S165" s="133"/>
      <c r="T165" s="133"/>
      <c r="U165" s="133"/>
      <c r="V165" s="133"/>
      <c r="W165" s="133"/>
      <c r="X165" s="133"/>
      <c r="Y165" s="133"/>
      <c r="Z165" s="133"/>
    </row>
    <row r="166" spans="1:26" ht="18" customHeight="1" x14ac:dyDescent="0.3">
      <c r="A166" s="199"/>
      <c r="B166" s="172"/>
      <c r="C166" s="173"/>
      <c r="D166" s="174"/>
      <c r="E166" s="174"/>
      <c r="F166" s="133"/>
      <c r="G166" s="133"/>
      <c r="H166" s="133"/>
      <c r="I166" s="133"/>
      <c r="J166" s="133"/>
      <c r="K166" s="133"/>
      <c r="L166" s="133"/>
      <c r="M166" s="133"/>
      <c r="N166" s="133"/>
      <c r="O166" s="133"/>
      <c r="P166" s="133"/>
      <c r="Q166" s="133"/>
      <c r="R166" s="133"/>
      <c r="S166" s="133"/>
      <c r="T166" s="133"/>
      <c r="U166" s="133"/>
      <c r="V166" s="133"/>
      <c r="W166" s="133"/>
      <c r="X166" s="133"/>
      <c r="Y166" s="133"/>
      <c r="Z166" s="133"/>
    </row>
    <row r="167" spans="1:26" ht="18" customHeight="1" x14ac:dyDescent="0.3">
      <c r="A167" s="199"/>
      <c r="B167" s="172"/>
      <c r="C167" s="173"/>
      <c r="D167" s="174"/>
      <c r="E167" s="174"/>
      <c r="F167" s="133"/>
      <c r="G167" s="133"/>
      <c r="H167" s="133"/>
      <c r="I167" s="133"/>
      <c r="J167" s="133"/>
      <c r="K167" s="133"/>
      <c r="L167" s="133"/>
      <c r="M167" s="133"/>
      <c r="N167" s="133"/>
      <c r="O167" s="133"/>
      <c r="P167" s="133"/>
      <c r="Q167" s="133"/>
      <c r="R167" s="133"/>
      <c r="S167" s="133"/>
      <c r="T167" s="133"/>
      <c r="U167" s="133"/>
      <c r="V167" s="133"/>
      <c r="W167" s="133"/>
      <c r="X167" s="133"/>
      <c r="Y167" s="133"/>
      <c r="Z167" s="133"/>
    </row>
    <row r="168" spans="1:26" ht="18" customHeight="1" x14ac:dyDescent="0.3">
      <c r="A168" s="199"/>
      <c r="B168" s="172"/>
      <c r="C168" s="173"/>
      <c r="D168" s="174"/>
      <c r="E168" s="174"/>
      <c r="F168" s="133"/>
      <c r="G168" s="133"/>
      <c r="H168" s="133"/>
      <c r="I168" s="133"/>
      <c r="J168" s="133"/>
      <c r="K168" s="133"/>
      <c r="L168" s="133"/>
      <c r="M168" s="133"/>
      <c r="N168" s="133"/>
      <c r="O168" s="133"/>
      <c r="P168" s="133"/>
      <c r="Q168" s="133"/>
      <c r="R168" s="133"/>
      <c r="S168" s="133"/>
      <c r="T168" s="133"/>
      <c r="U168" s="133"/>
      <c r="V168" s="133"/>
      <c r="W168" s="133"/>
      <c r="X168" s="133"/>
      <c r="Y168" s="133"/>
      <c r="Z168" s="133"/>
    </row>
    <row r="169" spans="1:26" ht="18" customHeight="1" x14ac:dyDescent="0.3">
      <c r="A169" s="199"/>
      <c r="B169" s="172"/>
      <c r="C169" s="173"/>
      <c r="D169" s="174"/>
      <c r="E169" s="174"/>
      <c r="F169" s="133"/>
      <c r="G169" s="133"/>
      <c r="H169" s="133"/>
      <c r="I169" s="133"/>
      <c r="J169" s="133"/>
      <c r="K169" s="133"/>
      <c r="L169" s="133"/>
      <c r="M169" s="133"/>
      <c r="N169" s="133"/>
      <c r="O169" s="133"/>
      <c r="P169" s="133"/>
      <c r="Q169" s="133"/>
      <c r="R169" s="133"/>
      <c r="S169" s="133"/>
      <c r="T169" s="133"/>
      <c r="U169" s="133"/>
      <c r="V169" s="133"/>
      <c r="W169" s="133"/>
      <c r="X169" s="133"/>
      <c r="Y169" s="133"/>
      <c r="Z169" s="133"/>
    </row>
    <row r="170" spans="1:26" ht="18" customHeight="1" x14ac:dyDescent="0.3">
      <c r="A170" s="199"/>
      <c r="B170" s="172"/>
      <c r="C170" s="173"/>
      <c r="D170" s="174"/>
      <c r="E170" s="174"/>
      <c r="F170" s="133"/>
      <c r="G170" s="133"/>
      <c r="H170" s="133"/>
      <c r="I170" s="133"/>
      <c r="J170" s="133"/>
      <c r="K170" s="133"/>
      <c r="L170" s="133"/>
      <c r="M170" s="133"/>
      <c r="N170" s="133"/>
      <c r="O170" s="133"/>
      <c r="P170" s="133"/>
      <c r="Q170" s="133"/>
      <c r="R170" s="133"/>
      <c r="S170" s="133"/>
      <c r="T170" s="133"/>
      <c r="U170" s="133"/>
      <c r="V170" s="133"/>
      <c r="W170" s="133"/>
      <c r="X170" s="133"/>
      <c r="Y170" s="133"/>
      <c r="Z170" s="133"/>
    </row>
    <row r="171" spans="1:26" ht="18" customHeight="1" x14ac:dyDescent="0.3">
      <c r="A171" s="199"/>
      <c r="B171" s="172"/>
      <c r="C171" s="173"/>
      <c r="D171" s="174"/>
      <c r="E171" s="174"/>
      <c r="F171" s="133"/>
      <c r="G171" s="133"/>
      <c r="H171" s="133"/>
      <c r="I171" s="133"/>
      <c r="J171" s="133"/>
      <c r="K171" s="133"/>
      <c r="L171" s="133"/>
      <c r="M171" s="133"/>
      <c r="N171" s="133"/>
      <c r="O171" s="133"/>
      <c r="P171" s="133"/>
      <c r="Q171" s="133"/>
      <c r="R171" s="133"/>
      <c r="S171" s="133"/>
      <c r="T171" s="133"/>
      <c r="U171" s="133"/>
      <c r="V171" s="133"/>
      <c r="W171" s="133"/>
      <c r="X171" s="133"/>
      <c r="Y171" s="133"/>
      <c r="Z171" s="133"/>
    </row>
    <row r="172" spans="1:26" ht="18" customHeight="1" x14ac:dyDescent="0.3">
      <c r="A172" s="199"/>
      <c r="B172" s="172"/>
      <c r="C172" s="173"/>
      <c r="D172" s="174"/>
      <c r="E172" s="174"/>
      <c r="F172" s="133"/>
      <c r="G172" s="133"/>
      <c r="H172" s="133"/>
      <c r="I172" s="133"/>
      <c r="J172" s="133"/>
      <c r="K172" s="133"/>
      <c r="L172" s="133"/>
      <c r="M172" s="133"/>
      <c r="N172" s="133"/>
      <c r="O172" s="133"/>
      <c r="P172" s="133"/>
      <c r="Q172" s="133"/>
      <c r="R172" s="133"/>
      <c r="S172" s="133"/>
      <c r="T172" s="133"/>
      <c r="U172" s="133"/>
      <c r="V172" s="133"/>
      <c r="W172" s="133"/>
      <c r="X172" s="133"/>
      <c r="Y172" s="133"/>
      <c r="Z172" s="133"/>
    </row>
    <row r="173" spans="1:26" ht="18" customHeight="1" x14ac:dyDescent="0.3">
      <c r="A173" s="199"/>
      <c r="B173" s="172"/>
      <c r="C173" s="173"/>
      <c r="D173" s="174"/>
      <c r="E173" s="174"/>
      <c r="F173" s="133"/>
      <c r="G173" s="133"/>
      <c r="H173" s="133"/>
      <c r="I173" s="133"/>
      <c r="J173" s="133"/>
      <c r="K173" s="133"/>
      <c r="L173" s="133"/>
      <c r="M173" s="133"/>
      <c r="N173" s="133"/>
      <c r="O173" s="133"/>
      <c r="P173" s="133"/>
      <c r="Q173" s="133"/>
      <c r="R173" s="133"/>
      <c r="S173" s="133"/>
      <c r="T173" s="133"/>
      <c r="U173" s="133"/>
      <c r="V173" s="133"/>
      <c r="W173" s="133"/>
      <c r="X173" s="133"/>
      <c r="Y173" s="133"/>
      <c r="Z173" s="133"/>
    </row>
    <row r="174" spans="1:26" ht="18" customHeight="1" x14ac:dyDescent="0.3">
      <c r="A174" s="199"/>
      <c r="B174" s="172"/>
      <c r="C174" s="173"/>
      <c r="D174" s="174"/>
      <c r="E174" s="174"/>
      <c r="F174" s="133"/>
      <c r="G174" s="133"/>
      <c r="H174" s="133"/>
      <c r="I174" s="133"/>
      <c r="J174" s="133"/>
      <c r="K174" s="133"/>
      <c r="L174" s="133"/>
      <c r="M174" s="133"/>
      <c r="N174" s="133"/>
      <c r="O174" s="133"/>
      <c r="P174" s="133"/>
      <c r="Q174" s="133"/>
      <c r="R174" s="133"/>
      <c r="S174" s="133"/>
      <c r="T174" s="133"/>
      <c r="U174" s="133"/>
      <c r="V174" s="133"/>
      <c r="W174" s="133"/>
      <c r="X174" s="133"/>
      <c r="Y174" s="133"/>
      <c r="Z174" s="133"/>
    </row>
    <row r="175" spans="1:26" ht="18" customHeight="1" x14ac:dyDescent="0.3">
      <c r="A175" s="199"/>
      <c r="B175" s="172"/>
      <c r="C175" s="173"/>
      <c r="D175" s="174"/>
      <c r="E175" s="174"/>
      <c r="F175" s="133"/>
      <c r="G175" s="133"/>
      <c r="H175" s="133"/>
      <c r="I175" s="133"/>
      <c r="J175" s="133"/>
      <c r="K175" s="133"/>
      <c r="L175" s="133"/>
      <c r="M175" s="133"/>
      <c r="N175" s="133"/>
      <c r="O175" s="133"/>
      <c r="P175" s="133"/>
      <c r="Q175" s="133"/>
      <c r="R175" s="133"/>
      <c r="S175" s="133"/>
      <c r="T175" s="133"/>
      <c r="U175" s="133"/>
      <c r="V175" s="133"/>
      <c r="W175" s="133"/>
      <c r="X175" s="133"/>
      <c r="Y175" s="133"/>
      <c r="Z175" s="133"/>
    </row>
    <row r="176" spans="1:26" ht="18" customHeight="1" x14ac:dyDescent="0.3">
      <c r="A176" s="199"/>
      <c r="B176" s="172"/>
      <c r="C176" s="173"/>
      <c r="D176" s="174"/>
      <c r="E176" s="174"/>
      <c r="F176" s="133"/>
      <c r="G176" s="133"/>
      <c r="H176" s="133"/>
      <c r="I176" s="133"/>
      <c r="J176" s="133"/>
      <c r="K176" s="133"/>
      <c r="L176" s="133"/>
      <c r="M176" s="133"/>
      <c r="N176" s="133"/>
      <c r="O176" s="133"/>
      <c r="P176" s="133"/>
      <c r="Q176" s="133"/>
      <c r="R176" s="133"/>
      <c r="S176" s="133"/>
      <c r="T176" s="133"/>
      <c r="U176" s="133"/>
      <c r="V176" s="133"/>
      <c r="W176" s="133"/>
      <c r="X176" s="133"/>
      <c r="Y176" s="133"/>
      <c r="Z176" s="133"/>
    </row>
    <row r="177" spans="1:26" ht="18" customHeight="1" x14ac:dyDescent="0.3">
      <c r="A177" s="199"/>
      <c r="B177" s="172"/>
      <c r="C177" s="173"/>
      <c r="D177" s="174"/>
      <c r="E177" s="174"/>
      <c r="F177" s="133"/>
      <c r="G177" s="133"/>
      <c r="H177" s="133"/>
      <c r="I177" s="133"/>
      <c r="J177" s="133"/>
      <c r="K177" s="133"/>
      <c r="L177" s="133"/>
      <c r="M177" s="133"/>
      <c r="N177" s="133"/>
      <c r="O177" s="133"/>
      <c r="P177" s="133"/>
      <c r="Q177" s="133"/>
      <c r="R177" s="133"/>
      <c r="S177" s="133"/>
      <c r="T177" s="133"/>
      <c r="U177" s="133"/>
      <c r="V177" s="133"/>
      <c r="W177" s="133"/>
      <c r="X177" s="133"/>
      <c r="Y177" s="133"/>
      <c r="Z177" s="133"/>
    </row>
    <row r="178" spans="1:26" ht="18" customHeight="1" x14ac:dyDescent="0.3">
      <c r="A178" s="199"/>
      <c r="B178" s="172"/>
      <c r="C178" s="173"/>
      <c r="D178" s="174"/>
      <c r="E178" s="174"/>
      <c r="F178" s="133"/>
      <c r="G178" s="133"/>
      <c r="H178" s="133"/>
      <c r="I178" s="133"/>
      <c r="J178" s="133"/>
      <c r="K178" s="133"/>
      <c r="L178" s="133"/>
      <c r="M178" s="133"/>
      <c r="N178" s="133"/>
      <c r="O178" s="133"/>
      <c r="P178" s="133"/>
      <c r="Q178" s="133"/>
      <c r="R178" s="133"/>
      <c r="S178" s="133"/>
      <c r="T178" s="133"/>
      <c r="U178" s="133"/>
      <c r="V178" s="133"/>
      <c r="W178" s="133"/>
      <c r="X178" s="133"/>
      <c r="Y178" s="133"/>
      <c r="Z178" s="133"/>
    </row>
    <row r="179" spans="1:26" ht="18" customHeight="1" x14ac:dyDescent="0.3">
      <c r="A179" s="199"/>
      <c r="B179" s="172"/>
      <c r="C179" s="173"/>
      <c r="D179" s="174"/>
      <c r="E179" s="174"/>
      <c r="F179" s="133"/>
      <c r="G179" s="133"/>
      <c r="H179" s="133"/>
      <c r="I179" s="133"/>
      <c r="J179" s="133"/>
      <c r="K179" s="133"/>
      <c r="L179" s="133"/>
      <c r="M179" s="133"/>
      <c r="N179" s="133"/>
      <c r="O179" s="133"/>
      <c r="P179" s="133"/>
      <c r="Q179" s="133"/>
      <c r="R179" s="133"/>
      <c r="S179" s="133"/>
      <c r="T179" s="133"/>
      <c r="U179" s="133"/>
      <c r="V179" s="133"/>
      <c r="W179" s="133"/>
      <c r="X179" s="133"/>
      <c r="Y179" s="133"/>
      <c r="Z179" s="133"/>
    </row>
    <row r="180" spans="1:26" ht="18" customHeight="1" x14ac:dyDescent="0.3">
      <c r="A180" s="199"/>
      <c r="B180" s="172"/>
      <c r="C180" s="173"/>
      <c r="D180" s="174"/>
      <c r="E180" s="174"/>
      <c r="F180" s="133"/>
      <c r="G180" s="133"/>
      <c r="H180" s="133"/>
      <c r="I180" s="133"/>
      <c r="J180" s="133"/>
      <c r="K180" s="133"/>
      <c r="L180" s="133"/>
      <c r="M180" s="133"/>
      <c r="N180" s="133"/>
      <c r="O180" s="133"/>
      <c r="P180" s="133"/>
      <c r="Q180" s="133"/>
      <c r="R180" s="133"/>
      <c r="S180" s="133"/>
      <c r="T180" s="133"/>
      <c r="U180" s="133"/>
      <c r="V180" s="133"/>
      <c r="W180" s="133"/>
      <c r="X180" s="133"/>
      <c r="Y180" s="133"/>
      <c r="Z180" s="133"/>
    </row>
    <row r="181" spans="1:26" ht="18" customHeight="1" x14ac:dyDescent="0.3">
      <c r="A181" s="199"/>
      <c r="B181" s="172"/>
      <c r="C181" s="173"/>
      <c r="D181" s="174"/>
      <c r="E181" s="174"/>
      <c r="F181" s="133"/>
      <c r="G181" s="133"/>
      <c r="H181" s="133"/>
      <c r="I181" s="133"/>
      <c r="J181" s="133"/>
      <c r="K181" s="133"/>
      <c r="L181" s="133"/>
      <c r="M181" s="133"/>
      <c r="N181" s="133"/>
      <c r="O181" s="133"/>
      <c r="P181" s="133"/>
      <c r="Q181" s="133"/>
      <c r="R181" s="133"/>
      <c r="S181" s="133"/>
      <c r="T181" s="133"/>
      <c r="U181" s="133"/>
      <c r="V181" s="133"/>
      <c r="W181" s="133"/>
      <c r="X181" s="133"/>
      <c r="Y181" s="133"/>
      <c r="Z181" s="133"/>
    </row>
    <row r="182" spans="1:26" ht="18" customHeight="1" x14ac:dyDescent="0.3">
      <c r="A182" s="199"/>
      <c r="B182" s="172"/>
      <c r="C182" s="173"/>
      <c r="D182" s="174"/>
      <c r="E182" s="174"/>
      <c r="F182" s="133"/>
      <c r="G182" s="133"/>
      <c r="H182" s="133"/>
      <c r="I182" s="133"/>
      <c r="J182" s="133"/>
      <c r="K182" s="133"/>
      <c r="L182" s="133"/>
      <c r="M182" s="133"/>
      <c r="N182" s="133"/>
      <c r="O182" s="133"/>
      <c r="P182" s="133"/>
      <c r="Q182" s="133"/>
      <c r="R182" s="133"/>
      <c r="S182" s="133"/>
      <c r="T182" s="133"/>
      <c r="U182" s="133"/>
      <c r="V182" s="133"/>
      <c r="W182" s="133"/>
      <c r="X182" s="133"/>
      <c r="Y182" s="133"/>
      <c r="Z182" s="133"/>
    </row>
    <row r="183" spans="1:26" ht="18" customHeight="1" x14ac:dyDescent="0.3">
      <c r="A183" s="199"/>
      <c r="B183" s="172"/>
      <c r="C183" s="173"/>
      <c r="D183" s="174"/>
      <c r="E183" s="174"/>
      <c r="F183" s="133"/>
      <c r="G183" s="133"/>
      <c r="H183" s="133"/>
      <c r="I183" s="133"/>
      <c r="J183" s="133"/>
      <c r="K183" s="133"/>
      <c r="L183" s="133"/>
      <c r="M183" s="133"/>
      <c r="N183" s="133"/>
      <c r="O183" s="133"/>
      <c r="P183" s="133"/>
      <c r="Q183" s="133"/>
      <c r="R183" s="133"/>
      <c r="S183" s="133"/>
      <c r="T183" s="133"/>
      <c r="U183" s="133"/>
      <c r="V183" s="133"/>
      <c r="W183" s="133"/>
      <c r="X183" s="133"/>
      <c r="Y183" s="133"/>
      <c r="Z183" s="133"/>
    </row>
    <row r="184" spans="1:26" ht="18" customHeight="1" x14ac:dyDescent="0.3">
      <c r="A184" s="199"/>
      <c r="B184" s="172"/>
      <c r="C184" s="173"/>
      <c r="D184" s="174"/>
      <c r="E184" s="174"/>
      <c r="F184" s="133"/>
      <c r="G184" s="133"/>
      <c r="H184" s="133"/>
      <c r="I184" s="133"/>
      <c r="J184" s="133"/>
      <c r="K184" s="133"/>
      <c r="L184" s="133"/>
      <c r="M184" s="133"/>
      <c r="N184" s="133"/>
      <c r="O184" s="133"/>
      <c r="P184" s="133"/>
      <c r="Q184" s="133"/>
      <c r="R184" s="133"/>
      <c r="S184" s="133"/>
      <c r="T184" s="133"/>
      <c r="U184" s="133"/>
      <c r="V184" s="133"/>
      <c r="W184" s="133"/>
      <c r="X184" s="133"/>
      <c r="Y184" s="133"/>
      <c r="Z184" s="133"/>
    </row>
    <row r="185" spans="1:26" ht="18" customHeight="1" x14ac:dyDescent="0.3">
      <c r="A185" s="199"/>
      <c r="B185" s="172"/>
      <c r="C185" s="173"/>
      <c r="D185" s="174"/>
      <c r="E185" s="174"/>
      <c r="F185" s="133"/>
      <c r="G185" s="133"/>
      <c r="H185" s="133"/>
      <c r="I185" s="133"/>
      <c r="J185" s="133"/>
      <c r="K185" s="133"/>
      <c r="L185" s="133"/>
      <c r="M185" s="133"/>
      <c r="N185" s="133"/>
      <c r="O185" s="133"/>
      <c r="P185" s="133"/>
      <c r="Q185" s="133"/>
      <c r="R185" s="133"/>
      <c r="S185" s="133"/>
      <c r="T185" s="133"/>
      <c r="U185" s="133"/>
      <c r="V185" s="133"/>
      <c r="W185" s="133"/>
      <c r="X185" s="133"/>
      <c r="Y185" s="133"/>
      <c r="Z185" s="133"/>
    </row>
    <row r="186" spans="1:26" ht="18" customHeight="1" x14ac:dyDescent="0.3">
      <c r="A186" s="199"/>
      <c r="B186" s="172"/>
      <c r="C186" s="173"/>
      <c r="D186" s="174"/>
      <c r="E186" s="174"/>
      <c r="F186" s="133"/>
      <c r="G186" s="133"/>
      <c r="H186" s="133"/>
      <c r="I186" s="133"/>
      <c r="J186" s="133"/>
      <c r="K186" s="133"/>
      <c r="L186" s="133"/>
      <c r="M186" s="133"/>
      <c r="N186" s="133"/>
      <c r="O186" s="133"/>
      <c r="P186" s="133"/>
      <c r="Q186" s="133"/>
      <c r="R186" s="133"/>
      <c r="S186" s="133"/>
      <c r="T186" s="133"/>
      <c r="U186" s="133"/>
      <c r="V186" s="133"/>
      <c r="W186" s="133"/>
      <c r="X186" s="133"/>
      <c r="Y186" s="133"/>
      <c r="Z186" s="133"/>
    </row>
    <row r="187" spans="1:26" ht="18" customHeight="1" x14ac:dyDescent="0.3">
      <c r="A187" s="199"/>
      <c r="B187" s="172"/>
      <c r="C187" s="173"/>
      <c r="D187" s="174"/>
      <c r="E187" s="174"/>
      <c r="F187" s="133"/>
      <c r="G187" s="133"/>
      <c r="H187" s="133"/>
      <c r="I187" s="133"/>
      <c r="J187" s="133"/>
      <c r="K187" s="133"/>
      <c r="L187" s="133"/>
      <c r="M187" s="133"/>
      <c r="N187" s="133"/>
      <c r="O187" s="133"/>
      <c r="P187" s="133"/>
      <c r="Q187" s="133"/>
      <c r="R187" s="133"/>
      <c r="S187" s="133"/>
      <c r="T187" s="133"/>
      <c r="U187" s="133"/>
      <c r="V187" s="133"/>
      <c r="W187" s="133"/>
      <c r="X187" s="133"/>
      <c r="Y187" s="133"/>
      <c r="Z187" s="133"/>
    </row>
    <row r="188" spans="1:26" ht="18" customHeight="1" x14ac:dyDescent="0.3">
      <c r="A188" s="199"/>
      <c r="B188" s="172"/>
      <c r="C188" s="173"/>
      <c r="D188" s="174"/>
      <c r="E188" s="174"/>
      <c r="F188" s="133"/>
      <c r="G188" s="133"/>
      <c r="H188" s="133"/>
      <c r="I188" s="133"/>
      <c r="J188" s="133"/>
      <c r="K188" s="133"/>
      <c r="L188" s="133"/>
      <c r="M188" s="133"/>
      <c r="N188" s="133"/>
      <c r="O188" s="133"/>
      <c r="P188" s="133"/>
      <c r="Q188" s="133"/>
      <c r="R188" s="133"/>
      <c r="S188" s="133"/>
      <c r="T188" s="133"/>
      <c r="U188" s="133"/>
      <c r="V188" s="133"/>
      <c r="W188" s="133"/>
      <c r="X188" s="133"/>
      <c r="Y188" s="133"/>
      <c r="Z188" s="133"/>
    </row>
    <row r="189" spans="1:26" ht="18" customHeight="1" x14ac:dyDescent="0.3">
      <c r="A189" s="199"/>
      <c r="B189" s="172"/>
      <c r="C189" s="173"/>
      <c r="D189" s="174"/>
      <c r="E189" s="174"/>
      <c r="F189" s="133"/>
      <c r="G189" s="133"/>
      <c r="H189" s="133"/>
      <c r="I189" s="133"/>
      <c r="J189" s="133"/>
      <c r="K189" s="133"/>
      <c r="L189" s="133"/>
      <c r="M189" s="133"/>
      <c r="N189" s="133"/>
      <c r="O189" s="133"/>
      <c r="P189" s="133"/>
      <c r="Q189" s="133"/>
      <c r="R189" s="133"/>
      <c r="S189" s="133"/>
      <c r="T189" s="133"/>
      <c r="U189" s="133"/>
      <c r="V189" s="133"/>
      <c r="W189" s="133"/>
      <c r="X189" s="133"/>
      <c r="Y189" s="133"/>
      <c r="Z189" s="133"/>
    </row>
    <row r="190" spans="1:26" ht="18" customHeight="1" x14ac:dyDescent="0.3">
      <c r="A190" s="199"/>
      <c r="B190" s="172"/>
      <c r="C190" s="173"/>
      <c r="D190" s="174"/>
      <c r="E190" s="174"/>
      <c r="F190" s="133"/>
      <c r="G190" s="133"/>
      <c r="H190" s="133"/>
      <c r="I190" s="133"/>
      <c r="J190" s="133"/>
      <c r="K190" s="133"/>
      <c r="L190" s="133"/>
      <c r="M190" s="133"/>
      <c r="N190" s="133"/>
      <c r="O190" s="133"/>
      <c r="P190" s="133"/>
      <c r="Q190" s="133"/>
      <c r="R190" s="133"/>
      <c r="S190" s="133"/>
      <c r="T190" s="133"/>
      <c r="U190" s="133"/>
      <c r="V190" s="133"/>
      <c r="W190" s="133"/>
      <c r="X190" s="133"/>
      <c r="Y190" s="133"/>
      <c r="Z190" s="133"/>
    </row>
    <row r="191" spans="1:26" ht="18" customHeight="1" x14ac:dyDescent="0.3">
      <c r="A191" s="199"/>
      <c r="B191" s="172"/>
      <c r="C191" s="173"/>
      <c r="D191" s="174"/>
      <c r="E191" s="174"/>
      <c r="F191" s="133"/>
      <c r="G191" s="133"/>
      <c r="H191" s="133"/>
      <c r="I191" s="133"/>
      <c r="J191" s="133"/>
      <c r="K191" s="133"/>
      <c r="L191" s="133"/>
      <c r="M191" s="133"/>
      <c r="N191" s="133"/>
      <c r="O191" s="133"/>
      <c r="P191" s="133"/>
      <c r="Q191" s="133"/>
      <c r="R191" s="133"/>
      <c r="S191" s="133"/>
      <c r="T191" s="133"/>
      <c r="U191" s="133"/>
      <c r="V191" s="133"/>
      <c r="W191" s="133"/>
      <c r="X191" s="133"/>
      <c r="Y191" s="133"/>
      <c r="Z191" s="133"/>
    </row>
    <row r="192" spans="1:26" ht="18" customHeight="1" x14ac:dyDescent="0.3">
      <c r="A192" s="199"/>
      <c r="B192" s="172"/>
      <c r="C192" s="173"/>
      <c r="D192" s="174"/>
      <c r="E192" s="174"/>
      <c r="F192" s="133"/>
      <c r="G192" s="133"/>
      <c r="H192" s="133"/>
      <c r="I192" s="133"/>
      <c r="J192" s="133"/>
      <c r="K192" s="133"/>
      <c r="L192" s="133"/>
      <c r="M192" s="133"/>
      <c r="N192" s="133"/>
      <c r="O192" s="133"/>
      <c r="P192" s="133"/>
      <c r="Q192" s="133"/>
      <c r="R192" s="133"/>
      <c r="S192" s="133"/>
      <c r="T192" s="133"/>
      <c r="U192" s="133"/>
      <c r="V192" s="133"/>
      <c r="W192" s="133"/>
      <c r="X192" s="133"/>
      <c r="Y192" s="133"/>
      <c r="Z192" s="133"/>
    </row>
    <row r="193" spans="1:26" ht="18" customHeight="1" x14ac:dyDescent="0.3">
      <c r="A193" s="199"/>
      <c r="B193" s="172"/>
      <c r="C193" s="173"/>
      <c r="D193" s="174"/>
      <c r="E193" s="174"/>
      <c r="F193" s="133"/>
      <c r="G193" s="133"/>
      <c r="H193" s="133"/>
      <c r="I193" s="133"/>
      <c r="J193" s="133"/>
      <c r="K193" s="133"/>
      <c r="L193" s="133"/>
      <c r="M193" s="133"/>
      <c r="N193" s="133"/>
      <c r="O193" s="133"/>
      <c r="P193" s="133"/>
      <c r="Q193" s="133"/>
      <c r="R193" s="133"/>
      <c r="S193" s="133"/>
      <c r="T193" s="133"/>
      <c r="U193" s="133"/>
      <c r="V193" s="133"/>
      <c r="W193" s="133"/>
      <c r="X193" s="133"/>
      <c r="Y193" s="133"/>
      <c r="Z193" s="133"/>
    </row>
    <row r="194" spans="1:26" ht="18" customHeight="1" x14ac:dyDescent="0.3">
      <c r="A194" s="199"/>
      <c r="B194" s="172"/>
      <c r="C194" s="173"/>
      <c r="D194" s="174"/>
      <c r="E194" s="174"/>
      <c r="F194" s="133"/>
      <c r="G194" s="133"/>
      <c r="H194" s="133"/>
      <c r="I194" s="133"/>
      <c r="J194" s="133"/>
      <c r="K194" s="133"/>
      <c r="L194" s="133"/>
      <c r="M194" s="133"/>
      <c r="N194" s="133"/>
      <c r="O194" s="133"/>
      <c r="P194" s="133"/>
      <c r="Q194" s="133"/>
      <c r="R194" s="133"/>
      <c r="S194" s="133"/>
      <c r="T194" s="133"/>
      <c r="U194" s="133"/>
      <c r="V194" s="133"/>
      <c r="W194" s="133"/>
      <c r="X194" s="133"/>
      <c r="Y194" s="133"/>
      <c r="Z194" s="133"/>
    </row>
    <row r="195" spans="1:26" ht="18" customHeight="1" x14ac:dyDescent="0.3">
      <c r="A195" s="199"/>
      <c r="B195" s="172"/>
      <c r="C195" s="173"/>
      <c r="D195" s="174"/>
      <c r="E195" s="174"/>
      <c r="F195" s="133"/>
      <c r="G195" s="133"/>
      <c r="H195" s="133"/>
      <c r="I195" s="133"/>
      <c r="J195" s="133"/>
      <c r="K195" s="133"/>
      <c r="L195" s="133"/>
      <c r="M195" s="133"/>
      <c r="N195" s="133"/>
      <c r="O195" s="133"/>
      <c r="P195" s="133"/>
      <c r="Q195" s="133"/>
      <c r="R195" s="133"/>
      <c r="S195" s="133"/>
      <c r="T195" s="133"/>
      <c r="U195" s="133"/>
      <c r="V195" s="133"/>
      <c r="W195" s="133"/>
      <c r="X195" s="133"/>
      <c r="Y195" s="133"/>
      <c r="Z195" s="133"/>
    </row>
    <row r="196" spans="1:26" ht="18" customHeight="1" x14ac:dyDescent="0.3">
      <c r="A196" s="199"/>
      <c r="B196" s="172"/>
      <c r="C196" s="173"/>
      <c r="D196" s="174"/>
      <c r="E196" s="174"/>
      <c r="F196" s="133"/>
      <c r="G196" s="133"/>
      <c r="H196" s="133"/>
      <c r="I196" s="133"/>
      <c r="J196" s="133"/>
      <c r="K196" s="133"/>
      <c r="L196" s="133"/>
      <c r="M196" s="133"/>
      <c r="N196" s="133"/>
      <c r="O196" s="133"/>
      <c r="P196" s="133"/>
      <c r="Q196" s="133"/>
      <c r="R196" s="133"/>
      <c r="S196" s="133"/>
      <c r="T196" s="133"/>
      <c r="U196" s="133"/>
      <c r="V196" s="133"/>
      <c r="W196" s="133"/>
      <c r="X196" s="133"/>
      <c r="Y196" s="133"/>
      <c r="Z196" s="133"/>
    </row>
    <row r="197" spans="1:26" ht="18" customHeight="1" x14ac:dyDescent="0.3">
      <c r="A197" s="199"/>
      <c r="B197" s="172"/>
      <c r="C197" s="173"/>
      <c r="D197" s="174"/>
      <c r="E197" s="174"/>
      <c r="F197" s="133"/>
      <c r="G197" s="133"/>
      <c r="H197" s="133"/>
      <c r="I197" s="133"/>
      <c r="J197" s="133"/>
      <c r="K197" s="133"/>
      <c r="L197" s="133"/>
      <c r="M197" s="133"/>
      <c r="N197" s="133"/>
      <c r="O197" s="133"/>
      <c r="P197" s="133"/>
      <c r="Q197" s="133"/>
      <c r="R197" s="133"/>
      <c r="S197" s="133"/>
      <c r="T197" s="133"/>
      <c r="U197" s="133"/>
      <c r="V197" s="133"/>
      <c r="W197" s="133"/>
      <c r="X197" s="133"/>
      <c r="Y197" s="133"/>
      <c r="Z197" s="133"/>
    </row>
    <row r="198" spans="1:26" ht="18" customHeight="1" x14ac:dyDescent="0.3">
      <c r="A198" s="199"/>
      <c r="B198" s="172"/>
      <c r="C198" s="173"/>
      <c r="D198" s="174"/>
      <c r="E198" s="174"/>
      <c r="F198" s="133"/>
      <c r="G198" s="133"/>
      <c r="H198" s="133"/>
      <c r="I198" s="133"/>
      <c r="J198" s="133"/>
      <c r="K198" s="133"/>
      <c r="L198" s="133"/>
      <c r="M198" s="133"/>
      <c r="N198" s="133"/>
      <c r="O198" s="133"/>
      <c r="P198" s="133"/>
      <c r="Q198" s="133"/>
      <c r="R198" s="133"/>
      <c r="S198" s="133"/>
      <c r="T198" s="133"/>
      <c r="U198" s="133"/>
      <c r="V198" s="133"/>
      <c r="W198" s="133"/>
      <c r="X198" s="133"/>
      <c r="Y198" s="133"/>
      <c r="Z198" s="133"/>
    </row>
    <row r="199" spans="1:26" ht="18" customHeight="1" x14ac:dyDescent="0.3">
      <c r="A199" s="199"/>
      <c r="B199" s="172"/>
      <c r="C199" s="173"/>
      <c r="D199" s="174"/>
      <c r="E199" s="174"/>
      <c r="F199" s="133"/>
      <c r="G199" s="133"/>
      <c r="H199" s="133"/>
      <c r="I199" s="133"/>
      <c r="J199" s="133"/>
      <c r="K199" s="133"/>
      <c r="L199" s="133"/>
      <c r="M199" s="133"/>
      <c r="N199" s="133"/>
      <c r="O199" s="133"/>
      <c r="P199" s="133"/>
      <c r="Q199" s="133"/>
      <c r="R199" s="133"/>
      <c r="S199" s="133"/>
      <c r="T199" s="133"/>
      <c r="U199" s="133"/>
      <c r="V199" s="133"/>
      <c r="W199" s="133"/>
      <c r="X199" s="133"/>
      <c r="Y199" s="133"/>
      <c r="Z199" s="133"/>
    </row>
    <row r="200" spans="1:26" ht="18" customHeight="1" x14ac:dyDescent="0.3">
      <c r="A200" s="199"/>
      <c r="B200" s="172"/>
      <c r="C200" s="173"/>
      <c r="D200" s="174"/>
      <c r="E200" s="174"/>
      <c r="F200" s="133"/>
      <c r="G200" s="133"/>
      <c r="H200" s="133"/>
      <c r="I200" s="133"/>
      <c r="J200" s="133"/>
      <c r="K200" s="133"/>
      <c r="L200" s="133"/>
      <c r="M200" s="133"/>
      <c r="N200" s="133"/>
      <c r="O200" s="133"/>
      <c r="P200" s="133"/>
      <c r="Q200" s="133"/>
      <c r="R200" s="133"/>
      <c r="S200" s="133"/>
      <c r="T200" s="133"/>
      <c r="U200" s="133"/>
      <c r="V200" s="133"/>
      <c r="W200" s="133"/>
      <c r="X200" s="133"/>
      <c r="Y200" s="133"/>
      <c r="Z200" s="133"/>
    </row>
    <row r="201" spans="1:26" ht="18" customHeight="1" x14ac:dyDescent="0.3">
      <c r="A201" s="199"/>
      <c r="B201" s="172"/>
      <c r="C201" s="173"/>
      <c r="D201" s="174"/>
      <c r="E201" s="174"/>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spans="1:26" ht="18" customHeight="1" x14ac:dyDescent="0.3">
      <c r="A202" s="199"/>
      <c r="B202" s="172"/>
      <c r="C202" s="173"/>
      <c r="D202" s="174"/>
      <c r="E202" s="174"/>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spans="1:26" ht="18" customHeight="1" x14ac:dyDescent="0.3">
      <c r="A203" s="199"/>
      <c r="B203" s="172"/>
      <c r="C203" s="173"/>
      <c r="D203" s="174"/>
      <c r="E203" s="174"/>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spans="1:26" ht="18" customHeight="1" x14ac:dyDescent="0.3">
      <c r="A204" s="199"/>
      <c r="B204" s="172"/>
      <c r="C204" s="173"/>
      <c r="D204" s="174"/>
      <c r="E204" s="174"/>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spans="1:26" ht="18" customHeight="1" x14ac:dyDescent="0.3">
      <c r="A205" s="199"/>
      <c r="B205" s="172"/>
      <c r="C205" s="173"/>
      <c r="D205" s="174"/>
      <c r="E205" s="174"/>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spans="1:26" ht="18" customHeight="1" x14ac:dyDescent="0.3">
      <c r="A206" s="199"/>
      <c r="B206" s="172"/>
      <c r="C206" s="173"/>
      <c r="D206" s="174"/>
      <c r="E206" s="174"/>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spans="1:26" ht="18" customHeight="1" x14ac:dyDescent="0.3">
      <c r="A207" s="199"/>
      <c r="B207" s="172"/>
      <c r="C207" s="173"/>
      <c r="D207" s="174"/>
      <c r="E207" s="174"/>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spans="1:26" ht="18" customHeight="1" x14ac:dyDescent="0.3">
      <c r="A208" s="199"/>
      <c r="B208" s="172"/>
      <c r="C208" s="173"/>
      <c r="D208" s="174"/>
      <c r="E208" s="174"/>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spans="1:26" ht="18" customHeight="1" x14ac:dyDescent="0.3">
      <c r="A209" s="199"/>
      <c r="B209" s="172"/>
      <c r="C209" s="173"/>
      <c r="D209" s="174"/>
      <c r="E209" s="174"/>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spans="1:26" ht="18" customHeight="1" x14ac:dyDescent="0.3">
      <c r="A210" s="199"/>
      <c r="B210" s="172"/>
      <c r="C210" s="173"/>
      <c r="D210" s="174"/>
      <c r="E210" s="174"/>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spans="1:26" ht="18" customHeight="1" x14ac:dyDescent="0.3">
      <c r="A211" s="199"/>
      <c r="B211" s="172"/>
      <c r="C211" s="173"/>
      <c r="D211" s="174"/>
      <c r="E211" s="174"/>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spans="1:26" ht="18" customHeight="1" x14ac:dyDescent="0.3">
      <c r="A212" s="199"/>
      <c r="B212" s="172"/>
      <c r="C212" s="173"/>
      <c r="D212" s="174"/>
      <c r="E212" s="174"/>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spans="1:26" ht="18" customHeight="1" x14ac:dyDescent="0.3">
      <c r="A213" s="199"/>
      <c r="B213" s="172"/>
      <c r="C213" s="173"/>
      <c r="D213" s="174"/>
      <c r="E213" s="174"/>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spans="1:26" ht="18" customHeight="1" x14ac:dyDescent="0.3">
      <c r="A214" s="199"/>
      <c r="B214" s="172"/>
      <c r="C214" s="173"/>
      <c r="D214" s="174"/>
      <c r="E214" s="174"/>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spans="1:26" ht="18" customHeight="1" x14ac:dyDescent="0.3">
      <c r="A215" s="199"/>
      <c r="B215" s="172"/>
      <c r="C215" s="173"/>
      <c r="D215" s="174"/>
      <c r="E215" s="174"/>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spans="1:26" ht="18" customHeight="1" x14ac:dyDescent="0.3">
      <c r="A216" s="199"/>
      <c r="B216" s="172"/>
      <c r="C216" s="173"/>
      <c r="D216" s="174"/>
      <c r="E216" s="174"/>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spans="1:26" ht="18" customHeight="1" x14ac:dyDescent="0.3">
      <c r="A217" s="199"/>
      <c r="B217" s="172"/>
      <c r="C217" s="173"/>
      <c r="D217" s="174"/>
      <c r="E217" s="174"/>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spans="1:26" ht="18" customHeight="1" x14ac:dyDescent="0.3">
      <c r="A218" s="199"/>
      <c r="B218" s="172"/>
      <c r="C218" s="173"/>
      <c r="D218" s="174"/>
      <c r="E218" s="174"/>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spans="1:26" ht="18" customHeight="1" x14ac:dyDescent="0.3">
      <c r="A219" s="199"/>
      <c r="B219" s="172"/>
      <c r="C219" s="173"/>
      <c r="D219" s="174"/>
      <c r="E219" s="174"/>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spans="1:26" ht="18" customHeight="1" x14ac:dyDescent="0.3">
      <c r="A220" s="199"/>
      <c r="B220" s="172"/>
      <c r="C220" s="173"/>
      <c r="D220" s="174"/>
      <c r="E220" s="174"/>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spans="1:26" ht="18" customHeight="1" x14ac:dyDescent="0.3">
      <c r="A221" s="199"/>
      <c r="B221" s="172"/>
      <c r="C221" s="173"/>
      <c r="D221" s="174"/>
      <c r="E221" s="174"/>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spans="1:26" ht="18" customHeight="1" x14ac:dyDescent="0.3">
      <c r="A222" s="199"/>
      <c r="B222" s="172"/>
      <c r="C222" s="173"/>
      <c r="D222" s="174"/>
      <c r="E222" s="174"/>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spans="1:26" ht="18" customHeight="1" x14ac:dyDescent="0.3">
      <c r="A223" s="199"/>
      <c r="B223" s="172"/>
      <c r="C223" s="173"/>
      <c r="D223" s="174"/>
      <c r="E223" s="174"/>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spans="1:26" ht="18" customHeight="1" x14ac:dyDescent="0.3">
      <c r="A224" s="199"/>
      <c r="B224" s="172"/>
      <c r="C224" s="173"/>
      <c r="D224" s="174"/>
      <c r="E224" s="174"/>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spans="1:26" ht="18" customHeight="1" x14ac:dyDescent="0.3">
      <c r="A225" s="199"/>
      <c r="B225" s="172"/>
      <c r="C225" s="173"/>
      <c r="D225" s="174"/>
      <c r="E225" s="174"/>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spans="1:26" ht="18" customHeight="1" x14ac:dyDescent="0.3">
      <c r="A226" s="199"/>
      <c r="B226" s="172"/>
      <c r="C226" s="173"/>
      <c r="D226" s="174"/>
      <c r="E226" s="174"/>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spans="1:26" ht="18" customHeight="1" x14ac:dyDescent="0.3">
      <c r="A227" s="199"/>
      <c r="B227" s="172"/>
      <c r="C227" s="173"/>
      <c r="D227" s="174"/>
      <c r="E227" s="174"/>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spans="1:26" ht="18" customHeight="1" x14ac:dyDescent="0.3">
      <c r="A228" s="199"/>
      <c r="B228" s="172"/>
      <c r="C228" s="173"/>
      <c r="D228" s="174"/>
      <c r="E228" s="174"/>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spans="1:26" ht="18" customHeight="1" x14ac:dyDescent="0.3">
      <c r="A229" s="199"/>
      <c r="B229" s="172"/>
      <c r="C229" s="173"/>
      <c r="D229" s="174"/>
      <c r="E229" s="174"/>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spans="1:26" ht="18" customHeight="1" x14ac:dyDescent="0.3">
      <c r="A230" s="199"/>
      <c r="B230" s="172"/>
      <c r="C230" s="173"/>
      <c r="D230" s="174"/>
      <c r="E230" s="174"/>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spans="1:26" ht="18" customHeight="1" x14ac:dyDescent="0.3">
      <c r="A231" s="199"/>
      <c r="B231" s="172"/>
      <c r="C231" s="173"/>
      <c r="D231" s="174"/>
      <c r="E231" s="174"/>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spans="1:26" ht="18" customHeight="1" x14ac:dyDescent="0.3">
      <c r="A232" s="199"/>
      <c r="B232" s="172"/>
      <c r="C232" s="173"/>
      <c r="D232" s="174"/>
      <c r="E232" s="174"/>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spans="1:26" ht="18" customHeight="1" x14ac:dyDescent="0.3">
      <c r="A233" s="199"/>
      <c r="B233" s="172"/>
      <c r="C233" s="173"/>
      <c r="D233" s="174"/>
      <c r="E233" s="174"/>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spans="1:26" ht="18" customHeight="1" x14ac:dyDescent="0.3">
      <c r="A234" s="199"/>
      <c r="B234" s="172"/>
      <c r="C234" s="173"/>
      <c r="D234" s="174"/>
      <c r="E234" s="174"/>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spans="1:26" ht="18" customHeight="1" x14ac:dyDescent="0.3">
      <c r="A235" s="199"/>
      <c r="B235" s="172"/>
      <c r="C235" s="173"/>
      <c r="D235" s="174"/>
      <c r="E235" s="174"/>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spans="1:26" ht="18" customHeight="1" x14ac:dyDescent="0.3">
      <c r="A236" s="199"/>
      <c r="B236" s="172"/>
      <c r="C236" s="173"/>
      <c r="D236" s="174"/>
      <c r="E236" s="174"/>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spans="1:26" ht="18" customHeight="1" x14ac:dyDescent="0.3">
      <c r="A237" s="199"/>
      <c r="B237" s="172"/>
      <c r="C237" s="173"/>
      <c r="D237" s="174"/>
      <c r="E237" s="174"/>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spans="1:26" ht="18" customHeight="1" x14ac:dyDescent="0.3">
      <c r="A238" s="199"/>
      <c r="B238" s="172"/>
      <c r="C238" s="173"/>
      <c r="D238" s="174"/>
      <c r="E238" s="174"/>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spans="1:26" ht="18" customHeight="1" x14ac:dyDescent="0.3">
      <c r="A239" s="199"/>
      <c r="B239" s="172"/>
      <c r="C239" s="173"/>
      <c r="D239" s="174"/>
      <c r="E239" s="174"/>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spans="1:26" ht="18" customHeight="1" x14ac:dyDescent="0.3">
      <c r="A240" s="199"/>
      <c r="B240" s="172"/>
      <c r="C240" s="173"/>
      <c r="D240" s="174"/>
      <c r="E240" s="174"/>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spans="1:26" ht="18" customHeight="1" x14ac:dyDescent="0.3">
      <c r="A241" s="199"/>
      <c r="B241" s="172"/>
      <c r="C241" s="173"/>
      <c r="D241" s="174"/>
      <c r="E241" s="174"/>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spans="1:26" ht="18" customHeight="1" x14ac:dyDescent="0.3">
      <c r="A242" s="199"/>
      <c r="B242" s="172"/>
      <c r="C242" s="173"/>
      <c r="D242" s="174"/>
      <c r="E242" s="174"/>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spans="1:26" ht="18" customHeight="1" x14ac:dyDescent="0.3">
      <c r="A243" s="199"/>
      <c r="B243" s="172"/>
      <c r="C243" s="173"/>
      <c r="D243" s="174"/>
      <c r="E243" s="174"/>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spans="1:26" ht="18" customHeight="1" x14ac:dyDescent="0.3">
      <c r="A244" s="199"/>
      <c r="B244" s="172"/>
      <c r="C244" s="173"/>
      <c r="D244" s="174"/>
      <c r="E244" s="174"/>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spans="1:26" ht="15.75" customHeight="1" x14ac:dyDescent="0.25"/>
    <row r="246" spans="1:26" ht="15.75" customHeight="1" x14ac:dyDescent="0.25"/>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A43:B43"/>
    <mergeCell ref="A44:B44"/>
    <mergeCell ref="A1:A2"/>
    <mergeCell ref="B1:F1"/>
    <mergeCell ref="C3:C7"/>
    <mergeCell ref="F3:F18"/>
    <mergeCell ref="C8:C12"/>
    <mergeCell ref="C13:C15"/>
  </mergeCells>
  <pageMargins left="0.7" right="0.7" top="0.75" bottom="0.75"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defaultColWidth="14.42578125" defaultRowHeight="15" customHeight="1" x14ac:dyDescent="0.25"/>
  <cols>
    <col min="1" max="1" width="12.42578125" customWidth="1"/>
    <col min="2" max="2" width="33.140625" customWidth="1"/>
    <col min="3" max="3" width="20" customWidth="1"/>
    <col min="4" max="4" width="44.42578125" customWidth="1"/>
    <col min="5" max="5" width="38.85546875" customWidth="1"/>
    <col min="6" max="6" width="30.140625" customWidth="1"/>
    <col min="7" max="9" width="21.5703125" customWidth="1"/>
    <col min="10" max="26" width="8.85546875" customWidth="1"/>
  </cols>
  <sheetData>
    <row r="1" spans="1:26" ht="31.5" customHeight="1" x14ac:dyDescent="0.35">
      <c r="A1" s="311" t="s">
        <v>0</v>
      </c>
      <c r="B1" s="312" t="s">
        <v>1</v>
      </c>
      <c r="C1" s="296"/>
      <c r="D1" s="296"/>
      <c r="E1" s="296"/>
      <c r="F1" s="297"/>
      <c r="G1" s="200"/>
      <c r="H1" s="200"/>
      <c r="I1" s="200"/>
      <c r="J1" s="200"/>
      <c r="K1" s="200"/>
      <c r="L1" s="200"/>
      <c r="M1" s="200"/>
      <c r="N1" s="200"/>
      <c r="O1" s="200"/>
      <c r="P1" s="200"/>
      <c r="Q1" s="200"/>
      <c r="R1" s="200"/>
      <c r="S1" s="200"/>
      <c r="T1" s="200"/>
      <c r="U1" s="200"/>
      <c r="V1" s="200"/>
      <c r="W1" s="200"/>
      <c r="X1" s="200"/>
      <c r="Y1" s="200"/>
      <c r="Z1" s="200"/>
    </row>
    <row r="2" spans="1:26" ht="21" customHeight="1" x14ac:dyDescent="0.35">
      <c r="A2" s="294"/>
      <c r="B2" s="201" t="s">
        <v>2</v>
      </c>
      <c r="C2" s="202" t="s">
        <v>3</v>
      </c>
      <c r="D2" s="203" t="s">
        <v>4</v>
      </c>
      <c r="E2" s="204" t="s">
        <v>5</v>
      </c>
      <c r="F2" s="205" t="s">
        <v>6</v>
      </c>
      <c r="G2" s="206"/>
      <c r="H2" s="206"/>
      <c r="I2" s="206"/>
      <c r="J2" s="206"/>
      <c r="K2" s="206"/>
      <c r="L2" s="206"/>
      <c r="M2" s="206"/>
      <c r="N2" s="206"/>
      <c r="O2" s="206"/>
      <c r="P2" s="206"/>
      <c r="Q2" s="206"/>
      <c r="R2" s="206"/>
      <c r="S2" s="206"/>
      <c r="T2" s="206"/>
      <c r="U2" s="206"/>
      <c r="V2" s="206"/>
      <c r="W2" s="206"/>
      <c r="X2" s="206"/>
      <c r="Y2" s="206"/>
      <c r="Z2" s="206"/>
    </row>
    <row r="3" spans="1:26" ht="18.75" customHeight="1" x14ac:dyDescent="0.35">
      <c r="A3" s="204">
        <v>1</v>
      </c>
      <c r="B3" s="207" t="s">
        <v>7</v>
      </c>
      <c r="C3" s="313" t="s">
        <v>245</v>
      </c>
      <c r="D3" s="208">
        <v>65420</v>
      </c>
      <c r="E3" s="209">
        <v>10268</v>
      </c>
      <c r="F3" s="314" t="s">
        <v>270</v>
      </c>
      <c r="G3" s="200"/>
      <c r="H3" s="200"/>
      <c r="I3" s="200"/>
      <c r="J3" s="200"/>
      <c r="K3" s="200"/>
      <c r="L3" s="200"/>
      <c r="M3" s="200"/>
      <c r="N3" s="200"/>
      <c r="O3" s="200"/>
      <c r="P3" s="200"/>
      <c r="Q3" s="200"/>
      <c r="R3" s="200"/>
      <c r="S3" s="200"/>
      <c r="T3" s="200"/>
      <c r="U3" s="200"/>
      <c r="V3" s="200"/>
      <c r="W3" s="200"/>
      <c r="X3" s="200"/>
      <c r="Y3" s="200"/>
      <c r="Z3" s="200"/>
    </row>
    <row r="4" spans="1:26" ht="21" customHeight="1" x14ac:dyDescent="0.35">
      <c r="A4" s="204">
        <v>2</v>
      </c>
      <c r="B4" s="207" t="s">
        <v>11</v>
      </c>
      <c r="C4" s="277"/>
      <c r="D4" s="210">
        <v>7</v>
      </c>
      <c r="E4" s="211">
        <v>2</v>
      </c>
      <c r="F4" s="300"/>
      <c r="G4" s="200"/>
      <c r="H4" s="200"/>
      <c r="I4" s="200"/>
      <c r="J4" s="200"/>
      <c r="K4" s="200"/>
      <c r="L4" s="200"/>
      <c r="M4" s="200"/>
      <c r="N4" s="200"/>
      <c r="O4" s="200"/>
      <c r="P4" s="200"/>
      <c r="Q4" s="200"/>
      <c r="R4" s="200"/>
      <c r="S4" s="200"/>
      <c r="T4" s="200"/>
      <c r="U4" s="200"/>
      <c r="V4" s="200"/>
      <c r="W4" s="200"/>
      <c r="X4" s="200"/>
      <c r="Y4" s="200"/>
      <c r="Z4" s="200"/>
    </row>
    <row r="5" spans="1:26" ht="19.5" customHeight="1" x14ac:dyDescent="0.35">
      <c r="A5" s="204">
        <v>3</v>
      </c>
      <c r="B5" s="207" t="s">
        <v>12</v>
      </c>
      <c r="C5" s="277"/>
      <c r="D5" s="212">
        <v>8178</v>
      </c>
      <c r="E5" s="213">
        <v>5134</v>
      </c>
      <c r="F5" s="300"/>
      <c r="G5" s="200"/>
      <c r="H5" s="200"/>
      <c r="I5" s="200"/>
      <c r="J5" s="200"/>
      <c r="K5" s="200"/>
      <c r="L5" s="200"/>
      <c r="M5" s="200"/>
      <c r="N5" s="200"/>
      <c r="O5" s="200"/>
      <c r="P5" s="200"/>
      <c r="Q5" s="200"/>
      <c r="R5" s="200"/>
      <c r="S5" s="200"/>
      <c r="T5" s="200"/>
      <c r="U5" s="200"/>
      <c r="V5" s="200"/>
      <c r="W5" s="200"/>
      <c r="X5" s="200"/>
      <c r="Y5" s="200"/>
      <c r="Z5" s="200"/>
    </row>
    <row r="6" spans="1:26" ht="29.25" customHeight="1" x14ac:dyDescent="0.35">
      <c r="A6" s="204">
        <v>4</v>
      </c>
      <c r="B6" s="207" t="s">
        <v>13</v>
      </c>
      <c r="C6" s="277"/>
      <c r="D6" s="214">
        <v>1</v>
      </c>
      <c r="E6" s="215">
        <v>0</v>
      </c>
      <c r="F6" s="300"/>
      <c r="G6" s="200"/>
      <c r="H6" s="200"/>
      <c r="I6" s="200"/>
      <c r="J6" s="200"/>
      <c r="K6" s="200"/>
      <c r="L6" s="200"/>
      <c r="M6" s="200"/>
      <c r="N6" s="200"/>
      <c r="O6" s="200"/>
      <c r="P6" s="200"/>
      <c r="Q6" s="200"/>
      <c r="R6" s="200"/>
      <c r="S6" s="200"/>
      <c r="T6" s="200"/>
      <c r="U6" s="200"/>
      <c r="V6" s="200"/>
      <c r="W6" s="200"/>
      <c r="X6" s="200"/>
      <c r="Y6" s="200"/>
      <c r="Z6" s="200"/>
    </row>
    <row r="7" spans="1:26" ht="36.75" customHeight="1" x14ac:dyDescent="0.35">
      <c r="A7" s="204">
        <v>5</v>
      </c>
      <c r="B7" s="216" t="s">
        <v>14</v>
      </c>
      <c r="C7" s="272"/>
      <c r="D7" s="217">
        <v>0</v>
      </c>
      <c r="E7" s="218">
        <v>0</v>
      </c>
      <c r="F7" s="300"/>
      <c r="G7" s="200"/>
      <c r="H7" s="200"/>
      <c r="I7" s="200"/>
      <c r="J7" s="200"/>
      <c r="K7" s="200"/>
      <c r="L7" s="200"/>
      <c r="M7" s="200"/>
      <c r="N7" s="200"/>
      <c r="O7" s="200"/>
      <c r="P7" s="200"/>
      <c r="Q7" s="200"/>
      <c r="R7" s="200"/>
      <c r="S7" s="200"/>
      <c r="T7" s="200"/>
      <c r="U7" s="200"/>
      <c r="V7" s="200"/>
      <c r="W7" s="200"/>
      <c r="X7" s="200"/>
      <c r="Y7" s="200"/>
      <c r="Z7" s="200"/>
    </row>
    <row r="8" spans="1:26" ht="91.5" customHeight="1" x14ac:dyDescent="0.35">
      <c r="A8" s="204">
        <v>6</v>
      </c>
      <c r="B8" s="219" t="s">
        <v>208</v>
      </c>
      <c r="C8" s="313" t="s">
        <v>247</v>
      </c>
      <c r="D8" s="220" t="s">
        <v>271</v>
      </c>
      <c r="E8" s="221" t="s">
        <v>272</v>
      </c>
      <c r="F8" s="300"/>
      <c r="G8" s="200"/>
      <c r="H8" s="200"/>
      <c r="I8" s="200"/>
      <c r="J8" s="200"/>
      <c r="K8" s="200"/>
      <c r="L8" s="200"/>
      <c r="M8" s="200"/>
      <c r="N8" s="200"/>
      <c r="O8" s="200"/>
      <c r="P8" s="200"/>
      <c r="Q8" s="200"/>
      <c r="R8" s="200"/>
      <c r="S8" s="200"/>
      <c r="T8" s="200"/>
      <c r="U8" s="200"/>
      <c r="V8" s="200"/>
      <c r="W8" s="200"/>
      <c r="X8" s="200"/>
      <c r="Y8" s="200"/>
      <c r="Z8" s="200"/>
    </row>
    <row r="9" spans="1:26" ht="57" customHeight="1" x14ac:dyDescent="0.35">
      <c r="A9" s="204">
        <v>7</v>
      </c>
      <c r="B9" s="216" t="s">
        <v>18</v>
      </c>
      <c r="C9" s="277"/>
      <c r="D9" s="222">
        <v>0</v>
      </c>
      <c r="E9" s="223">
        <v>0</v>
      </c>
      <c r="F9" s="300"/>
      <c r="G9" s="200"/>
      <c r="H9" s="200"/>
      <c r="I9" s="200"/>
      <c r="J9" s="200"/>
      <c r="K9" s="200"/>
      <c r="L9" s="200"/>
      <c r="M9" s="200"/>
      <c r="N9" s="200"/>
      <c r="O9" s="200"/>
      <c r="P9" s="200"/>
      <c r="Q9" s="200"/>
      <c r="R9" s="200"/>
      <c r="S9" s="200"/>
      <c r="T9" s="200"/>
      <c r="U9" s="200"/>
      <c r="V9" s="200"/>
      <c r="W9" s="200"/>
      <c r="X9" s="200"/>
      <c r="Y9" s="200"/>
      <c r="Z9" s="200"/>
    </row>
    <row r="10" spans="1:26" ht="43.5" customHeight="1" x14ac:dyDescent="0.35">
      <c r="A10" s="204">
        <v>8</v>
      </c>
      <c r="B10" s="207" t="s">
        <v>19</v>
      </c>
      <c r="C10" s="277"/>
      <c r="D10" s="222">
        <v>0</v>
      </c>
      <c r="E10" s="224">
        <v>0</v>
      </c>
      <c r="F10" s="300"/>
      <c r="G10" s="200"/>
      <c r="H10" s="200"/>
      <c r="I10" s="200"/>
      <c r="J10" s="200"/>
      <c r="K10" s="200"/>
      <c r="L10" s="200"/>
      <c r="M10" s="200"/>
      <c r="N10" s="200"/>
      <c r="O10" s="200"/>
      <c r="P10" s="200"/>
      <c r="Q10" s="200"/>
      <c r="R10" s="200"/>
      <c r="S10" s="200"/>
      <c r="T10" s="200"/>
      <c r="U10" s="200"/>
      <c r="V10" s="200"/>
      <c r="W10" s="200"/>
      <c r="X10" s="200"/>
      <c r="Y10" s="200"/>
      <c r="Z10" s="200"/>
    </row>
    <row r="11" spans="1:26" ht="90.75" customHeight="1" x14ac:dyDescent="0.35">
      <c r="A11" s="204">
        <v>9</v>
      </c>
      <c r="B11" s="207" t="s">
        <v>20</v>
      </c>
      <c r="C11" s="277"/>
      <c r="D11" s="225"/>
      <c r="E11" s="226"/>
      <c r="F11" s="300"/>
      <c r="G11" s="200"/>
      <c r="H11" s="200"/>
      <c r="I11" s="200"/>
      <c r="J11" s="200"/>
      <c r="K11" s="200"/>
      <c r="L11" s="200"/>
      <c r="M11" s="200"/>
      <c r="N11" s="200"/>
      <c r="O11" s="200"/>
      <c r="P11" s="200"/>
      <c r="Q11" s="200"/>
      <c r="R11" s="200"/>
      <c r="S11" s="200"/>
      <c r="T11" s="200"/>
      <c r="U11" s="200"/>
      <c r="V11" s="200"/>
      <c r="W11" s="200"/>
      <c r="X11" s="200"/>
      <c r="Y11" s="200"/>
      <c r="Z11" s="200"/>
    </row>
    <row r="12" spans="1:26" ht="63" customHeight="1" x14ac:dyDescent="0.35">
      <c r="A12" s="204">
        <v>10</v>
      </c>
      <c r="B12" s="207" t="s">
        <v>24</v>
      </c>
      <c r="C12" s="272"/>
      <c r="D12" s="225" t="s">
        <v>273</v>
      </c>
      <c r="E12" s="227" t="s">
        <v>274</v>
      </c>
      <c r="F12" s="300"/>
      <c r="G12" s="200"/>
      <c r="H12" s="200"/>
      <c r="I12" s="200"/>
      <c r="J12" s="200"/>
      <c r="K12" s="200"/>
      <c r="L12" s="200"/>
      <c r="M12" s="200"/>
      <c r="N12" s="200"/>
      <c r="O12" s="200"/>
      <c r="P12" s="200"/>
      <c r="Q12" s="200"/>
      <c r="R12" s="200"/>
      <c r="S12" s="200"/>
      <c r="T12" s="200"/>
      <c r="U12" s="200"/>
      <c r="V12" s="200"/>
      <c r="W12" s="200"/>
      <c r="X12" s="200"/>
      <c r="Y12" s="200"/>
      <c r="Z12" s="200"/>
    </row>
    <row r="13" spans="1:26" ht="60.75" customHeight="1" x14ac:dyDescent="0.35">
      <c r="A13" s="204">
        <v>11</v>
      </c>
      <c r="B13" s="207" t="s">
        <v>27</v>
      </c>
      <c r="C13" s="315"/>
      <c r="D13" s="228" t="s">
        <v>275</v>
      </c>
      <c r="E13" s="226" t="s">
        <v>253</v>
      </c>
      <c r="F13" s="300"/>
      <c r="G13" s="200"/>
      <c r="H13" s="200"/>
      <c r="I13" s="200"/>
      <c r="J13" s="200"/>
      <c r="K13" s="200"/>
      <c r="L13" s="200"/>
      <c r="M13" s="200"/>
      <c r="N13" s="200"/>
      <c r="O13" s="200"/>
      <c r="P13" s="200"/>
      <c r="Q13" s="200"/>
      <c r="R13" s="200"/>
      <c r="S13" s="200"/>
      <c r="T13" s="200"/>
      <c r="U13" s="200"/>
      <c r="V13" s="200"/>
      <c r="W13" s="200"/>
      <c r="X13" s="200"/>
      <c r="Y13" s="200"/>
      <c r="Z13" s="200"/>
    </row>
    <row r="14" spans="1:26" ht="52.5" customHeight="1" x14ac:dyDescent="0.35">
      <c r="A14" s="204">
        <v>12</v>
      </c>
      <c r="B14" s="216" t="s">
        <v>30</v>
      </c>
      <c r="C14" s="277"/>
      <c r="D14" s="229">
        <v>1</v>
      </c>
      <c r="E14" s="230">
        <v>1</v>
      </c>
      <c r="F14" s="300"/>
      <c r="G14" s="200"/>
      <c r="H14" s="200"/>
      <c r="I14" s="200"/>
      <c r="J14" s="200"/>
      <c r="K14" s="200"/>
      <c r="L14" s="200"/>
      <c r="M14" s="200"/>
      <c r="N14" s="200"/>
      <c r="O14" s="200"/>
      <c r="P14" s="200"/>
      <c r="Q14" s="200"/>
      <c r="R14" s="200"/>
      <c r="S14" s="200"/>
      <c r="T14" s="200"/>
      <c r="U14" s="200"/>
      <c r="V14" s="200"/>
      <c r="W14" s="200"/>
      <c r="X14" s="200"/>
      <c r="Y14" s="200"/>
      <c r="Z14" s="200"/>
    </row>
    <row r="15" spans="1:26" ht="66.75" customHeight="1" x14ac:dyDescent="0.35">
      <c r="A15" s="204">
        <v>13</v>
      </c>
      <c r="B15" s="207" t="s">
        <v>32</v>
      </c>
      <c r="C15" s="272"/>
      <c r="D15" s="228" t="s">
        <v>276</v>
      </c>
      <c r="E15" s="226" t="s">
        <v>277</v>
      </c>
      <c r="F15" s="300"/>
      <c r="G15" s="200"/>
      <c r="H15" s="200"/>
      <c r="I15" s="200"/>
      <c r="J15" s="200"/>
      <c r="K15" s="200"/>
      <c r="L15" s="200"/>
      <c r="M15" s="200"/>
      <c r="N15" s="200"/>
      <c r="O15" s="200"/>
      <c r="P15" s="200"/>
      <c r="Q15" s="200"/>
      <c r="R15" s="200"/>
      <c r="S15" s="200"/>
      <c r="T15" s="200"/>
      <c r="U15" s="200"/>
      <c r="V15" s="200"/>
      <c r="W15" s="200"/>
      <c r="X15" s="200"/>
      <c r="Y15" s="200"/>
      <c r="Z15" s="200"/>
    </row>
    <row r="16" spans="1:26" ht="97.5" customHeight="1" x14ac:dyDescent="0.35">
      <c r="A16" s="204">
        <v>14</v>
      </c>
      <c r="B16" s="216" t="s">
        <v>35</v>
      </c>
      <c r="C16" s="231"/>
      <c r="D16" s="232" t="s">
        <v>278</v>
      </c>
      <c r="E16" s="233" t="s">
        <v>279</v>
      </c>
      <c r="F16" s="300"/>
      <c r="G16" s="200"/>
      <c r="H16" s="200"/>
      <c r="I16" s="200"/>
      <c r="J16" s="200"/>
      <c r="K16" s="200"/>
      <c r="L16" s="200"/>
      <c r="M16" s="200"/>
      <c r="N16" s="200"/>
      <c r="O16" s="200"/>
      <c r="P16" s="200"/>
      <c r="Q16" s="200"/>
      <c r="R16" s="200"/>
      <c r="S16" s="200"/>
      <c r="T16" s="200"/>
      <c r="U16" s="200"/>
      <c r="V16" s="200"/>
      <c r="W16" s="200"/>
      <c r="X16" s="200"/>
      <c r="Y16" s="200"/>
      <c r="Z16" s="200"/>
    </row>
    <row r="17" spans="1:26" ht="90.75" customHeight="1" x14ac:dyDescent="0.35">
      <c r="A17" s="204">
        <v>15</v>
      </c>
      <c r="B17" s="207" t="s">
        <v>38</v>
      </c>
      <c r="C17" s="207"/>
      <c r="D17" s="234" t="s">
        <v>280</v>
      </c>
      <c r="E17" s="235" t="s">
        <v>281</v>
      </c>
      <c r="F17" s="300"/>
      <c r="G17" s="200"/>
      <c r="H17" s="200"/>
      <c r="I17" s="200"/>
      <c r="J17" s="200"/>
      <c r="K17" s="200"/>
      <c r="L17" s="200"/>
      <c r="M17" s="200"/>
      <c r="N17" s="200"/>
      <c r="O17" s="200"/>
      <c r="P17" s="200"/>
      <c r="Q17" s="200"/>
      <c r="R17" s="200"/>
      <c r="S17" s="200"/>
      <c r="T17" s="200"/>
      <c r="U17" s="200"/>
      <c r="V17" s="200"/>
      <c r="W17" s="200"/>
      <c r="X17" s="200"/>
      <c r="Y17" s="200"/>
      <c r="Z17" s="200"/>
    </row>
    <row r="18" spans="1:26" ht="133.5" customHeight="1" x14ac:dyDescent="0.35">
      <c r="A18" s="204">
        <v>16</v>
      </c>
      <c r="B18" s="207" t="s">
        <v>41</v>
      </c>
      <c r="C18" s="236"/>
      <c r="D18" s="237" t="s">
        <v>282</v>
      </c>
      <c r="E18" s="238" t="s">
        <v>283</v>
      </c>
      <c r="F18" s="301"/>
      <c r="G18" s="200"/>
      <c r="H18" s="200"/>
      <c r="I18" s="200"/>
      <c r="J18" s="200"/>
      <c r="K18" s="200"/>
      <c r="L18" s="200"/>
      <c r="M18" s="200"/>
      <c r="N18" s="200"/>
      <c r="O18" s="200"/>
      <c r="P18" s="200"/>
      <c r="Q18" s="200"/>
      <c r="R18" s="200"/>
      <c r="S18" s="200"/>
      <c r="T18" s="200"/>
      <c r="U18" s="200"/>
      <c r="V18" s="200"/>
      <c r="W18" s="200"/>
      <c r="X18" s="200"/>
      <c r="Y18" s="200"/>
      <c r="Z18" s="200"/>
    </row>
    <row r="19" spans="1:26" ht="21.75" customHeight="1" x14ac:dyDescent="0.35">
      <c r="A19" s="316"/>
      <c r="B19" s="317"/>
      <c r="C19" s="317"/>
      <c r="D19" s="317"/>
      <c r="E19" s="317"/>
      <c r="F19" s="317"/>
      <c r="G19" s="200"/>
      <c r="H19" s="200"/>
      <c r="I19" s="200"/>
      <c r="J19" s="200"/>
      <c r="K19" s="200"/>
      <c r="L19" s="200"/>
      <c r="M19" s="200"/>
      <c r="N19" s="200"/>
      <c r="O19" s="200"/>
      <c r="P19" s="200"/>
      <c r="Q19" s="200"/>
      <c r="R19" s="200"/>
      <c r="S19" s="200"/>
      <c r="T19" s="200"/>
      <c r="U19" s="200"/>
      <c r="V19" s="200"/>
      <c r="W19" s="200"/>
      <c r="X19" s="200"/>
      <c r="Y19" s="200"/>
      <c r="Z19" s="200"/>
    </row>
    <row r="20" spans="1:26" ht="44.25" customHeight="1" x14ac:dyDescent="0.3">
      <c r="A20" s="175"/>
      <c r="B20" s="175" t="s">
        <v>43</v>
      </c>
      <c r="C20" s="176"/>
      <c r="D20" s="176"/>
      <c r="E20" s="176"/>
      <c r="F20" s="176"/>
      <c r="G20" s="176"/>
      <c r="H20" s="176"/>
      <c r="I20" s="176"/>
      <c r="J20" s="133"/>
      <c r="K20" s="133"/>
      <c r="L20" s="133"/>
      <c r="M20" s="133"/>
      <c r="N20" s="133"/>
      <c r="O20" s="133"/>
      <c r="P20" s="133"/>
      <c r="Q20" s="133"/>
      <c r="R20" s="133"/>
      <c r="S20" s="133"/>
      <c r="T20" s="133"/>
      <c r="U20" s="133"/>
      <c r="V20" s="133"/>
      <c r="W20" s="133"/>
      <c r="X20" s="133"/>
      <c r="Y20" s="133"/>
      <c r="Z20" s="133"/>
    </row>
    <row r="21" spans="1:26" ht="36" customHeight="1" x14ac:dyDescent="0.3">
      <c r="A21" s="177" t="s">
        <v>44</v>
      </c>
      <c r="B21" s="178" t="s">
        <v>45</v>
      </c>
      <c r="C21" s="177" t="s">
        <v>46</v>
      </c>
      <c r="D21" s="177" t="s">
        <v>47</v>
      </c>
      <c r="E21" s="177" t="s">
        <v>48</v>
      </c>
      <c r="F21" s="177" t="s">
        <v>49</v>
      </c>
      <c r="G21" s="177" t="s">
        <v>50</v>
      </c>
      <c r="H21" s="179" t="s">
        <v>51</v>
      </c>
      <c r="I21" s="180" t="s">
        <v>52</v>
      </c>
      <c r="J21" s="133"/>
      <c r="K21" s="133"/>
      <c r="L21" s="133"/>
      <c r="M21" s="133"/>
      <c r="N21" s="133"/>
      <c r="O21" s="133"/>
      <c r="P21" s="133"/>
      <c r="Q21" s="133"/>
      <c r="R21" s="133"/>
      <c r="S21" s="133"/>
      <c r="T21" s="133"/>
      <c r="U21" s="133"/>
      <c r="V21" s="133"/>
      <c r="W21" s="133"/>
      <c r="X21" s="133"/>
      <c r="Y21" s="133"/>
      <c r="Z21" s="133"/>
    </row>
    <row r="22" spans="1:26" ht="18" customHeight="1" x14ac:dyDescent="0.3">
      <c r="A22" s="181">
        <v>46111</v>
      </c>
      <c r="B22" s="182" t="s">
        <v>53</v>
      </c>
      <c r="C22" s="183">
        <v>2</v>
      </c>
      <c r="D22" s="182">
        <v>20500</v>
      </c>
      <c r="E22" s="183">
        <v>2500</v>
      </c>
      <c r="F22" s="183" t="s">
        <v>263</v>
      </c>
      <c r="G22" s="239" t="s">
        <v>284</v>
      </c>
      <c r="H22" s="240" t="s">
        <v>285</v>
      </c>
      <c r="I22" s="241" t="s">
        <v>265</v>
      </c>
      <c r="J22" s="133"/>
      <c r="K22" s="133"/>
      <c r="L22" s="133"/>
      <c r="M22" s="133"/>
      <c r="N22" s="133"/>
      <c r="O22" s="133"/>
      <c r="P22" s="133"/>
      <c r="Q22" s="133"/>
      <c r="R22" s="133"/>
      <c r="S22" s="133"/>
      <c r="T22" s="133"/>
      <c r="U22" s="133"/>
      <c r="V22" s="133"/>
      <c r="W22" s="133"/>
      <c r="X22" s="133"/>
      <c r="Y22" s="133"/>
      <c r="Z22" s="133"/>
    </row>
    <row r="23" spans="1:26" ht="18" customHeight="1" x14ac:dyDescent="0.3">
      <c r="A23" s="181">
        <v>46112</v>
      </c>
      <c r="B23" s="182" t="s">
        <v>58</v>
      </c>
      <c r="C23" s="183"/>
      <c r="D23" s="182"/>
      <c r="E23" s="183"/>
      <c r="F23" s="183"/>
      <c r="G23" s="239"/>
      <c r="H23" s="42"/>
      <c r="I23" s="241"/>
      <c r="J23" s="133"/>
      <c r="K23" s="133"/>
      <c r="L23" s="133"/>
      <c r="M23" s="133"/>
      <c r="N23" s="133"/>
      <c r="O23" s="133"/>
      <c r="P23" s="133"/>
      <c r="Q23" s="133"/>
      <c r="R23" s="133"/>
      <c r="S23" s="133"/>
      <c r="T23" s="133"/>
      <c r="U23" s="133"/>
      <c r="V23" s="133"/>
      <c r="W23" s="133"/>
      <c r="X23" s="133"/>
      <c r="Y23" s="133"/>
      <c r="Z23" s="133"/>
    </row>
    <row r="24" spans="1:26" ht="18" customHeight="1" x14ac:dyDescent="0.3">
      <c r="A24" s="242">
        <v>46113</v>
      </c>
      <c r="B24" s="182" t="s">
        <v>62</v>
      </c>
      <c r="C24" s="183"/>
      <c r="D24" s="182"/>
      <c r="E24" s="183"/>
      <c r="F24" s="183"/>
      <c r="G24" s="239"/>
      <c r="H24" s="243"/>
      <c r="I24" s="241"/>
      <c r="J24" s="133"/>
      <c r="K24" s="133"/>
      <c r="L24" s="133"/>
      <c r="M24" s="133"/>
      <c r="N24" s="133"/>
      <c r="O24" s="133"/>
      <c r="P24" s="133"/>
      <c r="Q24" s="133"/>
      <c r="R24" s="133"/>
      <c r="S24" s="133"/>
      <c r="T24" s="133"/>
      <c r="U24" s="133"/>
      <c r="V24" s="133"/>
      <c r="W24" s="133"/>
      <c r="X24" s="133"/>
      <c r="Y24" s="133"/>
      <c r="Z24" s="133"/>
    </row>
    <row r="25" spans="1:26" ht="18" customHeight="1" x14ac:dyDescent="0.3">
      <c r="A25" s="181">
        <v>46114</v>
      </c>
      <c r="B25" s="182" t="s">
        <v>66</v>
      </c>
      <c r="C25" s="183">
        <v>1</v>
      </c>
      <c r="D25" s="182">
        <v>15000</v>
      </c>
      <c r="E25" s="183">
        <v>2000</v>
      </c>
      <c r="F25" s="183" t="s">
        <v>286</v>
      </c>
      <c r="G25" s="40" t="s">
        <v>287</v>
      </c>
      <c r="H25" s="41">
        <v>77058290995</v>
      </c>
      <c r="I25" s="241" t="s">
        <v>265</v>
      </c>
      <c r="J25" s="133"/>
      <c r="K25" s="133"/>
      <c r="L25" s="133"/>
      <c r="M25" s="133"/>
      <c r="N25" s="133"/>
      <c r="O25" s="133"/>
      <c r="P25" s="133"/>
      <c r="Q25" s="133"/>
      <c r="R25" s="133"/>
      <c r="S25" s="133"/>
      <c r="T25" s="133"/>
      <c r="U25" s="133"/>
      <c r="V25" s="133"/>
      <c r="W25" s="133"/>
      <c r="X25" s="133"/>
      <c r="Y25" s="133"/>
      <c r="Z25" s="133"/>
    </row>
    <row r="26" spans="1:26" ht="18" customHeight="1" x14ac:dyDescent="0.3">
      <c r="A26" s="181">
        <v>46115</v>
      </c>
      <c r="B26" s="182" t="s">
        <v>69</v>
      </c>
      <c r="C26" s="183"/>
      <c r="D26" s="182"/>
      <c r="E26" s="183"/>
      <c r="F26" s="183"/>
      <c r="G26" s="40"/>
      <c r="H26" s="41"/>
      <c r="I26" s="244"/>
      <c r="J26" s="133"/>
      <c r="K26" s="133"/>
      <c r="L26" s="133"/>
      <c r="M26" s="133"/>
      <c r="N26" s="133"/>
      <c r="O26" s="133"/>
      <c r="P26" s="133"/>
      <c r="Q26" s="133"/>
      <c r="R26" s="133"/>
      <c r="S26" s="133"/>
      <c r="T26" s="133"/>
      <c r="U26" s="133"/>
      <c r="V26" s="133"/>
      <c r="W26" s="133"/>
      <c r="X26" s="133"/>
      <c r="Y26" s="133"/>
      <c r="Z26" s="133"/>
    </row>
    <row r="27" spans="1:26" ht="18" customHeight="1" x14ac:dyDescent="0.3">
      <c r="A27" s="242">
        <v>46116</v>
      </c>
      <c r="B27" s="182" t="s">
        <v>70</v>
      </c>
      <c r="C27" s="183">
        <v>1</v>
      </c>
      <c r="D27" s="182">
        <v>10400</v>
      </c>
      <c r="E27" s="183">
        <v>2080</v>
      </c>
      <c r="F27" s="183" t="s">
        <v>286</v>
      </c>
      <c r="G27" s="40" t="s">
        <v>287</v>
      </c>
      <c r="H27" s="41">
        <v>77472209248</v>
      </c>
      <c r="I27" s="244" t="s">
        <v>265</v>
      </c>
      <c r="J27" s="133"/>
      <c r="K27" s="133"/>
      <c r="L27" s="133"/>
      <c r="M27" s="133"/>
      <c r="N27" s="133"/>
      <c r="O27" s="133"/>
      <c r="P27" s="133"/>
      <c r="Q27" s="133"/>
      <c r="R27" s="133"/>
      <c r="S27" s="133"/>
      <c r="T27" s="133"/>
      <c r="U27" s="133"/>
      <c r="V27" s="133"/>
      <c r="W27" s="133"/>
      <c r="X27" s="133"/>
      <c r="Y27" s="133"/>
      <c r="Z27" s="133"/>
    </row>
    <row r="28" spans="1:26" ht="61.5" customHeight="1" x14ac:dyDescent="0.3">
      <c r="A28" s="245">
        <v>46117</v>
      </c>
      <c r="B28" s="182" t="s">
        <v>71</v>
      </c>
      <c r="C28" s="239">
        <v>1</v>
      </c>
      <c r="D28" s="182">
        <v>10000</v>
      </c>
      <c r="E28" s="239">
        <v>2000</v>
      </c>
      <c r="F28" s="239" t="s">
        <v>288</v>
      </c>
      <c r="G28" s="239" t="s">
        <v>289</v>
      </c>
      <c r="H28" s="246">
        <v>77765007700</v>
      </c>
      <c r="I28" s="244" t="s">
        <v>290</v>
      </c>
      <c r="J28" s="133"/>
      <c r="K28" s="133"/>
      <c r="L28" s="133"/>
      <c r="M28" s="133"/>
      <c r="N28" s="133"/>
      <c r="O28" s="133"/>
      <c r="P28" s="133"/>
      <c r="Q28" s="133"/>
      <c r="R28" s="133"/>
      <c r="S28" s="133"/>
      <c r="T28" s="133"/>
      <c r="U28" s="133"/>
      <c r="V28" s="133"/>
      <c r="W28" s="133"/>
      <c r="X28" s="133"/>
      <c r="Y28" s="133"/>
      <c r="Z28" s="133"/>
    </row>
    <row r="29" spans="1:26" ht="18" customHeight="1" x14ac:dyDescent="0.3">
      <c r="A29" s="247"/>
      <c r="B29" s="182"/>
      <c r="C29" s="239"/>
      <c r="D29" s="182"/>
      <c r="E29" s="239"/>
      <c r="F29" s="239"/>
      <c r="G29" s="239"/>
      <c r="H29" s="243"/>
      <c r="I29" s="241"/>
      <c r="J29" s="133"/>
      <c r="K29" s="133"/>
      <c r="L29" s="133"/>
      <c r="M29" s="133"/>
      <c r="N29" s="133"/>
      <c r="O29" s="133"/>
      <c r="P29" s="133"/>
      <c r="Q29" s="133"/>
      <c r="R29" s="133"/>
      <c r="S29" s="133"/>
      <c r="T29" s="133"/>
      <c r="U29" s="133"/>
      <c r="V29" s="133"/>
      <c r="W29" s="133"/>
      <c r="X29" s="133"/>
      <c r="Y29" s="133"/>
      <c r="Z29" s="133"/>
    </row>
    <row r="30" spans="1:26" ht="18" customHeight="1" x14ac:dyDescent="0.3">
      <c r="A30" s="247"/>
      <c r="B30" s="182"/>
      <c r="C30" s="239"/>
      <c r="D30" s="182"/>
      <c r="E30" s="239"/>
      <c r="F30" s="239"/>
      <c r="G30" s="239"/>
      <c r="H30" s="243"/>
      <c r="I30" s="241"/>
      <c r="J30" s="133"/>
      <c r="K30" s="133"/>
      <c r="L30" s="133"/>
      <c r="M30" s="133"/>
      <c r="N30" s="133"/>
      <c r="O30" s="133"/>
      <c r="P30" s="133"/>
      <c r="Q30" s="133"/>
      <c r="R30" s="133"/>
      <c r="S30" s="133"/>
      <c r="T30" s="133"/>
      <c r="U30" s="133"/>
      <c r="V30" s="133"/>
      <c r="W30" s="133"/>
      <c r="X30" s="133"/>
      <c r="Y30" s="133"/>
      <c r="Z30" s="133"/>
    </row>
    <row r="31" spans="1:26" ht="18" customHeight="1" x14ac:dyDescent="0.3">
      <c r="A31" s="247"/>
      <c r="B31" s="182"/>
      <c r="C31" s="239"/>
      <c r="D31" s="182"/>
      <c r="E31" s="239"/>
      <c r="F31" s="239"/>
      <c r="G31" s="239"/>
      <c r="H31" s="243"/>
      <c r="I31" s="241"/>
      <c r="J31" s="133"/>
      <c r="K31" s="133"/>
      <c r="L31" s="133"/>
      <c r="M31" s="133"/>
      <c r="N31" s="133"/>
      <c r="O31" s="133"/>
      <c r="P31" s="133"/>
      <c r="Q31" s="133"/>
      <c r="R31" s="133"/>
      <c r="S31" s="133"/>
      <c r="T31" s="133"/>
      <c r="U31" s="133"/>
      <c r="V31" s="133"/>
      <c r="W31" s="133"/>
      <c r="X31" s="133"/>
      <c r="Y31" s="133"/>
      <c r="Z31" s="133"/>
    </row>
    <row r="32" spans="1:26" ht="18" customHeight="1" x14ac:dyDescent="0.3">
      <c r="A32" s="187"/>
      <c r="B32" s="182"/>
      <c r="C32" s="183"/>
      <c r="D32" s="182"/>
      <c r="E32" s="183"/>
      <c r="F32" s="183"/>
      <c r="G32" s="183"/>
      <c r="H32" s="184"/>
      <c r="I32" s="186"/>
      <c r="J32" s="133"/>
      <c r="K32" s="133"/>
      <c r="L32" s="133"/>
      <c r="M32" s="133"/>
      <c r="N32" s="133"/>
      <c r="O32" s="133"/>
      <c r="P32" s="133"/>
      <c r="Q32" s="133"/>
      <c r="R32" s="133"/>
      <c r="S32" s="133"/>
      <c r="T32" s="133"/>
      <c r="U32" s="133"/>
      <c r="V32" s="133"/>
      <c r="W32" s="133"/>
      <c r="X32" s="133"/>
      <c r="Y32" s="133"/>
      <c r="Z32" s="133"/>
    </row>
    <row r="33" spans="1:26" ht="18" customHeight="1" x14ac:dyDescent="0.3">
      <c r="A33" s="187"/>
      <c r="B33" s="182"/>
      <c r="C33" s="183"/>
      <c r="D33" s="182"/>
      <c r="E33" s="183"/>
      <c r="F33" s="183"/>
      <c r="G33" s="183"/>
      <c r="H33" s="184"/>
      <c r="I33" s="186"/>
      <c r="J33" s="133"/>
      <c r="K33" s="133"/>
      <c r="L33" s="133"/>
      <c r="M33" s="133"/>
      <c r="N33" s="133"/>
      <c r="O33" s="133"/>
      <c r="P33" s="133"/>
      <c r="Q33" s="133"/>
      <c r="R33" s="133"/>
      <c r="S33" s="133"/>
      <c r="T33" s="133"/>
      <c r="U33" s="133"/>
      <c r="V33" s="133"/>
      <c r="W33" s="133"/>
      <c r="X33" s="133"/>
      <c r="Y33" s="133"/>
      <c r="Z33" s="133"/>
    </row>
    <row r="34" spans="1:26" ht="18" customHeight="1" x14ac:dyDescent="0.3">
      <c r="A34" s="187"/>
      <c r="B34" s="182"/>
      <c r="C34" s="183"/>
      <c r="D34" s="182"/>
      <c r="E34" s="183"/>
      <c r="F34" s="183"/>
      <c r="G34" s="183"/>
      <c r="H34" s="184"/>
      <c r="I34" s="185"/>
      <c r="J34" s="133"/>
      <c r="K34" s="133"/>
      <c r="L34" s="133"/>
      <c r="M34" s="133"/>
      <c r="N34" s="133"/>
      <c r="O34" s="133"/>
      <c r="P34" s="133"/>
      <c r="Q34" s="133"/>
      <c r="R34" s="133"/>
      <c r="S34" s="133"/>
      <c r="T34" s="133"/>
      <c r="U34" s="133"/>
      <c r="V34" s="133"/>
      <c r="W34" s="133"/>
      <c r="X34" s="133"/>
      <c r="Y34" s="133"/>
      <c r="Z34" s="133"/>
    </row>
    <row r="35" spans="1:26" ht="18" customHeight="1" x14ac:dyDescent="0.3">
      <c r="A35" s="187"/>
      <c r="B35" s="188"/>
      <c r="C35" s="183"/>
      <c r="D35" s="182"/>
      <c r="E35" s="183"/>
      <c r="F35" s="183"/>
      <c r="G35" s="183"/>
      <c r="H35" s="184"/>
      <c r="I35" s="186"/>
      <c r="J35" s="133"/>
      <c r="K35" s="133"/>
      <c r="L35" s="133"/>
      <c r="M35" s="133"/>
      <c r="N35" s="133"/>
      <c r="O35" s="133"/>
      <c r="P35" s="133"/>
      <c r="Q35" s="133"/>
      <c r="R35" s="133"/>
      <c r="S35" s="133"/>
      <c r="T35" s="133"/>
      <c r="U35" s="133"/>
      <c r="V35" s="133"/>
      <c r="W35" s="133"/>
      <c r="X35" s="133"/>
      <c r="Y35" s="133"/>
      <c r="Z35" s="133"/>
    </row>
    <row r="36" spans="1:26" ht="18" customHeight="1" x14ac:dyDescent="0.3">
      <c r="A36" s="187"/>
      <c r="B36" s="189"/>
      <c r="C36" s="183"/>
      <c r="D36" s="182"/>
      <c r="E36" s="183"/>
      <c r="F36" s="183"/>
      <c r="G36" s="183"/>
      <c r="H36" s="184"/>
      <c r="I36" s="186"/>
      <c r="J36" s="133"/>
      <c r="K36" s="133"/>
      <c r="L36" s="133"/>
      <c r="M36" s="133"/>
      <c r="N36" s="133"/>
      <c r="O36" s="133"/>
      <c r="P36" s="133"/>
      <c r="Q36" s="133"/>
      <c r="R36" s="133"/>
      <c r="S36" s="133"/>
      <c r="T36" s="133"/>
      <c r="U36" s="133"/>
      <c r="V36" s="133"/>
      <c r="W36" s="133"/>
      <c r="X36" s="133"/>
      <c r="Y36" s="133"/>
      <c r="Z36" s="133"/>
    </row>
    <row r="37" spans="1:26" ht="18" customHeight="1" x14ac:dyDescent="0.3">
      <c r="A37" s="187"/>
      <c r="B37" s="189"/>
      <c r="C37" s="183"/>
      <c r="D37" s="182"/>
      <c r="E37" s="183"/>
      <c r="F37" s="183"/>
      <c r="G37" s="183"/>
      <c r="H37" s="184"/>
      <c r="I37" s="186"/>
      <c r="J37" s="133"/>
      <c r="K37" s="133"/>
      <c r="L37" s="133"/>
      <c r="M37" s="133"/>
      <c r="N37" s="133"/>
      <c r="O37" s="133"/>
      <c r="P37" s="133"/>
      <c r="Q37" s="133"/>
      <c r="R37" s="133"/>
      <c r="S37" s="133"/>
      <c r="T37" s="133"/>
      <c r="U37" s="133"/>
      <c r="V37" s="133"/>
      <c r="W37" s="133"/>
      <c r="X37" s="133"/>
      <c r="Y37" s="133"/>
      <c r="Z37" s="133"/>
    </row>
    <row r="38" spans="1:26" ht="18" customHeight="1" x14ac:dyDescent="0.3">
      <c r="A38" s="190"/>
      <c r="B38" s="189"/>
      <c r="C38" s="183"/>
      <c r="D38" s="182"/>
      <c r="E38" s="183"/>
      <c r="F38" s="183"/>
      <c r="G38" s="183"/>
      <c r="H38" s="184"/>
      <c r="I38" s="191"/>
      <c r="J38" s="133"/>
      <c r="K38" s="133"/>
      <c r="L38" s="133"/>
      <c r="M38" s="133"/>
      <c r="N38" s="133"/>
      <c r="O38" s="133"/>
      <c r="P38" s="133"/>
      <c r="Q38" s="133"/>
      <c r="R38" s="133"/>
      <c r="S38" s="133"/>
      <c r="T38" s="133"/>
      <c r="U38" s="133"/>
      <c r="V38" s="133"/>
      <c r="W38" s="133"/>
      <c r="X38" s="133"/>
      <c r="Y38" s="133"/>
      <c r="Z38" s="133"/>
    </row>
    <row r="39" spans="1:26" ht="18" customHeight="1" x14ac:dyDescent="0.3">
      <c r="A39" s="190"/>
      <c r="B39" s="189"/>
      <c r="C39" s="183"/>
      <c r="D39" s="182"/>
      <c r="E39" s="183"/>
      <c r="F39" s="183"/>
      <c r="G39" s="183"/>
      <c r="H39" s="184"/>
      <c r="I39" s="191"/>
      <c r="J39" s="133"/>
      <c r="K39" s="133"/>
      <c r="L39" s="133"/>
      <c r="M39" s="133"/>
      <c r="N39" s="133"/>
      <c r="O39" s="133"/>
      <c r="P39" s="133"/>
      <c r="Q39" s="133"/>
      <c r="R39" s="133"/>
      <c r="S39" s="133"/>
      <c r="T39" s="133"/>
      <c r="U39" s="133"/>
      <c r="V39" s="133"/>
      <c r="W39" s="133"/>
      <c r="X39" s="133"/>
      <c r="Y39" s="133"/>
      <c r="Z39" s="133"/>
    </row>
    <row r="40" spans="1:26" ht="18" customHeight="1" x14ac:dyDescent="0.3">
      <c r="A40" s="188"/>
      <c r="B40" s="189"/>
      <c r="C40" s="183"/>
      <c r="D40" s="182"/>
      <c r="E40" s="183"/>
      <c r="F40" s="183"/>
      <c r="G40" s="183"/>
      <c r="H40" s="184"/>
      <c r="I40" s="191"/>
      <c r="J40" s="133"/>
      <c r="K40" s="133"/>
      <c r="L40" s="133"/>
      <c r="M40" s="133"/>
      <c r="N40" s="133"/>
      <c r="O40" s="133"/>
      <c r="P40" s="133"/>
      <c r="Q40" s="133"/>
      <c r="R40" s="133"/>
      <c r="S40" s="133"/>
      <c r="T40" s="133"/>
      <c r="U40" s="133"/>
      <c r="V40" s="133"/>
      <c r="W40" s="133"/>
      <c r="X40" s="133"/>
      <c r="Y40" s="133"/>
      <c r="Z40" s="133"/>
    </row>
    <row r="41" spans="1:26" ht="18" customHeight="1" x14ac:dyDescent="0.3">
      <c r="A41" s="192"/>
      <c r="B41" s="192">
        <f>COUNTA(B22:B40)</f>
        <v>7</v>
      </c>
      <c r="C41" s="192">
        <f t="shared" ref="C41:F41" si="0">SUM(C22:C40)</f>
        <v>5</v>
      </c>
      <c r="D41" s="192">
        <f t="shared" si="0"/>
        <v>55900</v>
      </c>
      <c r="E41" s="192">
        <f t="shared" si="0"/>
        <v>8580</v>
      </c>
      <c r="F41" s="192">
        <f t="shared" si="0"/>
        <v>0</v>
      </c>
      <c r="G41" s="193"/>
      <c r="H41" s="194"/>
      <c r="I41" s="195"/>
      <c r="J41" s="133"/>
      <c r="K41" s="133"/>
      <c r="L41" s="133"/>
      <c r="M41" s="133"/>
      <c r="N41" s="133"/>
      <c r="O41" s="133"/>
      <c r="P41" s="133"/>
      <c r="Q41" s="133"/>
      <c r="R41" s="133"/>
      <c r="S41" s="133"/>
      <c r="T41" s="133"/>
      <c r="U41" s="133"/>
      <c r="V41" s="133"/>
      <c r="W41" s="133"/>
      <c r="X41" s="133"/>
      <c r="Y41" s="133"/>
      <c r="Z41" s="133"/>
    </row>
    <row r="42" spans="1:26" ht="18" customHeight="1" x14ac:dyDescent="0.3">
      <c r="A42" s="172"/>
      <c r="B42" s="173"/>
      <c r="C42" s="174"/>
      <c r="D42" s="174"/>
      <c r="E42" s="133"/>
      <c r="F42" s="133"/>
      <c r="G42" s="133"/>
      <c r="H42" s="133"/>
      <c r="I42" s="133"/>
      <c r="J42" s="133"/>
      <c r="K42" s="133"/>
      <c r="L42" s="133"/>
      <c r="M42" s="133"/>
      <c r="N42" s="133"/>
      <c r="O42" s="133"/>
      <c r="P42" s="133"/>
      <c r="Q42" s="133"/>
      <c r="R42" s="133"/>
      <c r="S42" s="133"/>
      <c r="T42" s="133"/>
      <c r="U42" s="133"/>
      <c r="V42" s="133"/>
      <c r="W42" s="133"/>
      <c r="X42" s="133"/>
      <c r="Y42" s="133"/>
      <c r="Z42" s="133"/>
    </row>
    <row r="43" spans="1:26" ht="18" customHeight="1" x14ac:dyDescent="0.3">
      <c r="A43" s="303" t="s">
        <v>72</v>
      </c>
      <c r="B43" s="270"/>
      <c r="C43" s="174"/>
      <c r="D43" s="174"/>
      <c r="E43" s="133"/>
      <c r="F43" s="133"/>
      <c r="G43" s="133"/>
      <c r="H43" s="133"/>
      <c r="I43" s="133"/>
      <c r="J43" s="133"/>
      <c r="K43" s="133"/>
      <c r="L43" s="133"/>
      <c r="M43" s="133"/>
      <c r="N43" s="133"/>
      <c r="O43" s="133"/>
      <c r="P43" s="133"/>
      <c r="Q43" s="133"/>
      <c r="R43" s="133"/>
      <c r="S43" s="133"/>
      <c r="T43" s="133"/>
      <c r="U43" s="133"/>
      <c r="V43" s="133"/>
      <c r="W43" s="133"/>
      <c r="X43" s="133"/>
      <c r="Y43" s="133"/>
      <c r="Z43" s="133"/>
    </row>
    <row r="44" spans="1:26" ht="18" customHeight="1" x14ac:dyDescent="0.3">
      <c r="A44" s="304" t="s">
        <v>269</v>
      </c>
      <c r="B44" s="305"/>
      <c r="C44" s="196">
        <v>9</v>
      </c>
      <c r="D44" s="197">
        <v>81400</v>
      </c>
      <c r="E44" s="198">
        <v>14120</v>
      </c>
      <c r="F44" s="133"/>
      <c r="G44" s="133"/>
      <c r="H44" s="133"/>
      <c r="I44" s="133"/>
      <c r="J44" s="133"/>
      <c r="K44" s="133"/>
      <c r="L44" s="133"/>
      <c r="M44" s="133"/>
      <c r="N44" s="133"/>
      <c r="O44" s="133"/>
      <c r="P44" s="133"/>
      <c r="Q44" s="133"/>
      <c r="R44" s="133"/>
      <c r="S44" s="133"/>
      <c r="T44" s="133"/>
      <c r="U44" s="133"/>
      <c r="V44" s="133"/>
      <c r="W44" s="133"/>
      <c r="X44" s="133"/>
      <c r="Y44" s="133"/>
      <c r="Z44" s="133"/>
    </row>
    <row r="45" spans="1:26" ht="18" customHeight="1" x14ac:dyDescent="0.3">
      <c r="A45" s="172"/>
      <c r="B45" s="173"/>
      <c r="C45" s="174"/>
      <c r="D45" s="174"/>
      <c r="E45" s="133"/>
      <c r="F45" s="133"/>
      <c r="G45" s="133"/>
      <c r="H45" s="133"/>
      <c r="I45" s="133"/>
      <c r="J45" s="133"/>
      <c r="K45" s="133"/>
      <c r="L45" s="133"/>
      <c r="M45" s="133"/>
      <c r="N45" s="133"/>
      <c r="O45" s="133"/>
      <c r="P45" s="133"/>
      <c r="Q45" s="133"/>
      <c r="R45" s="133"/>
      <c r="S45" s="133"/>
      <c r="T45" s="133"/>
      <c r="U45" s="133"/>
      <c r="V45" s="133"/>
      <c r="W45" s="133"/>
      <c r="X45" s="133"/>
      <c r="Y45" s="133"/>
      <c r="Z45" s="133"/>
    </row>
    <row r="46" spans="1:26" ht="21" customHeight="1" x14ac:dyDescent="0.35">
      <c r="A46" s="248"/>
      <c r="B46" s="249"/>
      <c r="C46" s="250"/>
      <c r="D46" s="250"/>
      <c r="E46" s="200"/>
      <c r="F46" s="200"/>
      <c r="G46" s="200"/>
      <c r="H46" s="200"/>
      <c r="I46" s="200"/>
      <c r="J46" s="200"/>
      <c r="K46" s="200"/>
      <c r="L46" s="200"/>
      <c r="M46" s="200"/>
      <c r="N46" s="200"/>
      <c r="O46" s="200"/>
      <c r="P46" s="200"/>
      <c r="Q46" s="200"/>
      <c r="R46" s="200"/>
      <c r="S46" s="200"/>
      <c r="T46" s="200"/>
      <c r="U46" s="200"/>
      <c r="V46" s="200"/>
      <c r="W46" s="200"/>
      <c r="X46" s="200"/>
      <c r="Y46" s="200"/>
      <c r="Z46" s="200"/>
    </row>
    <row r="47" spans="1:26" ht="21" customHeight="1" x14ac:dyDescent="0.35">
      <c r="A47" s="248"/>
      <c r="B47" s="249"/>
      <c r="C47" s="250"/>
      <c r="D47" s="250"/>
      <c r="E47" s="200"/>
      <c r="F47" s="200"/>
      <c r="G47" s="200"/>
      <c r="H47" s="200"/>
      <c r="I47" s="200"/>
      <c r="J47" s="200"/>
      <c r="K47" s="200"/>
      <c r="L47" s="200"/>
      <c r="M47" s="200"/>
      <c r="N47" s="200"/>
      <c r="O47" s="200"/>
      <c r="P47" s="200"/>
      <c r="Q47" s="200"/>
      <c r="R47" s="200"/>
      <c r="S47" s="200"/>
      <c r="T47" s="200"/>
      <c r="U47" s="200"/>
      <c r="V47" s="200"/>
      <c r="W47" s="200"/>
      <c r="X47" s="200"/>
      <c r="Y47" s="200"/>
      <c r="Z47" s="200"/>
    </row>
    <row r="48" spans="1:26" ht="21" customHeight="1" x14ac:dyDescent="0.35">
      <c r="A48" s="248"/>
      <c r="B48" s="249"/>
      <c r="C48" s="250"/>
      <c r="D48" s="250"/>
      <c r="E48" s="200"/>
      <c r="F48" s="200"/>
      <c r="G48" s="200"/>
      <c r="H48" s="200"/>
      <c r="I48" s="200"/>
      <c r="J48" s="200"/>
      <c r="K48" s="200"/>
      <c r="L48" s="200"/>
      <c r="M48" s="200"/>
      <c r="N48" s="200"/>
      <c r="O48" s="200"/>
      <c r="P48" s="200"/>
      <c r="Q48" s="200"/>
      <c r="R48" s="200"/>
      <c r="S48" s="200"/>
      <c r="T48" s="200"/>
      <c r="U48" s="200"/>
      <c r="V48" s="200"/>
      <c r="W48" s="200"/>
      <c r="X48" s="200"/>
      <c r="Y48" s="200"/>
      <c r="Z48" s="200"/>
    </row>
    <row r="49" spans="1:26" ht="21" customHeight="1" x14ac:dyDescent="0.35">
      <c r="A49" s="248"/>
      <c r="B49" s="249"/>
      <c r="C49" s="250"/>
      <c r="D49" s="250"/>
      <c r="E49" s="200"/>
      <c r="F49" s="200"/>
      <c r="G49" s="200"/>
      <c r="H49" s="200"/>
      <c r="I49" s="200"/>
      <c r="J49" s="200"/>
      <c r="K49" s="200"/>
      <c r="L49" s="200"/>
      <c r="M49" s="200"/>
      <c r="N49" s="200"/>
      <c r="O49" s="200"/>
      <c r="P49" s="200"/>
      <c r="Q49" s="200"/>
      <c r="R49" s="200"/>
      <c r="S49" s="200"/>
      <c r="T49" s="200"/>
      <c r="U49" s="200"/>
      <c r="V49" s="200"/>
      <c r="W49" s="200"/>
      <c r="X49" s="200"/>
      <c r="Y49" s="200"/>
      <c r="Z49" s="200"/>
    </row>
    <row r="50" spans="1:26" ht="21" customHeight="1" x14ac:dyDescent="0.35">
      <c r="A50" s="248"/>
      <c r="B50" s="249"/>
      <c r="C50" s="250"/>
      <c r="D50" s="250"/>
      <c r="E50" s="200"/>
      <c r="F50" s="200"/>
      <c r="G50" s="200"/>
      <c r="H50" s="200"/>
      <c r="I50" s="200"/>
      <c r="J50" s="200"/>
      <c r="K50" s="200"/>
      <c r="L50" s="200"/>
      <c r="M50" s="200"/>
      <c r="N50" s="200"/>
      <c r="O50" s="200"/>
      <c r="P50" s="200"/>
      <c r="Q50" s="200"/>
      <c r="R50" s="200"/>
      <c r="S50" s="200"/>
      <c r="T50" s="200"/>
      <c r="U50" s="200"/>
      <c r="V50" s="200"/>
      <c r="W50" s="200"/>
      <c r="X50" s="200"/>
      <c r="Y50" s="200"/>
      <c r="Z50" s="200"/>
    </row>
    <row r="51" spans="1:26" ht="21" customHeight="1" x14ac:dyDescent="0.35">
      <c r="A51" s="248"/>
      <c r="B51" s="249"/>
      <c r="C51" s="250"/>
      <c r="D51" s="250"/>
      <c r="E51" s="200"/>
      <c r="F51" s="200"/>
      <c r="G51" s="200"/>
      <c r="H51" s="200"/>
      <c r="I51" s="200"/>
      <c r="J51" s="200"/>
      <c r="K51" s="200"/>
      <c r="L51" s="200"/>
      <c r="M51" s="200"/>
      <c r="N51" s="200"/>
      <c r="O51" s="200"/>
      <c r="P51" s="200"/>
      <c r="Q51" s="200"/>
      <c r="R51" s="200"/>
      <c r="S51" s="200"/>
      <c r="T51" s="200"/>
      <c r="U51" s="200"/>
      <c r="V51" s="200"/>
      <c r="W51" s="200"/>
      <c r="X51" s="200"/>
      <c r="Y51" s="200"/>
      <c r="Z51" s="200"/>
    </row>
    <row r="52" spans="1:26" ht="21" customHeight="1" x14ac:dyDescent="0.35">
      <c r="A52" s="248"/>
      <c r="B52" s="249"/>
      <c r="C52" s="250"/>
      <c r="D52" s="250"/>
      <c r="E52" s="200"/>
      <c r="F52" s="200"/>
      <c r="G52" s="200"/>
      <c r="H52" s="200"/>
      <c r="I52" s="200"/>
      <c r="J52" s="200"/>
      <c r="K52" s="200"/>
      <c r="L52" s="200"/>
      <c r="M52" s="200"/>
      <c r="N52" s="200"/>
      <c r="O52" s="200"/>
      <c r="P52" s="200"/>
      <c r="Q52" s="200"/>
      <c r="R52" s="200"/>
      <c r="S52" s="200"/>
      <c r="T52" s="200"/>
      <c r="U52" s="200"/>
      <c r="V52" s="200"/>
      <c r="W52" s="200"/>
      <c r="X52" s="200"/>
      <c r="Y52" s="200"/>
      <c r="Z52" s="200"/>
    </row>
    <row r="53" spans="1:26" ht="21" customHeight="1" x14ac:dyDescent="0.35">
      <c r="A53" s="248"/>
      <c r="B53" s="249"/>
      <c r="C53" s="250"/>
      <c r="D53" s="250"/>
      <c r="E53" s="200"/>
      <c r="F53" s="200"/>
      <c r="G53" s="200"/>
      <c r="H53" s="200"/>
      <c r="I53" s="200"/>
      <c r="J53" s="200"/>
      <c r="K53" s="200"/>
      <c r="L53" s="200"/>
      <c r="M53" s="200"/>
      <c r="N53" s="200"/>
      <c r="O53" s="200"/>
      <c r="P53" s="200"/>
      <c r="Q53" s="200"/>
      <c r="R53" s="200"/>
      <c r="S53" s="200"/>
      <c r="T53" s="200"/>
      <c r="U53" s="200"/>
      <c r="V53" s="200"/>
      <c r="W53" s="200"/>
      <c r="X53" s="200"/>
      <c r="Y53" s="200"/>
      <c r="Z53" s="200"/>
    </row>
    <row r="54" spans="1:26" ht="21" customHeight="1" x14ac:dyDescent="0.35">
      <c r="A54" s="248"/>
      <c r="B54" s="249"/>
      <c r="C54" s="250"/>
      <c r="D54" s="250"/>
      <c r="E54" s="200"/>
      <c r="F54" s="200"/>
      <c r="G54" s="200"/>
      <c r="H54" s="200"/>
      <c r="I54" s="200"/>
      <c r="J54" s="200"/>
      <c r="K54" s="200"/>
      <c r="L54" s="200"/>
      <c r="M54" s="200"/>
      <c r="N54" s="200"/>
      <c r="O54" s="200"/>
      <c r="P54" s="200"/>
      <c r="Q54" s="200"/>
      <c r="R54" s="200"/>
      <c r="S54" s="200"/>
      <c r="T54" s="200"/>
      <c r="U54" s="200"/>
      <c r="V54" s="200"/>
      <c r="W54" s="200"/>
      <c r="X54" s="200"/>
      <c r="Y54" s="200"/>
      <c r="Z54" s="200"/>
    </row>
    <row r="55" spans="1:26" ht="21" customHeight="1" x14ac:dyDescent="0.35">
      <c r="A55" s="248"/>
      <c r="B55" s="249"/>
      <c r="C55" s="250"/>
      <c r="D55" s="250"/>
      <c r="E55" s="200"/>
      <c r="F55" s="200"/>
      <c r="G55" s="200"/>
      <c r="H55" s="200"/>
      <c r="I55" s="200"/>
      <c r="J55" s="200"/>
      <c r="K55" s="200"/>
      <c r="L55" s="200"/>
      <c r="M55" s="200"/>
      <c r="N55" s="200"/>
      <c r="O55" s="200"/>
      <c r="P55" s="200"/>
      <c r="Q55" s="200"/>
      <c r="R55" s="200"/>
      <c r="S55" s="200"/>
      <c r="T55" s="200"/>
      <c r="U55" s="200"/>
      <c r="V55" s="200"/>
      <c r="W55" s="200"/>
      <c r="X55" s="200"/>
      <c r="Y55" s="200"/>
      <c r="Z55" s="200"/>
    </row>
    <row r="56" spans="1:26" ht="21" customHeight="1" x14ac:dyDescent="0.35">
      <c r="A56" s="248"/>
      <c r="B56" s="249"/>
      <c r="C56" s="250"/>
      <c r="D56" s="250"/>
      <c r="E56" s="200"/>
      <c r="F56" s="200"/>
      <c r="G56" s="200"/>
      <c r="H56" s="200"/>
      <c r="I56" s="200"/>
      <c r="J56" s="200"/>
      <c r="K56" s="200"/>
      <c r="L56" s="200"/>
      <c r="M56" s="200"/>
      <c r="N56" s="200"/>
      <c r="O56" s="200"/>
      <c r="P56" s="200"/>
      <c r="Q56" s="200"/>
      <c r="R56" s="200"/>
      <c r="S56" s="200"/>
      <c r="T56" s="200"/>
      <c r="U56" s="200"/>
      <c r="V56" s="200"/>
      <c r="W56" s="200"/>
      <c r="X56" s="200"/>
      <c r="Y56" s="200"/>
      <c r="Z56" s="200"/>
    </row>
    <row r="57" spans="1:26" ht="21" customHeight="1" x14ac:dyDescent="0.35">
      <c r="A57" s="248"/>
      <c r="B57" s="249"/>
      <c r="C57" s="250"/>
      <c r="D57" s="250"/>
      <c r="E57" s="200"/>
      <c r="F57" s="200"/>
      <c r="G57" s="200"/>
      <c r="H57" s="200"/>
      <c r="I57" s="200"/>
      <c r="J57" s="200"/>
      <c r="K57" s="200"/>
      <c r="L57" s="200"/>
      <c r="M57" s="200"/>
      <c r="N57" s="200"/>
      <c r="O57" s="200"/>
      <c r="P57" s="200"/>
      <c r="Q57" s="200"/>
      <c r="R57" s="200"/>
      <c r="S57" s="200"/>
      <c r="T57" s="200"/>
      <c r="U57" s="200"/>
      <c r="V57" s="200"/>
      <c r="W57" s="200"/>
      <c r="X57" s="200"/>
      <c r="Y57" s="200"/>
      <c r="Z57" s="200"/>
    </row>
    <row r="58" spans="1:26" ht="21" customHeight="1" x14ac:dyDescent="0.35">
      <c r="A58" s="248"/>
      <c r="B58" s="249"/>
      <c r="C58" s="250"/>
      <c r="D58" s="250"/>
      <c r="E58" s="200"/>
      <c r="F58" s="200"/>
      <c r="G58" s="200"/>
      <c r="H58" s="200"/>
      <c r="I58" s="200"/>
      <c r="J58" s="200"/>
      <c r="K58" s="200"/>
      <c r="L58" s="200"/>
      <c r="M58" s="200"/>
      <c r="N58" s="200"/>
      <c r="O58" s="200"/>
      <c r="P58" s="200"/>
      <c r="Q58" s="200"/>
      <c r="R58" s="200"/>
      <c r="S58" s="200"/>
      <c r="T58" s="200"/>
      <c r="U58" s="200"/>
      <c r="V58" s="200"/>
      <c r="W58" s="200"/>
      <c r="X58" s="200"/>
      <c r="Y58" s="200"/>
      <c r="Z58" s="200"/>
    </row>
    <row r="59" spans="1:26" ht="21" customHeight="1" x14ac:dyDescent="0.35">
      <c r="A59" s="248"/>
      <c r="B59" s="249"/>
      <c r="C59" s="250"/>
      <c r="D59" s="250"/>
      <c r="E59" s="200"/>
      <c r="F59" s="200"/>
      <c r="G59" s="200"/>
      <c r="H59" s="200"/>
      <c r="I59" s="200"/>
      <c r="J59" s="200"/>
      <c r="K59" s="200"/>
      <c r="L59" s="200"/>
      <c r="M59" s="200"/>
      <c r="N59" s="200"/>
      <c r="O59" s="200"/>
      <c r="P59" s="200"/>
      <c r="Q59" s="200"/>
      <c r="R59" s="200"/>
      <c r="S59" s="200"/>
      <c r="T59" s="200"/>
      <c r="U59" s="200"/>
      <c r="V59" s="200"/>
      <c r="W59" s="200"/>
      <c r="X59" s="200"/>
      <c r="Y59" s="200"/>
      <c r="Z59" s="200"/>
    </row>
    <row r="60" spans="1:26" ht="21" customHeight="1" x14ac:dyDescent="0.35">
      <c r="A60" s="248"/>
      <c r="B60" s="249"/>
      <c r="C60" s="250"/>
      <c r="D60" s="250"/>
      <c r="E60" s="200"/>
      <c r="F60" s="200"/>
      <c r="G60" s="200"/>
      <c r="H60" s="200"/>
      <c r="I60" s="200"/>
      <c r="J60" s="200"/>
      <c r="K60" s="200"/>
      <c r="L60" s="200"/>
      <c r="M60" s="200"/>
      <c r="N60" s="200"/>
      <c r="O60" s="200"/>
      <c r="P60" s="200"/>
      <c r="Q60" s="200"/>
      <c r="R60" s="200"/>
      <c r="S60" s="200"/>
      <c r="T60" s="200"/>
      <c r="U60" s="200"/>
      <c r="V60" s="200"/>
      <c r="W60" s="200"/>
      <c r="X60" s="200"/>
      <c r="Y60" s="200"/>
      <c r="Z60" s="200"/>
    </row>
    <row r="61" spans="1:26" ht="21" customHeight="1" x14ac:dyDescent="0.35">
      <c r="A61" s="248"/>
      <c r="B61" s="249"/>
      <c r="C61" s="250"/>
      <c r="D61" s="250"/>
      <c r="E61" s="200"/>
      <c r="F61" s="200"/>
      <c r="G61" s="200"/>
      <c r="H61" s="200"/>
      <c r="I61" s="200"/>
      <c r="J61" s="200"/>
      <c r="K61" s="200"/>
      <c r="L61" s="200"/>
      <c r="M61" s="200"/>
      <c r="N61" s="200"/>
      <c r="O61" s="200"/>
      <c r="P61" s="200"/>
      <c r="Q61" s="200"/>
      <c r="R61" s="200"/>
      <c r="S61" s="200"/>
      <c r="T61" s="200"/>
      <c r="U61" s="200"/>
      <c r="V61" s="200"/>
      <c r="W61" s="200"/>
      <c r="X61" s="200"/>
      <c r="Y61" s="200"/>
      <c r="Z61" s="200"/>
    </row>
    <row r="62" spans="1:26" ht="21" customHeight="1" x14ac:dyDescent="0.35">
      <c r="A62" s="248"/>
      <c r="B62" s="249"/>
      <c r="C62" s="250"/>
      <c r="D62" s="250"/>
      <c r="E62" s="200"/>
      <c r="F62" s="200"/>
      <c r="G62" s="200"/>
      <c r="H62" s="200"/>
      <c r="I62" s="200"/>
      <c r="J62" s="200"/>
      <c r="K62" s="200"/>
      <c r="L62" s="200"/>
      <c r="M62" s="200"/>
      <c r="N62" s="200"/>
      <c r="O62" s="200"/>
      <c r="P62" s="200"/>
      <c r="Q62" s="200"/>
      <c r="R62" s="200"/>
      <c r="S62" s="200"/>
      <c r="T62" s="200"/>
      <c r="U62" s="200"/>
      <c r="V62" s="200"/>
      <c r="W62" s="200"/>
      <c r="X62" s="200"/>
      <c r="Y62" s="200"/>
      <c r="Z62" s="200"/>
    </row>
    <row r="63" spans="1:26" ht="21" customHeight="1" x14ac:dyDescent="0.35">
      <c r="A63" s="248"/>
      <c r="B63" s="249"/>
      <c r="C63" s="250"/>
      <c r="D63" s="250"/>
      <c r="E63" s="200"/>
      <c r="F63" s="200"/>
      <c r="G63" s="200"/>
      <c r="H63" s="200"/>
      <c r="I63" s="200"/>
      <c r="J63" s="200"/>
      <c r="K63" s="200"/>
      <c r="L63" s="200"/>
      <c r="M63" s="200"/>
      <c r="N63" s="200"/>
      <c r="O63" s="200"/>
      <c r="P63" s="200"/>
      <c r="Q63" s="200"/>
      <c r="R63" s="200"/>
      <c r="S63" s="200"/>
      <c r="T63" s="200"/>
      <c r="U63" s="200"/>
      <c r="V63" s="200"/>
      <c r="W63" s="200"/>
      <c r="X63" s="200"/>
      <c r="Y63" s="200"/>
      <c r="Z63" s="200"/>
    </row>
    <row r="64" spans="1:26" ht="21" customHeight="1" x14ac:dyDescent="0.35">
      <c r="A64" s="248"/>
      <c r="B64" s="249"/>
      <c r="C64" s="250"/>
      <c r="D64" s="250"/>
      <c r="E64" s="200"/>
      <c r="F64" s="200"/>
      <c r="G64" s="200"/>
      <c r="H64" s="200"/>
      <c r="I64" s="200"/>
      <c r="J64" s="200"/>
      <c r="K64" s="200"/>
      <c r="L64" s="200"/>
      <c r="M64" s="200"/>
      <c r="N64" s="200"/>
      <c r="O64" s="200"/>
      <c r="P64" s="200"/>
      <c r="Q64" s="200"/>
      <c r="R64" s="200"/>
      <c r="S64" s="200"/>
      <c r="T64" s="200"/>
      <c r="U64" s="200"/>
      <c r="V64" s="200"/>
      <c r="W64" s="200"/>
      <c r="X64" s="200"/>
      <c r="Y64" s="200"/>
      <c r="Z64" s="200"/>
    </row>
    <row r="65" spans="1:26" ht="21" customHeight="1" x14ac:dyDescent="0.35">
      <c r="A65" s="248"/>
      <c r="B65" s="249"/>
      <c r="C65" s="250"/>
      <c r="D65" s="250"/>
      <c r="E65" s="200"/>
      <c r="F65" s="200"/>
      <c r="G65" s="200"/>
      <c r="H65" s="200"/>
      <c r="I65" s="200"/>
      <c r="J65" s="200"/>
      <c r="K65" s="200"/>
      <c r="L65" s="200"/>
      <c r="M65" s="200"/>
      <c r="N65" s="200"/>
      <c r="O65" s="200"/>
      <c r="P65" s="200"/>
      <c r="Q65" s="200"/>
      <c r="R65" s="200"/>
      <c r="S65" s="200"/>
      <c r="T65" s="200"/>
      <c r="U65" s="200"/>
      <c r="V65" s="200"/>
      <c r="W65" s="200"/>
      <c r="X65" s="200"/>
      <c r="Y65" s="200"/>
      <c r="Z65" s="200"/>
    </row>
    <row r="66" spans="1:26" ht="21" customHeight="1" x14ac:dyDescent="0.35">
      <c r="A66" s="248"/>
      <c r="B66" s="249"/>
      <c r="C66" s="250"/>
      <c r="D66" s="250"/>
      <c r="E66" s="200"/>
      <c r="F66" s="200"/>
      <c r="G66" s="200"/>
      <c r="H66" s="200"/>
      <c r="I66" s="200"/>
      <c r="J66" s="200"/>
      <c r="K66" s="200"/>
      <c r="L66" s="200"/>
      <c r="M66" s="200"/>
      <c r="N66" s="200"/>
      <c r="O66" s="200"/>
      <c r="P66" s="200"/>
      <c r="Q66" s="200"/>
      <c r="R66" s="200"/>
      <c r="S66" s="200"/>
      <c r="T66" s="200"/>
      <c r="U66" s="200"/>
      <c r="V66" s="200"/>
      <c r="W66" s="200"/>
      <c r="X66" s="200"/>
      <c r="Y66" s="200"/>
      <c r="Z66" s="200"/>
    </row>
    <row r="67" spans="1:26" ht="21" customHeight="1" x14ac:dyDescent="0.35">
      <c r="A67" s="248"/>
      <c r="B67" s="249"/>
      <c r="C67" s="250"/>
      <c r="D67" s="250"/>
      <c r="E67" s="200"/>
      <c r="F67" s="200"/>
      <c r="G67" s="200"/>
      <c r="H67" s="200"/>
      <c r="I67" s="200"/>
      <c r="J67" s="200"/>
      <c r="K67" s="200"/>
      <c r="L67" s="200"/>
      <c r="M67" s="200"/>
      <c r="N67" s="200"/>
      <c r="O67" s="200"/>
      <c r="P67" s="200"/>
      <c r="Q67" s="200"/>
      <c r="R67" s="200"/>
      <c r="S67" s="200"/>
      <c r="T67" s="200"/>
      <c r="U67" s="200"/>
      <c r="V67" s="200"/>
      <c r="W67" s="200"/>
      <c r="X67" s="200"/>
      <c r="Y67" s="200"/>
      <c r="Z67" s="200"/>
    </row>
    <row r="68" spans="1:26" ht="21" customHeight="1" x14ac:dyDescent="0.35">
      <c r="A68" s="248"/>
      <c r="B68" s="249"/>
      <c r="C68" s="250"/>
      <c r="D68" s="250"/>
      <c r="E68" s="200"/>
      <c r="F68" s="200"/>
      <c r="G68" s="200"/>
      <c r="H68" s="200"/>
      <c r="I68" s="200"/>
      <c r="J68" s="200"/>
      <c r="K68" s="200"/>
      <c r="L68" s="200"/>
      <c r="M68" s="200"/>
      <c r="N68" s="200"/>
      <c r="O68" s="200"/>
      <c r="P68" s="200"/>
      <c r="Q68" s="200"/>
      <c r="R68" s="200"/>
      <c r="S68" s="200"/>
      <c r="T68" s="200"/>
      <c r="U68" s="200"/>
      <c r="V68" s="200"/>
      <c r="W68" s="200"/>
      <c r="X68" s="200"/>
      <c r="Y68" s="200"/>
      <c r="Z68" s="200"/>
    </row>
    <row r="69" spans="1:26" ht="21" customHeight="1" x14ac:dyDescent="0.35">
      <c r="A69" s="248"/>
      <c r="B69" s="249"/>
      <c r="C69" s="250"/>
      <c r="D69" s="250"/>
      <c r="E69" s="200"/>
      <c r="F69" s="200"/>
      <c r="G69" s="200"/>
      <c r="H69" s="200"/>
      <c r="I69" s="200"/>
      <c r="J69" s="200"/>
      <c r="K69" s="200"/>
      <c r="L69" s="200"/>
      <c r="M69" s="200"/>
      <c r="N69" s="200"/>
      <c r="O69" s="200"/>
      <c r="P69" s="200"/>
      <c r="Q69" s="200"/>
      <c r="R69" s="200"/>
      <c r="S69" s="200"/>
      <c r="T69" s="200"/>
      <c r="U69" s="200"/>
      <c r="V69" s="200"/>
      <c r="W69" s="200"/>
      <c r="X69" s="200"/>
      <c r="Y69" s="200"/>
      <c r="Z69" s="200"/>
    </row>
    <row r="70" spans="1:26" ht="21" customHeight="1" x14ac:dyDescent="0.35">
      <c r="A70" s="248"/>
      <c r="B70" s="249"/>
      <c r="C70" s="250"/>
      <c r="D70" s="250"/>
      <c r="E70" s="200"/>
      <c r="F70" s="200"/>
      <c r="G70" s="200"/>
      <c r="H70" s="200"/>
      <c r="I70" s="200"/>
      <c r="J70" s="200"/>
      <c r="K70" s="200"/>
      <c r="L70" s="200"/>
      <c r="M70" s="200"/>
      <c r="N70" s="200"/>
      <c r="O70" s="200"/>
      <c r="P70" s="200"/>
      <c r="Q70" s="200"/>
      <c r="R70" s="200"/>
      <c r="S70" s="200"/>
      <c r="T70" s="200"/>
      <c r="U70" s="200"/>
      <c r="V70" s="200"/>
      <c r="W70" s="200"/>
      <c r="X70" s="200"/>
      <c r="Y70" s="200"/>
      <c r="Z70" s="200"/>
    </row>
    <row r="71" spans="1:26" ht="21" customHeight="1" x14ac:dyDescent="0.35">
      <c r="A71" s="248"/>
      <c r="B71" s="249"/>
      <c r="C71" s="250"/>
      <c r="D71" s="250"/>
      <c r="E71" s="200"/>
      <c r="F71" s="200"/>
      <c r="G71" s="200"/>
      <c r="H71" s="200"/>
      <c r="I71" s="200"/>
      <c r="J71" s="200"/>
      <c r="K71" s="200"/>
      <c r="L71" s="200"/>
      <c r="M71" s="200"/>
      <c r="N71" s="200"/>
      <c r="O71" s="200"/>
      <c r="P71" s="200"/>
      <c r="Q71" s="200"/>
      <c r="R71" s="200"/>
      <c r="S71" s="200"/>
      <c r="T71" s="200"/>
      <c r="U71" s="200"/>
      <c r="V71" s="200"/>
      <c r="W71" s="200"/>
      <c r="X71" s="200"/>
      <c r="Y71" s="200"/>
      <c r="Z71" s="200"/>
    </row>
    <row r="72" spans="1:26" ht="21" customHeight="1" x14ac:dyDescent="0.35">
      <c r="A72" s="248"/>
      <c r="B72" s="249"/>
      <c r="C72" s="250"/>
      <c r="D72" s="250"/>
      <c r="E72" s="200"/>
      <c r="F72" s="200"/>
      <c r="G72" s="200"/>
      <c r="H72" s="200"/>
      <c r="I72" s="200"/>
      <c r="J72" s="200"/>
      <c r="K72" s="200"/>
      <c r="L72" s="200"/>
      <c r="M72" s="200"/>
      <c r="N72" s="200"/>
      <c r="O72" s="200"/>
      <c r="P72" s="200"/>
      <c r="Q72" s="200"/>
      <c r="R72" s="200"/>
      <c r="S72" s="200"/>
      <c r="T72" s="200"/>
      <c r="U72" s="200"/>
      <c r="V72" s="200"/>
      <c r="W72" s="200"/>
      <c r="X72" s="200"/>
      <c r="Y72" s="200"/>
      <c r="Z72" s="200"/>
    </row>
    <row r="73" spans="1:26" ht="21" customHeight="1" x14ac:dyDescent="0.35">
      <c r="A73" s="248"/>
      <c r="B73" s="249"/>
      <c r="C73" s="250"/>
      <c r="D73" s="250"/>
      <c r="E73" s="200"/>
      <c r="F73" s="200"/>
      <c r="G73" s="200"/>
      <c r="H73" s="200"/>
      <c r="I73" s="200"/>
      <c r="J73" s="200"/>
      <c r="K73" s="200"/>
      <c r="L73" s="200"/>
      <c r="M73" s="200"/>
      <c r="N73" s="200"/>
      <c r="O73" s="200"/>
      <c r="P73" s="200"/>
      <c r="Q73" s="200"/>
      <c r="R73" s="200"/>
      <c r="S73" s="200"/>
      <c r="T73" s="200"/>
      <c r="U73" s="200"/>
      <c r="V73" s="200"/>
      <c r="W73" s="200"/>
      <c r="X73" s="200"/>
      <c r="Y73" s="200"/>
      <c r="Z73" s="200"/>
    </row>
    <row r="74" spans="1:26" ht="21" customHeight="1" x14ac:dyDescent="0.35">
      <c r="A74" s="248"/>
      <c r="B74" s="249"/>
      <c r="C74" s="250"/>
      <c r="D74" s="250"/>
      <c r="E74" s="200"/>
      <c r="F74" s="200"/>
      <c r="G74" s="200"/>
      <c r="H74" s="200"/>
      <c r="I74" s="200"/>
      <c r="J74" s="200"/>
      <c r="K74" s="200"/>
      <c r="L74" s="200"/>
      <c r="M74" s="200"/>
      <c r="N74" s="200"/>
      <c r="O74" s="200"/>
      <c r="P74" s="200"/>
      <c r="Q74" s="200"/>
      <c r="R74" s="200"/>
      <c r="S74" s="200"/>
      <c r="T74" s="200"/>
      <c r="U74" s="200"/>
      <c r="V74" s="200"/>
      <c r="W74" s="200"/>
      <c r="X74" s="200"/>
      <c r="Y74" s="200"/>
      <c r="Z74" s="200"/>
    </row>
    <row r="75" spans="1:26" ht="21" customHeight="1" x14ac:dyDescent="0.35">
      <c r="A75" s="248"/>
      <c r="B75" s="249"/>
      <c r="C75" s="250"/>
      <c r="D75" s="250"/>
      <c r="E75" s="200"/>
      <c r="F75" s="200"/>
      <c r="G75" s="200"/>
      <c r="H75" s="200"/>
      <c r="I75" s="200"/>
      <c r="J75" s="200"/>
      <c r="K75" s="200"/>
      <c r="L75" s="200"/>
      <c r="M75" s="200"/>
      <c r="N75" s="200"/>
      <c r="O75" s="200"/>
      <c r="P75" s="200"/>
      <c r="Q75" s="200"/>
      <c r="R75" s="200"/>
      <c r="S75" s="200"/>
      <c r="T75" s="200"/>
      <c r="U75" s="200"/>
      <c r="V75" s="200"/>
      <c r="W75" s="200"/>
      <c r="X75" s="200"/>
      <c r="Y75" s="200"/>
      <c r="Z75" s="200"/>
    </row>
    <row r="76" spans="1:26" ht="21" customHeight="1" x14ac:dyDescent="0.35">
      <c r="A76" s="248"/>
      <c r="B76" s="249"/>
      <c r="C76" s="250"/>
      <c r="D76" s="250"/>
      <c r="E76" s="200"/>
      <c r="F76" s="200"/>
      <c r="G76" s="200"/>
      <c r="H76" s="200"/>
      <c r="I76" s="200"/>
      <c r="J76" s="200"/>
      <c r="K76" s="200"/>
      <c r="L76" s="200"/>
      <c r="M76" s="200"/>
      <c r="N76" s="200"/>
      <c r="O76" s="200"/>
      <c r="P76" s="200"/>
      <c r="Q76" s="200"/>
      <c r="R76" s="200"/>
      <c r="S76" s="200"/>
      <c r="T76" s="200"/>
      <c r="U76" s="200"/>
      <c r="V76" s="200"/>
      <c r="W76" s="200"/>
      <c r="X76" s="200"/>
      <c r="Y76" s="200"/>
      <c r="Z76" s="200"/>
    </row>
    <row r="77" spans="1:26" ht="21" customHeight="1" x14ac:dyDescent="0.35">
      <c r="A77" s="248"/>
      <c r="B77" s="249"/>
      <c r="C77" s="250"/>
      <c r="D77" s="250"/>
      <c r="E77" s="200"/>
      <c r="F77" s="200"/>
      <c r="G77" s="200"/>
      <c r="H77" s="200"/>
      <c r="I77" s="200"/>
      <c r="J77" s="200"/>
      <c r="K77" s="200"/>
      <c r="L77" s="200"/>
      <c r="M77" s="200"/>
      <c r="N77" s="200"/>
      <c r="O77" s="200"/>
      <c r="P77" s="200"/>
      <c r="Q77" s="200"/>
      <c r="R77" s="200"/>
      <c r="S77" s="200"/>
      <c r="T77" s="200"/>
      <c r="U77" s="200"/>
      <c r="V77" s="200"/>
      <c r="W77" s="200"/>
      <c r="X77" s="200"/>
      <c r="Y77" s="200"/>
      <c r="Z77" s="200"/>
    </row>
    <row r="78" spans="1:26" ht="21" customHeight="1" x14ac:dyDescent="0.35">
      <c r="A78" s="248"/>
      <c r="B78" s="249"/>
      <c r="C78" s="250"/>
      <c r="D78" s="250"/>
      <c r="E78" s="200"/>
      <c r="F78" s="200"/>
      <c r="G78" s="200"/>
      <c r="H78" s="200"/>
      <c r="I78" s="200"/>
      <c r="J78" s="200"/>
      <c r="K78" s="200"/>
      <c r="L78" s="200"/>
      <c r="M78" s="200"/>
      <c r="N78" s="200"/>
      <c r="O78" s="200"/>
      <c r="P78" s="200"/>
      <c r="Q78" s="200"/>
      <c r="R78" s="200"/>
      <c r="S78" s="200"/>
      <c r="T78" s="200"/>
      <c r="U78" s="200"/>
      <c r="V78" s="200"/>
      <c r="W78" s="200"/>
      <c r="X78" s="200"/>
      <c r="Y78" s="200"/>
      <c r="Z78" s="200"/>
    </row>
    <row r="79" spans="1:26" ht="21" customHeight="1" x14ac:dyDescent="0.35">
      <c r="A79" s="248"/>
      <c r="B79" s="249"/>
      <c r="C79" s="250"/>
      <c r="D79" s="250"/>
      <c r="E79" s="200"/>
      <c r="F79" s="200"/>
      <c r="G79" s="200"/>
      <c r="H79" s="200"/>
      <c r="I79" s="200"/>
      <c r="J79" s="200"/>
      <c r="K79" s="200"/>
      <c r="L79" s="200"/>
      <c r="M79" s="200"/>
      <c r="N79" s="200"/>
      <c r="O79" s="200"/>
      <c r="P79" s="200"/>
      <c r="Q79" s="200"/>
      <c r="R79" s="200"/>
      <c r="S79" s="200"/>
      <c r="T79" s="200"/>
      <c r="U79" s="200"/>
      <c r="V79" s="200"/>
      <c r="W79" s="200"/>
      <c r="X79" s="200"/>
      <c r="Y79" s="200"/>
      <c r="Z79" s="200"/>
    </row>
    <row r="80" spans="1:26" ht="21" customHeight="1" x14ac:dyDescent="0.35">
      <c r="A80" s="248"/>
      <c r="B80" s="249"/>
      <c r="C80" s="250"/>
      <c r="D80" s="250"/>
      <c r="E80" s="200"/>
      <c r="F80" s="200"/>
      <c r="G80" s="200"/>
      <c r="H80" s="200"/>
      <c r="I80" s="200"/>
      <c r="J80" s="200"/>
      <c r="K80" s="200"/>
      <c r="L80" s="200"/>
      <c r="M80" s="200"/>
      <c r="N80" s="200"/>
      <c r="O80" s="200"/>
      <c r="P80" s="200"/>
      <c r="Q80" s="200"/>
      <c r="R80" s="200"/>
      <c r="S80" s="200"/>
      <c r="T80" s="200"/>
      <c r="U80" s="200"/>
      <c r="V80" s="200"/>
      <c r="W80" s="200"/>
      <c r="X80" s="200"/>
      <c r="Y80" s="200"/>
      <c r="Z80" s="200"/>
    </row>
    <row r="81" spans="1:26" ht="21" customHeight="1" x14ac:dyDescent="0.35">
      <c r="A81" s="248"/>
      <c r="B81" s="249"/>
      <c r="C81" s="250"/>
      <c r="D81" s="250"/>
      <c r="E81" s="200"/>
      <c r="F81" s="200"/>
      <c r="G81" s="200"/>
      <c r="H81" s="200"/>
      <c r="I81" s="200"/>
      <c r="J81" s="200"/>
      <c r="K81" s="200"/>
      <c r="L81" s="200"/>
      <c r="M81" s="200"/>
      <c r="N81" s="200"/>
      <c r="O81" s="200"/>
      <c r="P81" s="200"/>
      <c r="Q81" s="200"/>
      <c r="R81" s="200"/>
      <c r="S81" s="200"/>
      <c r="T81" s="200"/>
      <c r="U81" s="200"/>
      <c r="V81" s="200"/>
      <c r="W81" s="200"/>
      <c r="X81" s="200"/>
      <c r="Y81" s="200"/>
      <c r="Z81" s="200"/>
    </row>
    <row r="82" spans="1:26" ht="21" customHeight="1" x14ac:dyDescent="0.35">
      <c r="A82" s="248"/>
      <c r="B82" s="249"/>
      <c r="C82" s="250"/>
      <c r="D82" s="250"/>
      <c r="E82" s="200"/>
      <c r="F82" s="200"/>
      <c r="G82" s="200"/>
      <c r="H82" s="200"/>
      <c r="I82" s="200"/>
      <c r="J82" s="200"/>
      <c r="K82" s="200"/>
      <c r="L82" s="200"/>
      <c r="M82" s="200"/>
      <c r="N82" s="200"/>
      <c r="O82" s="200"/>
      <c r="P82" s="200"/>
      <c r="Q82" s="200"/>
      <c r="R82" s="200"/>
      <c r="S82" s="200"/>
      <c r="T82" s="200"/>
      <c r="U82" s="200"/>
      <c r="V82" s="200"/>
      <c r="W82" s="200"/>
      <c r="X82" s="200"/>
      <c r="Y82" s="200"/>
      <c r="Z82" s="200"/>
    </row>
    <row r="83" spans="1:26" ht="21" customHeight="1" x14ac:dyDescent="0.35">
      <c r="A83" s="248"/>
      <c r="B83" s="249"/>
      <c r="C83" s="250"/>
      <c r="D83" s="250"/>
      <c r="E83" s="200"/>
      <c r="F83" s="200"/>
      <c r="G83" s="200"/>
      <c r="H83" s="200"/>
      <c r="I83" s="200"/>
      <c r="J83" s="200"/>
      <c r="K83" s="200"/>
      <c r="L83" s="200"/>
      <c r="M83" s="200"/>
      <c r="N83" s="200"/>
      <c r="O83" s="200"/>
      <c r="P83" s="200"/>
      <c r="Q83" s="200"/>
      <c r="R83" s="200"/>
      <c r="S83" s="200"/>
      <c r="T83" s="200"/>
      <c r="U83" s="200"/>
      <c r="V83" s="200"/>
      <c r="W83" s="200"/>
      <c r="X83" s="200"/>
      <c r="Y83" s="200"/>
      <c r="Z83" s="200"/>
    </row>
    <row r="84" spans="1:26" ht="21" customHeight="1" x14ac:dyDescent="0.35">
      <c r="A84" s="248"/>
      <c r="B84" s="249"/>
      <c r="C84" s="250"/>
      <c r="D84" s="250"/>
      <c r="E84" s="200"/>
      <c r="F84" s="200"/>
      <c r="G84" s="200"/>
      <c r="H84" s="200"/>
      <c r="I84" s="200"/>
      <c r="J84" s="200"/>
      <c r="K84" s="200"/>
      <c r="L84" s="200"/>
      <c r="M84" s="200"/>
      <c r="N84" s="200"/>
      <c r="O84" s="200"/>
      <c r="P84" s="200"/>
      <c r="Q84" s="200"/>
      <c r="R84" s="200"/>
      <c r="S84" s="200"/>
      <c r="T84" s="200"/>
      <c r="U84" s="200"/>
      <c r="V84" s="200"/>
      <c r="W84" s="200"/>
      <c r="X84" s="200"/>
      <c r="Y84" s="200"/>
      <c r="Z84" s="200"/>
    </row>
    <row r="85" spans="1:26" ht="21" customHeight="1" x14ac:dyDescent="0.35">
      <c r="A85" s="248"/>
      <c r="B85" s="249"/>
      <c r="C85" s="250"/>
      <c r="D85" s="250"/>
      <c r="E85" s="200"/>
      <c r="F85" s="200"/>
      <c r="G85" s="200"/>
      <c r="H85" s="200"/>
      <c r="I85" s="200"/>
      <c r="J85" s="200"/>
      <c r="K85" s="200"/>
      <c r="L85" s="200"/>
      <c r="M85" s="200"/>
      <c r="N85" s="200"/>
      <c r="O85" s="200"/>
      <c r="P85" s="200"/>
      <c r="Q85" s="200"/>
      <c r="R85" s="200"/>
      <c r="S85" s="200"/>
      <c r="T85" s="200"/>
      <c r="U85" s="200"/>
      <c r="V85" s="200"/>
      <c r="W85" s="200"/>
      <c r="X85" s="200"/>
      <c r="Y85" s="200"/>
      <c r="Z85" s="200"/>
    </row>
    <row r="86" spans="1:26" ht="21" customHeight="1" x14ac:dyDescent="0.35">
      <c r="A86" s="248"/>
      <c r="B86" s="249"/>
      <c r="C86" s="250"/>
      <c r="D86" s="250"/>
      <c r="E86" s="200"/>
      <c r="F86" s="200"/>
      <c r="G86" s="200"/>
      <c r="H86" s="200"/>
      <c r="I86" s="200"/>
      <c r="J86" s="200"/>
      <c r="K86" s="200"/>
      <c r="L86" s="200"/>
      <c r="M86" s="200"/>
      <c r="N86" s="200"/>
      <c r="O86" s="200"/>
      <c r="P86" s="200"/>
      <c r="Q86" s="200"/>
      <c r="R86" s="200"/>
      <c r="S86" s="200"/>
      <c r="T86" s="200"/>
      <c r="U86" s="200"/>
      <c r="V86" s="200"/>
      <c r="W86" s="200"/>
      <c r="X86" s="200"/>
      <c r="Y86" s="200"/>
      <c r="Z86" s="200"/>
    </row>
    <row r="87" spans="1:26" ht="21" customHeight="1" x14ac:dyDescent="0.35">
      <c r="A87" s="248"/>
      <c r="B87" s="249"/>
      <c r="C87" s="250"/>
      <c r="D87" s="250"/>
      <c r="E87" s="200"/>
      <c r="F87" s="200"/>
      <c r="G87" s="200"/>
      <c r="H87" s="200"/>
      <c r="I87" s="200"/>
      <c r="J87" s="200"/>
      <c r="K87" s="200"/>
      <c r="L87" s="200"/>
      <c r="M87" s="200"/>
      <c r="N87" s="200"/>
      <c r="O87" s="200"/>
      <c r="P87" s="200"/>
      <c r="Q87" s="200"/>
      <c r="R87" s="200"/>
      <c r="S87" s="200"/>
      <c r="T87" s="200"/>
      <c r="U87" s="200"/>
      <c r="V87" s="200"/>
      <c r="W87" s="200"/>
      <c r="X87" s="200"/>
      <c r="Y87" s="200"/>
      <c r="Z87" s="200"/>
    </row>
    <row r="88" spans="1:26" ht="21" customHeight="1" x14ac:dyDescent="0.35">
      <c r="A88" s="248"/>
      <c r="B88" s="249"/>
      <c r="C88" s="250"/>
      <c r="D88" s="250"/>
      <c r="E88" s="200"/>
      <c r="F88" s="200"/>
      <c r="G88" s="200"/>
      <c r="H88" s="200"/>
      <c r="I88" s="200"/>
      <c r="J88" s="200"/>
      <c r="K88" s="200"/>
      <c r="L88" s="200"/>
      <c r="M88" s="200"/>
      <c r="N88" s="200"/>
      <c r="O88" s="200"/>
      <c r="P88" s="200"/>
      <c r="Q88" s="200"/>
      <c r="R88" s="200"/>
      <c r="S88" s="200"/>
      <c r="T88" s="200"/>
      <c r="U88" s="200"/>
      <c r="V88" s="200"/>
      <c r="W88" s="200"/>
      <c r="X88" s="200"/>
      <c r="Y88" s="200"/>
      <c r="Z88" s="200"/>
    </row>
    <row r="89" spans="1:26" ht="21" customHeight="1" x14ac:dyDescent="0.35">
      <c r="A89" s="248"/>
      <c r="B89" s="249"/>
      <c r="C89" s="250"/>
      <c r="D89" s="250"/>
      <c r="E89" s="200"/>
      <c r="F89" s="200"/>
      <c r="G89" s="200"/>
      <c r="H89" s="200"/>
      <c r="I89" s="200"/>
      <c r="J89" s="200"/>
      <c r="K89" s="200"/>
      <c r="L89" s="200"/>
      <c r="M89" s="200"/>
      <c r="N89" s="200"/>
      <c r="O89" s="200"/>
      <c r="P89" s="200"/>
      <c r="Q89" s="200"/>
      <c r="R89" s="200"/>
      <c r="S89" s="200"/>
      <c r="T89" s="200"/>
      <c r="U89" s="200"/>
      <c r="V89" s="200"/>
      <c r="W89" s="200"/>
      <c r="X89" s="200"/>
      <c r="Y89" s="200"/>
      <c r="Z89" s="200"/>
    </row>
    <row r="90" spans="1:26" ht="21" customHeight="1" x14ac:dyDescent="0.35">
      <c r="A90" s="248"/>
      <c r="B90" s="249"/>
      <c r="C90" s="250"/>
      <c r="D90" s="250"/>
      <c r="E90" s="200"/>
      <c r="F90" s="200"/>
      <c r="G90" s="200"/>
      <c r="H90" s="200"/>
      <c r="I90" s="200"/>
      <c r="J90" s="200"/>
      <c r="K90" s="200"/>
      <c r="L90" s="200"/>
      <c r="M90" s="200"/>
      <c r="N90" s="200"/>
      <c r="O90" s="200"/>
      <c r="P90" s="200"/>
      <c r="Q90" s="200"/>
      <c r="R90" s="200"/>
      <c r="S90" s="200"/>
      <c r="T90" s="200"/>
      <c r="U90" s="200"/>
      <c r="V90" s="200"/>
      <c r="W90" s="200"/>
      <c r="X90" s="200"/>
      <c r="Y90" s="200"/>
      <c r="Z90" s="200"/>
    </row>
    <row r="91" spans="1:26" ht="21" customHeight="1" x14ac:dyDescent="0.35">
      <c r="A91" s="248"/>
      <c r="B91" s="249"/>
      <c r="C91" s="250"/>
      <c r="D91" s="250"/>
      <c r="E91" s="200"/>
      <c r="F91" s="200"/>
      <c r="G91" s="200"/>
      <c r="H91" s="200"/>
      <c r="I91" s="200"/>
      <c r="J91" s="200"/>
      <c r="K91" s="200"/>
      <c r="L91" s="200"/>
      <c r="M91" s="200"/>
      <c r="N91" s="200"/>
      <c r="O91" s="200"/>
      <c r="P91" s="200"/>
      <c r="Q91" s="200"/>
      <c r="R91" s="200"/>
      <c r="S91" s="200"/>
      <c r="T91" s="200"/>
      <c r="U91" s="200"/>
      <c r="V91" s="200"/>
      <c r="W91" s="200"/>
      <c r="X91" s="200"/>
      <c r="Y91" s="200"/>
      <c r="Z91" s="200"/>
    </row>
    <row r="92" spans="1:26" ht="21" customHeight="1" x14ac:dyDescent="0.35">
      <c r="A92" s="248"/>
      <c r="B92" s="249"/>
      <c r="C92" s="250"/>
      <c r="D92" s="250"/>
      <c r="E92" s="200"/>
      <c r="F92" s="200"/>
      <c r="G92" s="200"/>
      <c r="H92" s="200"/>
      <c r="I92" s="200"/>
      <c r="J92" s="200"/>
      <c r="K92" s="200"/>
      <c r="L92" s="200"/>
      <c r="M92" s="200"/>
      <c r="N92" s="200"/>
      <c r="O92" s="200"/>
      <c r="P92" s="200"/>
      <c r="Q92" s="200"/>
      <c r="R92" s="200"/>
      <c r="S92" s="200"/>
      <c r="T92" s="200"/>
      <c r="U92" s="200"/>
      <c r="V92" s="200"/>
      <c r="W92" s="200"/>
      <c r="X92" s="200"/>
      <c r="Y92" s="200"/>
      <c r="Z92" s="200"/>
    </row>
    <row r="93" spans="1:26" ht="21" customHeight="1" x14ac:dyDescent="0.35">
      <c r="A93" s="248"/>
      <c r="B93" s="249"/>
      <c r="C93" s="250"/>
      <c r="D93" s="250"/>
      <c r="E93" s="200"/>
      <c r="F93" s="200"/>
      <c r="G93" s="200"/>
      <c r="H93" s="200"/>
      <c r="I93" s="200"/>
      <c r="J93" s="200"/>
      <c r="K93" s="200"/>
      <c r="L93" s="200"/>
      <c r="M93" s="200"/>
      <c r="N93" s="200"/>
      <c r="O93" s="200"/>
      <c r="P93" s="200"/>
      <c r="Q93" s="200"/>
      <c r="R93" s="200"/>
      <c r="S93" s="200"/>
      <c r="T93" s="200"/>
      <c r="U93" s="200"/>
      <c r="V93" s="200"/>
      <c r="W93" s="200"/>
      <c r="X93" s="200"/>
      <c r="Y93" s="200"/>
      <c r="Z93" s="200"/>
    </row>
    <row r="94" spans="1:26" ht="21" customHeight="1" x14ac:dyDescent="0.35">
      <c r="A94" s="248"/>
      <c r="B94" s="249"/>
      <c r="C94" s="250"/>
      <c r="D94" s="250"/>
      <c r="E94" s="200"/>
      <c r="F94" s="200"/>
      <c r="G94" s="200"/>
      <c r="H94" s="200"/>
      <c r="I94" s="200"/>
      <c r="J94" s="200"/>
      <c r="K94" s="200"/>
      <c r="L94" s="200"/>
      <c r="M94" s="200"/>
      <c r="N94" s="200"/>
      <c r="O94" s="200"/>
      <c r="P94" s="200"/>
      <c r="Q94" s="200"/>
      <c r="R94" s="200"/>
      <c r="S94" s="200"/>
      <c r="T94" s="200"/>
      <c r="U94" s="200"/>
      <c r="V94" s="200"/>
      <c r="W94" s="200"/>
      <c r="X94" s="200"/>
      <c r="Y94" s="200"/>
      <c r="Z94" s="200"/>
    </row>
    <row r="95" spans="1:26" ht="21" customHeight="1" x14ac:dyDescent="0.35">
      <c r="A95" s="248"/>
      <c r="B95" s="249"/>
      <c r="C95" s="250"/>
      <c r="D95" s="250"/>
      <c r="E95" s="200"/>
      <c r="F95" s="200"/>
      <c r="G95" s="200"/>
      <c r="H95" s="200"/>
      <c r="I95" s="200"/>
      <c r="J95" s="200"/>
      <c r="K95" s="200"/>
      <c r="L95" s="200"/>
      <c r="M95" s="200"/>
      <c r="N95" s="200"/>
      <c r="O95" s="200"/>
      <c r="P95" s="200"/>
      <c r="Q95" s="200"/>
      <c r="R95" s="200"/>
      <c r="S95" s="200"/>
      <c r="T95" s="200"/>
      <c r="U95" s="200"/>
      <c r="V95" s="200"/>
      <c r="W95" s="200"/>
      <c r="X95" s="200"/>
      <c r="Y95" s="200"/>
      <c r="Z95" s="200"/>
    </row>
    <row r="96" spans="1:26" ht="21" customHeight="1" x14ac:dyDescent="0.35">
      <c r="A96" s="248"/>
      <c r="B96" s="249"/>
      <c r="C96" s="250"/>
      <c r="D96" s="250"/>
      <c r="E96" s="200"/>
      <c r="F96" s="200"/>
      <c r="G96" s="200"/>
      <c r="H96" s="200"/>
      <c r="I96" s="200"/>
      <c r="J96" s="200"/>
      <c r="K96" s="200"/>
      <c r="L96" s="200"/>
      <c r="M96" s="200"/>
      <c r="N96" s="200"/>
      <c r="O96" s="200"/>
      <c r="P96" s="200"/>
      <c r="Q96" s="200"/>
      <c r="R96" s="200"/>
      <c r="S96" s="200"/>
      <c r="T96" s="200"/>
      <c r="U96" s="200"/>
      <c r="V96" s="200"/>
      <c r="W96" s="200"/>
      <c r="X96" s="200"/>
      <c r="Y96" s="200"/>
      <c r="Z96" s="200"/>
    </row>
    <row r="97" spans="1:26" ht="21" customHeight="1" x14ac:dyDescent="0.35">
      <c r="A97" s="248"/>
      <c r="B97" s="249"/>
      <c r="C97" s="250"/>
      <c r="D97" s="250"/>
      <c r="E97" s="200"/>
      <c r="F97" s="200"/>
      <c r="G97" s="200"/>
      <c r="H97" s="200"/>
      <c r="I97" s="200"/>
      <c r="J97" s="200"/>
      <c r="K97" s="200"/>
      <c r="L97" s="200"/>
      <c r="M97" s="200"/>
      <c r="N97" s="200"/>
      <c r="O97" s="200"/>
      <c r="P97" s="200"/>
      <c r="Q97" s="200"/>
      <c r="R97" s="200"/>
      <c r="S97" s="200"/>
      <c r="T97" s="200"/>
      <c r="U97" s="200"/>
      <c r="V97" s="200"/>
      <c r="W97" s="200"/>
      <c r="X97" s="200"/>
      <c r="Y97" s="200"/>
      <c r="Z97" s="200"/>
    </row>
    <row r="98" spans="1:26" ht="21" customHeight="1" x14ac:dyDescent="0.35">
      <c r="A98" s="248"/>
      <c r="B98" s="249"/>
      <c r="C98" s="250"/>
      <c r="D98" s="250"/>
      <c r="E98" s="200"/>
      <c r="F98" s="200"/>
      <c r="G98" s="200"/>
      <c r="H98" s="200"/>
      <c r="I98" s="200"/>
      <c r="J98" s="200"/>
      <c r="K98" s="200"/>
      <c r="L98" s="200"/>
      <c r="M98" s="200"/>
      <c r="N98" s="200"/>
      <c r="O98" s="200"/>
      <c r="P98" s="200"/>
      <c r="Q98" s="200"/>
      <c r="R98" s="200"/>
      <c r="S98" s="200"/>
      <c r="T98" s="200"/>
      <c r="U98" s="200"/>
      <c r="V98" s="200"/>
      <c r="W98" s="200"/>
      <c r="X98" s="200"/>
      <c r="Y98" s="200"/>
      <c r="Z98" s="200"/>
    </row>
    <row r="99" spans="1:26" ht="21" customHeight="1" x14ac:dyDescent="0.35">
      <c r="A99" s="248"/>
      <c r="B99" s="249"/>
      <c r="C99" s="250"/>
      <c r="D99" s="250"/>
      <c r="E99" s="200"/>
      <c r="F99" s="200"/>
      <c r="G99" s="200"/>
      <c r="H99" s="200"/>
      <c r="I99" s="200"/>
      <c r="J99" s="200"/>
      <c r="K99" s="200"/>
      <c r="L99" s="200"/>
      <c r="M99" s="200"/>
      <c r="N99" s="200"/>
      <c r="O99" s="200"/>
      <c r="P99" s="200"/>
      <c r="Q99" s="200"/>
      <c r="R99" s="200"/>
      <c r="S99" s="200"/>
      <c r="T99" s="200"/>
      <c r="U99" s="200"/>
      <c r="V99" s="200"/>
      <c r="W99" s="200"/>
      <c r="X99" s="200"/>
      <c r="Y99" s="200"/>
      <c r="Z99" s="200"/>
    </row>
    <row r="100" spans="1:26" ht="21" customHeight="1" x14ac:dyDescent="0.35">
      <c r="A100" s="248"/>
      <c r="B100" s="249"/>
      <c r="C100" s="250"/>
      <c r="D100" s="250"/>
      <c r="E100" s="200"/>
      <c r="F100" s="200"/>
      <c r="G100" s="200"/>
      <c r="H100" s="200"/>
      <c r="I100" s="200"/>
      <c r="J100" s="200"/>
      <c r="K100" s="200"/>
      <c r="L100" s="200"/>
      <c r="M100" s="200"/>
      <c r="N100" s="200"/>
      <c r="O100" s="200"/>
      <c r="P100" s="200"/>
      <c r="Q100" s="200"/>
      <c r="R100" s="200"/>
      <c r="S100" s="200"/>
      <c r="T100" s="200"/>
      <c r="U100" s="200"/>
      <c r="V100" s="200"/>
      <c r="W100" s="200"/>
      <c r="X100" s="200"/>
      <c r="Y100" s="200"/>
      <c r="Z100" s="200"/>
    </row>
    <row r="101" spans="1:26" ht="21" customHeight="1" x14ac:dyDescent="0.35">
      <c r="A101" s="248"/>
      <c r="B101" s="249"/>
      <c r="C101" s="250"/>
      <c r="D101" s="250"/>
      <c r="E101" s="200"/>
      <c r="F101" s="200"/>
      <c r="G101" s="200"/>
      <c r="H101" s="200"/>
      <c r="I101" s="200"/>
      <c r="J101" s="200"/>
      <c r="K101" s="200"/>
      <c r="L101" s="200"/>
      <c r="M101" s="200"/>
      <c r="N101" s="200"/>
      <c r="O101" s="200"/>
      <c r="P101" s="200"/>
      <c r="Q101" s="200"/>
      <c r="R101" s="200"/>
      <c r="S101" s="200"/>
      <c r="T101" s="200"/>
      <c r="U101" s="200"/>
      <c r="V101" s="200"/>
      <c r="W101" s="200"/>
      <c r="X101" s="200"/>
      <c r="Y101" s="200"/>
      <c r="Z101" s="200"/>
    </row>
    <row r="102" spans="1:26" ht="21" customHeight="1" x14ac:dyDescent="0.35">
      <c r="A102" s="248"/>
      <c r="B102" s="249"/>
      <c r="C102" s="250"/>
      <c r="D102" s="250"/>
      <c r="E102" s="200"/>
      <c r="F102" s="200"/>
      <c r="G102" s="200"/>
      <c r="H102" s="200"/>
      <c r="I102" s="200"/>
      <c r="J102" s="200"/>
      <c r="K102" s="200"/>
      <c r="L102" s="200"/>
      <c r="M102" s="200"/>
      <c r="N102" s="200"/>
      <c r="O102" s="200"/>
      <c r="P102" s="200"/>
      <c r="Q102" s="200"/>
      <c r="R102" s="200"/>
      <c r="S102" s="200"/>
      <c r="T102" s="200"/>
      <c r="U102" s="200"/>
      <c r="V102" s="200"/>
      <c r="W102" s="200"/>
      <c r="X102" s="200"/>
      <c r="Y102" s="200"/>
      <c r="Z102" s="200"/>
    </row>
    <row r="103" spans="1:26" ht="21" customHeight="1" x14ac:dyDescent="0.35">
      <c r="A103" s="248"/>
      <c r="B103" s="249"/>
      <c r="C103" s="250"/>
      <c r="D103" s="250"/>
      <c r="E103" s="200"/>
      <c r="F103" s="200"/>
      <c r="G103" s="200"/>
      <c r="H103" s="200"/>
      <c r="I103" s="200"/>
      <c r="J103" s="200"/>
      <c r="K103" s="200"/>
      <c r="L103" s="200"/>
      <c r="M103" s="200"/>
      <c r="N103" s="200"/>
      <c r="O103" s="200"/>
      <c r="P103" s="200"/>
      <c r="Q103" s="200"/>
      <c r="R103" s="200"/>
      <c r="S103" s="200"/>
      <c r="T103" s="200"/>
      <c r="U103" s="200"/>
      <c r="V103" s="200"/>
      <c r="W103" s="200"/>
      <c r="X103" s="200"/>
      <c r="Y103" s="200"/>
      <c r="Z103" s="200"/>
    </row>
    <row r="104" spans="1:26" ht="21" customHeight="1" x14ac:dyDescent="0.35">
      <c r="A104" s="248"/>
      <c r="B104" s="249"/>
      <c r="C104" s="250"/>
      <c r="D104" s="250"/>
      <c r="E104" s="200"/>
      <c r="F104" s="200"/>
      <c r="G104" s="200"/>
      <c r="H104" s="200"/>
      <c r="I104" s="200"/>
      <c r="J104" s="200"/>
      <c r="K104" s="200"/>
      <c r="L104" s="200"/>
      <c r="M104" s="200"/>
      <c r="N104" s="200"/>
      <c r="O104" s="200"/>
      <c r="P104" s="200"/>
      <c r="Q104" s="200"/>
      <c r="R104" s="200"/>
      <c r="S104" s="200"/>
      <c r="T104" s="200"/>
      <c r="U104" s="200"/>
      <c r="V104" s="200"/>
      <c r="W104" s="200"/>
      <c r="X104" s="200"/>
      <c r="Y104" s="200"/>
      <c r="Z104" s="200"/>
    </row>
    <row r="105" spans="1:26" ht="21" customHeight="1" x14ac:dyDescent="0.35">
      <c r="A105" s="248"/>
      <c r="B105" s="249"/>
      <c r="C105" s="250"/>
      <c r="D105" s="250"/>
      <c r="E105" s="200"/>
      <c r="F105" s="200"/>
      <c r="G105" s="200"/>
      <c r="H105" s="200"/>
      <c r="I105" s="200"/>
      <c r="J105" s="200"/>
      <c r="K105" s="200"/>
      <c r="L105" s="200"/>
      <c r="M105" s="200"/>
      <c r="N105" s="200"/>
      <c r="O105" s="200"/>
      <c r="P105" s="200"/>
      <c r="Q105" s="200"/>
      <c r="R105" s="200"/>
      <c r="S105" s="200"/>
      <c r="T105" s="200"/>
      <c r="U105" s="200"/>
      <c r="V105" s="200"/>
      <c r="W105" s="200"/>
      <c r="X105" s="200"/>
      <c r="Y105" s="200"/>
      <c r="Z105" s="200"/>
    </row>
    <row r="106" spans="1:26" ht="21" customHeight="1" x14ac:dyDescent="0.35">
      <c r="A106" s="248"/>
      <c r="B106" s="249"/>
      <c r="C106" s="250"/>
      <c r="D106" s="250"/>
      <c r="E106" s="200"/>
      <c r="F106" s="200"/>
      <c r="G106" s="200"/>
      <c r="H106" s="200"/>
      <c r="I106" s="200"/>
      <c r="J106" s="200"/>
      <c r="K106" s="200"/>
      <c r="L106" s="200"/>
      <c r="M106" s="200"/>
      <c r="N106" s="200"/>
      <c r="O106" s="200"/>
      <c r="P106" s="200"/>
      <c r="Q106" s="200"/>
      <c r="R106" s="200"/>
      <c r="S106" s="200"/>
      <c r="T106" s="200"/>
      <c r="U106" s="200"/>
      <c r="V106" s="200"/>
      <c r="W106" s="200"/>
      <c r="X106" s="200"/>
      <c r="Y106" s="200"/>
      <c r="Z106" s="200"/>
    </row>
    <row r="107" spans="1:26" ht="21" customHeight="1" x14ac:dyDescent="0.35">
      <c r="A107" s="248"/>
      <c r="B107" s="249"/>
      <c r="C107" s="250"/>
      <c r="D107" s="250"/>
      <c r="E107" s="200"/>
      <c r="F107" s="200"/>
      <c r="G107" s="200"/>
      <c r="H107" s="200"/>
      <c r="I107" s="200"/>
      <c r="J107" s="200"/>
      <c r="K107" s="200"/>
      <c r="L107" s="200"/>
      <c r="M107" s="200"/>
      <c r="N107" s="200"/>
      <c r="O107" s="200"/>
      <c r="P107" s="200"/>
      <c r="Q107" s="200"/>
      <c r="R107" s="200"/>
      <c r="S107" s="200"/>
      <c r="T107" s="200"/>
      <c r="U107" s="200"/>
      <c r="V107" s="200"/>
      <c r="W107" s="200"/>
      <c r="X107" s="200"/>
      <c r="Y107" s="200"/>
      <c r="Z107" s="200"/>
    </row>
    <row r="108" spans="1:26" ht="21" customHeight="1" x14ac:dyDescent="0.35">
      <c r="A108" s="248"/>
      <c r="B108" s="249"/>
      <c r="C108" s="250"/>
      <c r="D108" s="250"/>
      <c r="E108" s="200"/>
      <c r="F108" s="200"/>
      <c r="G108" s="200"/>
      <c r="H108" s="200"/>
      <c r="I108" s="200"/>
      <c r="J108" s="200"/>
      <c r="K108" s="200"/>
      <c r="L108" s="200"/>
      <c r="M108" s="200"/>
      <c r="N108" s="200"/>
      <c r="O108" s="200"/>
      <c r="P108" s="200"/>
      <c r="Q108" s="200"/>
      <c r="R108" s="200"/>
      <c r="S108" s="200"/>
      <c r="T108" s="200"/>
      <c r="U108" s="200"/>
      <c r="V108" s="200"/>
      <c r="W108" s="200"/>
      <c r="X108" s="200"/>
      <c r="Y108" s="200"/>
      <c r="Z108" s="200"/>
    </row>
    <row r="109" spans="1:26" ht="21" customHeight="1" x14ac:dyDescent="0.35">
      <c r="A109" s="248"/>
      <c r="B109" s="249"/>
      <c r="C109" s="250"/>
      <c r="D109" s="25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row>
    <row r="110" spans="1:26" ht="21" customHeight="1" x14ac:dyDescent="0.35">
      <c r="A110" s="248"/>
      <c r="B110" s="249"/>
      <c r="C110" s="250"/>
      <c r="D110" s="250"/>
      <c r="E110" s="200"/>
      <c r="F110" s="200"/>
      <c r="G110" s="200"/>
      <c r="H110" s="200"/>
      <c r="I110" s="200"/>
      <c r="J110" s="200"/>
      <c r="K110" s="200"/>
      <c r="L110" s="200"/>
      <c r="M110" s="200"/>
      <c r="N110" s="200"/>
      <c r="O110" s="200"/>
      <c r="P110" s="200"/>
      <c r="Q110" s="200"/>
      <c r="R110" s="200"/>
      <c r="S110" s="200"/>
      <c r="T110" s="200"/>
      <c r="U110" s="200"/>
      <c r="V110" s="200"/>
      <c r="W110" s="200"/>
      <c r="X110" s="200"/>
      <c r="Y110" s="200"/>
      <c r="Z110" s="200"/>
    </row>
    <row r="111" spans="1:26" ht="21" customHeight="1" x14ac:dyDescent="0.35">
      <c r="A111" s="248"/>
      <c r="B111" s="249"/>
      <c r="C111" s="250"/>
      <c r="D111" s="250"/>
      <c r="E111" s="200"/>
      <c r="F111" s="200"/>
      <c r="G111" s="200"/>
      <c r="H111" s="200"/>
      <c r="I111" s="200"/>
      <c r="J111" s="200"/>
      <c r="K111" s="200"/>
      <c r="L111" s="200"/>
      <c r="M111" s="200"/>
      <c r="N111" s="200"/>
      <c r="O111" s="200"/>
      <c r="P111" s="200"/>
      <c r="Q111" s="200"/>
      <c r="R111" s="200"/>
      <c r="S111" s="200"/>
      <c r="T111" s="200"/>
      <c r="U111" s="200"/>
      <c r="V111" s="200"/>
      <c r="W111" s="200"/>
      <c r="X111" s="200"/>
      <c r="Y111" s="200"/>
      <c r="Z111" s="200"/>
    </row>
    <row r="112" spans="1:26" ht="21" customHeight="1" x14ac:dyDescent="0.35">
      <c r="A112" s="248"/>
      <c r="B112" s="249"/>
      <c r="C112" s="250"/>
      <c r="D112" s="250"/>
      <c r="E112" s="200"/>
      <c r="F112" s="200"/>
      <c r="G112" s="200"/>
      <c r="H112" s="200"/>
      <c r="I112" s="200"/>
      <c r="J112" s="200"/>
      <c r="K112" s="200"/>
      <c r="L112" s="200"/>
      <c r="M112" s="200"/>
      <c r="N112" s="200"/>
      <c r="O112" s="200"/>
      <c r="P112" s="200"/>
      <c r="Q112" s="200"/>
      <c r="R112" s="200"/>
      <c r="S112" s="200"/>
      <c r="T112" s="200"/>
      <c r="U112" s="200"/>
      <c r="V112" s="200"/>
      <c r="W112" s="200"/>
      <c r="X112" s="200"/>
      <c r="Y112" s="200"/>
      <c r="Z112" s="200"/>
    </row>
    <row r="113" spans="1:26" ht="21" customHeight="1" x14ac:dyDescent="0.35">
      <c r="A113" s="248"/>
      <c r="B113" s="249"/>
      <c r="C113" s="250"/>
      <c r="D113" s="25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row>
    <row r="114" spans="1:26" ht="21" customHeight="1" x14ac:dyDescent="0.35">
      <c r="A114" s="248"/>
      <c r="B114" s="249"/>
      <c r="C114" s="250"/>
      <c r="D114" s="250"/>
      <c r="E114" s="200"/>
      <c r="F114" s="200"/>
      <c r="G114" s="200"/>
      <c r="H114" s="200"/>
      <c r="I114" s="200"/>
      <c r="J114" s="200"/>
      <c r="K114" s="200"/>
      <c r="L114" s="200"/>
      <c r="M114" s="200"/>
      <c r="N114" s="200"/>
      <c r="O114" s="200"/>
      <c r="P114" s="200"/>
      <c r="Q114" s="200"/>
      <c r="R114" s="200"/>
      <c r="S114" s="200"/>
      <c r="T114" s="200"/>
      <c r="U114" s="200"/>
      <c r="V114" s="200"/>
      <c r="W114" s="200"/>
      <c r="X114" s="200"/>
      <c r="Y114" s="200"/>
      <c r="Z114" s="200"/>
    </row>
    <row r="115" spans="1:26" ht="21" customHeight="1" x14ac:dyDescent="0.35">
      <c r="A115" s="248"/>
      <c r="B115" s="249"/>
      <c r="C115" s="250"/>
      <c r="D115" s="250"/>
      <c r="E115" s="200"/>
      <c r="F115" s="200"/>
      <c r="G115" s="200"/>
      <c r="H115" s="200"/>
      <c r="I115" s="200"/>
      <c r="J115" s="200"/>
      <c r="K115" s="200"/>
      <c r="L115" s="200"/>
      <c r="M115" s="200"/>
      <c r="N115" s="200"/>
      <c r="O115" s="200"/>
      <c r="P115" s="200"/>
      <c r="Q115" s="200"/>
      <c r="R115" s="200"/>
      <c r="S115" s="200"/>
      <c r="T115" s="200"/>
      <c r="U115" s="200"/>
      <c r="V115" s="200"/>
      <c r="W115" s="200"/>
      <c r="X115" s="200"/>
      <c r="Y115" s="200"/>
      <c r="Z115" s="200"/>
    </row>
    <row r="116" spans="1:26" ht="21" customHeight="1" x14ac:dyDescent="0.35">
      <c r="A116" s="248"/>
      <c r="B116" s="249"/>
      <c r="C116" s="250"/>
      <c r="D116" s="250"/>
      <c r="E116" s="200"/>
      <c r="F116" s="200"/>
      <c r="G116" s="200"/>
      <c r="H116" s="200"/>
      <c r="I116" s="200"/>
      <c r="J116" s="200"/>
      <c r="K116" s="200"/>
      <c r="L116" s="200"/>
      <c r="M116" s="200"/>
      <c r="N116" s="200"/>
      <c r="O116" s="200"/>
      <c r="P116" s="200"/>
      <c r="Q116" s="200"/>
      <c r="R116" s="200"/>
      <c r="S116" s="200"/>
      <c r="T116" s="200"/>
      <c r="U116" s="200"/>
      <c r="V116" s="200"/>
      <c r="W116" s="200"/>
      <c r="X116" s="200"/>
      <c r="Y116" s="200"/>
      <c r="Z116" s="200"/>
    </row>
    <row r="117" spans="1:26" ht="21" customHeight="1" x14ac:dyDescent="0.35">
      <c r="A117" s="248"/>
      <c r="B117" s="249"/>
      <c r="C117" s="250"/>
      <c r="D117" s="250"/>
      <c r="E117" s="200"/>
      <c r="F117" s="200"/>
      <c r="G117" s="200"/>
      <c r="H117" s="200"/>
      <c r="I117" s="200"/>
      <c r="J117" s="200"/>
      <c r="K117" s="200"/>
      <c r="L117" s="200"/>
      <c r="M117" s="200"/>
      <c r="N117" s="200"/>
      <c r="O117" s="200"/>
      <c r="P117" s="200"/>
      <c r="Q117" s="200"/>
      <c r="R117" s="200"/>
      <c r="S117" s="200"/>
      <c r="T117" s="200"/>
      <c r="U117" s="200"/>
      <c r="V117" s="200"/>
      <c r="W117" s="200"/>
      <c r="X117" s="200"/>
      <c r="Y117" s="200"/>
      <c r="Z117" s="200"/>
    </row>
    <row r="118" spans="1:26" ht="21" customHeight="1" x14ac:dyDescent="0.35">
      <c r="A118" s="248"/>
      <c r="B118" s="249"/>
      <c r="C118" s="250"/>
      <c r="D118" s="250"/>
      <c r="E118" s="200"/>
      <c r="F118" s="200"/>
      <c r="G118" s="200"/>
      <c r="H118" s="200"/>
      <c r="I118" s="200"/>
      <c r="J118" s="200"/>
      <c r="K118" s="200"/>
      <c r="L118" s="200"/>
      <c r="M118" s="200"/>
      <c r="N118" s="200"/>
      <c r="O118" s="200"/>
      <c r="P118" s="200"/>
      <c r="Q118" s="200"/>
      <c r="R118" s="200"/>
      <c r="S118" s="200"/>
      <c r="T118" s="200"/>
      <c r="U118" s="200"/>
      <c r="V118" s="200"/>
      <c r="W118" s="200"/>
      <c r="X118" s="200"/>
      <c r="Y118" s="200"/>
      <c r="Z118" s="200"/>
    </row>
    <row r="119" spans="1:26" ht="21" customHeight="1" x14ac:dyDescent="0.35">
      <c r="A119" s="248"/>
      <c r="B119" s="249"/>
      <c r="C119" s="250"/>
      <c r="D119" s="250"/>
      <c r="E119" s="200"/>
      <c r="F119" s="200"/>
      <c r="G119" s="200"/>
      <c r="H119" s="200"/>
      <c r="I119" s="200"/>
      <c r="J119" s="200"/>
      <c r="K119" s="200"/>
      <c r="L119" s="200"/>
      <c r="M119" s="200"/>
      <c r="N119" s="200"/>
      <c r="O119" s="200"/>
      <c r="P119" s="200"/>
      <c r="Q119" s="200"/>
      <c r="R119" s="200"/>
      <c r="S119" s="200"/>
      <c r="T119" s="200"/>
      <c r="U119" s="200"/>
      <c r="V119" s="200"/>
      <c r="W119" s="200"/>
      <c r="X119" s="200"/>
      <c r="Y119" s="200"/>
      <c r="Z119" s="200"/>
    </row>
    <row r="120" spans="1:26" ht="21" customHeight="1" x14ac:dyDescent="0.35">
      <c r="A120" s="248"/>
      <c r="B120" s="249"/>
      <c r="C120" s="250"/>
      <c r="D120" s="250"/>
      <c r="E120" s="200"/>
      <c r="F120" s="200"/>
      <c r="G120" s="200"/>
      <c r="H120" s="200"/>
      <c r="I120" s="200"/>
      <c r="J120" s="200"/>
      <c r="K120" s="200"/>
      <c r="L120" s="200"/>
      <c r="M120" s="200"/>
      <c r="N120" s="200"/>
      <c r="O120" s="200"/>
      <c r="P120" s="200"/>
      <c r="Q120" s="200"/>
      <c r="R120" s="200"/>
      <c r="S120" s="200"/>
      <c r="T120" s="200"/>
      <c r="U120" s="200"/>
      <c r="V120" s="200"/>
      <c r="W120" s="200"/>
      <c r="X120" s="200"/>
      <c r="Y120" s="200"/>
      <c r="Z120" s="200"/>
    </row>
    <row r="121" spans="1:26" ht="21" customHeight="1" x14ac:dyDescent="0.35">
      <c r="A121" s="248"/>
      <c r="B121" s="249"/>
      <c r="C121" s="250"/>
      <c r="D121" s="250"/>
      <c r="E121" s="200"/>
      <c r="F121" s="200"/>
      <c r="G121" s="200"/>
      <c r="H121" s="200"/>
      <c r="I121" s="200"/>
      <c r="J121" s="200"/>
      <c r="K121" s="200"/>
      <c r="L121" s="200"/>
      <c r="M121" s="200"/>
      <c r="N121" s="200"/>
      <c r="O121" s="200"/>
      <c r="P121" s="200"/>
      <c r="Q121" s="200"/>
      <c r="R121" s="200"/>
      <c r="S121" s="200"/>
      <c r="T121" s="200"/>
      <c r="U121" s="200"/>
      <c r="V121" s="200"/>
      <c r="W121" s="200"/>
      <c r="X121" s="200"/>
      <c r="Y121" s="200"/>
      <c r="Z121" s="200"/>
    </row>
    <row r="122" spans="1:26" ht="21" customHeight="1" x14ac:dyDescent="0.35">
      <c r="A122" s="248"/>
      <c r="B122" s="249"/>
      <c r="C122" s="250"/>
      <c r="D122" s="250"/>
      <c r="E122" s="200"/>
      <c r="F122" s="200"/>
      <c r="G122" s="200"/>
      <c r="H122" s="200"/>
      <c r="I122" s="200"/>
      <c r="J122" s="200"/>
      <c r="K122" s="200"/>
      <c r="L122" s="200"/>
      <c r="M122" s="200"/>
      <c r="N122" s="200"/>
      <c r="O122" s="200"/>
      <c r="P122" s="200"/>
      <c r="Q122" s="200"/>
      <c r="R122" s="200"/>
      <c r="S122" s="200"/>
      <c r="T122" s="200"/>
      <c r="U122" s="200"/>
      <c r="V122" s="200"/>
      <c r="W122" s="200"/>
      <c r="X122" s="200"/>
      <c r="Y122" s="200"/>
      <c r="Z122" s="200"/>
    </row>
    <row r="123" spans="1:26" ht="21" customHeight="1" x14ac:dyDescent="0.35">
      <c r="A123" s="248"/>
      <c r="B123" s="249"/>
      <c r="C123" s="250"/>
      <c r="D123" s="250"/>
      <c r="E123" s="200"/>
      <c r="F123" s="200"/>
      <c r="G123" s="200"/>
      <c r="H123" s="200"/>
      <c r="I123" s="200"/>
      <c r="J123" s="200"/>
      <c r="K123" s="200"/>
      <c r="L123" s="200"/>
      <c r="M123" s="200"/>
      <c r="N123" s="200"/>
      <c r="O123" s="200"/>
      <c r="P123" s="200"/>
      <c r="Q123" s="200"/>
      <c r="R123" s="200"/>
      <c r="S123" s="200"/>
      <c r="T123" s="200"/>
      <c r="U123" s="200"/>
      <c r="V123" s="200"/>
      <c r="W123" s="200"/>
      <c r="X123" s="200"/>
      <c r="Y123" s="200"/>
      <c r="Z123" s="200"/>
    </row>
    <row r="124" spans="1:26" ht="21" customHeight="1" x14ac:dyDescent="0.35">
      <c r="A124" s="248"/>
      <c r="B124" s="249"/>
      <c r="C124" s="250"/>
      <c r="D124" s="250"/>
      <c r="E124" s="200"/>
      <c r="F124" s="200"/>
      <c r="G124" s="200"/>
      <c r="H124" s="200"/>
      <c r="I124" s="200"/>
      <c r="J124" s="200"/>
      <c r="K124" s="200"/>
      <c r="L124" s="200"/>
      <c r="M124" s="200"/>
      <c r="N124" s="200"/>
      <c r="O124" s="200"/>
      <c r="P124" s="200"/>
      <c r="Q124" s="200"/>
      <c r="R124" s="200"/>
      <c r="S124" s="200"/>
      <c r="T124" s="200"/>
      <c r="U124" s="200"/>
      <c r="V124" s="200"/>
      <c r="W124" s="200"/>
      <c r="X124" s="200"/>
      <c r="Y124" s="200"/>
      <c r="Z124" s="200"/>
    </row>
    <row r="125" spans="1:26" ht="21" customHeight="1" x14ac:dyDescent="0.35">
      <c r="A125" s="248"/>
      <c r="B125" s="249"/>
      <c r="C125" s="250"/>
      <c r="D125" s="250"/>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0"/>
    </row>
    <row r="126" spans="1:26" ht="21" customHeight="1" x14ac:dyDescent="0.35">
      <c r="A126" s="248"/>
      <c r="B126" s="249"/>
      <c r="C126" s="250"/>
      <c r="D126" s="250"/>
      <c r="E126" s="200"/>
      <c r="F126" s="200"/>
      <c r="G126" s="200"/>
      <c r="H126" s="200"/>
      <c r="I126" s="200"/>
      <c r="J126" s="200"/>
      <c r="K126" s="200"/>
      <c r="L126" s="200"/>
      <c r="M126" s="200"/>
      <c r="N126" s="200"/>
      <c r="O126" s="200"/>
      <c r="P126" s="200"/>
      <c r="Q126" s="200"/>
      <c r="R126" s="200"/>
      <c r="S126" s="200"/>
      <c r="T126" s="200"/>
      <c r="U126" s="200"/>
      <c r="V126" s="200"/>
      <c r="W126" s="200"/>
      <c r="X126" s="200"/>
      <c r="Y126" s="200"/>
      <c r="Z126" s="200"/>
    </row>
    <row r="127" spans="1:26" ht="21" customHeight="1" x14ac:dyDescent="0.35">
      <c r="A127" s="248"/>
      <c r="B127" s="249"/>
      <c r="C127" s="250"/>
      <c r="D127" s="250"/>
      <c r="E127" s="200"/>
      <c r="F127" s="200"/>
      <c r="G127" s="200"/>
      <c r="H127" s="200"/>
      <c r="I127" s="200"/>
      <c r="J127" s="200"/>
      <c r="K127" s="200"/>
      <c r="L127" s="200"/>
      <c r="M127" s="200"/>
      <c r="N127" s="200"/>
      <c r="O127" s="200"/>
      <c r="P127" s="200"/>
      <c r="Q127" s="200"/>
      <c r="R127" s="200"/>
      <c r="S127" s="200"/>
      <c r="T127" s="200"/>
      <c r="U127" s="200"/>
      <c r="V127" s="200"/>
      <c r="W127" s="200"/>
      <c r="X127" s="200"/>
      <c r="Y127" s="200"/>
      <c r="Z127" s="200"/>
    </row>
    <row r="128" spans="1:26" ht="21" customHeight="1" x14ac:dyDescent="0.35">
      <c r="A128" s="248"/>
      <c r="B128" s="249"/>
      <c r="C128" s="250"/>
      <c r="D128" s="250"/>
      <c r="E128" s="200"/>
      <c r="F128" s="200"/>
      <c r="G128" s="200"/>
      <c r="H128" s="200"/>
      <c r="I128" s="200"/>
      <c r="J128" s="200"/>
      <c r="K128" s="200"/>
      <c r="L128" s="200"/>
      <c r="M128" s="200"/>
      <c r="N128" s="200"/>
      <c r="O128" s="200"/>
      <c r="P128" s="200"/>
      <c r="Q128" s="200"/>
      <c r="R128" s="200"/>
      <c r="S128" s="200"/>
      <c r="T128" s="200"/>
      <c r="U128" s="200"/>
      <c r="V128" s="200"/>
      <c r="W128" s="200"/>
      <c r="X128" s="200"/>
      <c r="Y128" s="200"/>
      <c r="Z128" s="200"/>
    </row>
    <row r="129" spans="1:26" ht="21" customHeight="1" x14ac:dyDescent="0.35">
      <c r="A129" s="248"/>
      <c r="B129" s="249"/>
      <c r="C129" s="250"/>
      <c r="D129" s="250"/>
      <c r="E129" s="200"/>
      <c r="F129" s="200"/>
      <c r="G129" s="200"/>
      <c r="H129" s="200"/>
      <c r="I129" s="200"/>
      <c r="J129" s="200"/>
      <c r="K129" s="200"/>
      <c r="L129" s="200"/>
      <c r="M129" s="200"/>
      <c r="N129" s="200"/>
      <c r="O129" s="200"/>
      <c r="P129" s="200"/>
      <c r="Q129" s="200"/>
      <c r="R129" s="200"/>
      <c r="S129" s="200"/>
      <c r="T129" s="200"/>
      <c r="U129" s="200"/>
      <c r="V129" s="200"/>
      <c r="W129" s="200"/>
      <c r="X129" s="200"/>
      <c r="Y129" s="200"/>
      <c r="Z129" s="200"/>
    </row>
    <row r="130" spans="1:26" ht="21" customHeight="1" x14ac:dyDescent="0.35">
      <c r="A130" s="248"/>
      <c r="B130" s="249"/>
      <c r="C130" s="250"/>
      <c r="D130" s="250"/>
      <c r="E130" s="200"/>
      <c r="F130" s="200"/>
      <c r="G130" s="200"/>
      <c r="H130" s="200"/>
      <c r="I130" s="200"/>
      <c r="J130" s="200"/>
      <c r="K130" s="200"/>
      <c r="L130" s="200"/>
      <c r="M130" s="200"/>
      <c r="N130" s="200"/>
      <c r="O130" s="200"/>
      <c r="P130" s="200"/>
      <c r="Q130" s="200"/>
      <c r="R130" s="200"/>
      <c r="S130" s="200"/>
      <c r="T130" s="200"/>
      <c r="U130" s="200"/>
      <c r="V130" s="200"/>
      <c r="W130" s="200"/>
      <c r="X130" s="200"/>
      <c r="Y130" s="200"/>
      <c r="Z130" s="200"/>
    </row>
    <row r="131" spans="1:26" ht="21" customHeight="1" x14ac:dyDescent="0.35">
      <c r="A131" s="248"/>
      <c r="B131" s="249"/>
      <c r="C131" s="250"/>
      <c r="D131" s="250"/>
      <c r="E131" s="200"/>
      <c r="F131" s="200"/>
      <c r="G131" s="200"/>
      <c r="H131" s="200"/>
      <c r="I131" s="200"/>
      <c r="J131" s="200"/>
      <c r="K131" s="200"/>
      <c r="L131" s="200"/>
      <c r="M131" s="200"/>
      <c r="N131" s="200"/>
      <c r="O131" s="200"/>
      <c r="P131" s="200"/>
      <c r="Q131" s="200"/>
      <c r="R131" s="200"/>
      <c r="S131" s="200"/>
      <c r="T131" s="200"/>
      <c r="U131" s="200"/>
      <c r="V131" s="200"/>
      <c r="W131" s="200"/>
      <c r="X131" s="200"/>
      <c r="Y131" s="200"/>
      <c r="Z131" s="200"/>
    </row>
    <row r="132" spans="1:26" ht="21" customHeight="1" x14ac:dyDescent="0.35">
      <c r="A132" s="248"/>
      <c r="B132" s="249"/>
      <c r="C132" s="250"/>
      <c r="D132" s="250"/>
      <c r="E132" s="200"/>
      <c r="F132" s="200"/>
      <c r="G132" s="200"/>
      <c r="H132" s="200"/>
      <c r="I132" s="200"/>
      <c r="J132" s="200"/>
      <c r="K132" s="200"/>
      <c r="L132" s="200"/>
      <c r="M132" s="200"/>
      <c r="N132" s="200"/>
      <c r="O132" s="200"/>
      <c r="P132" s="200"/>
      <c r="Q132" s="200"/>
      <c r="R132" s="200"/>
      <c r="S132" s="200"/>
      <c r="T132" s="200"/>
      <c r="U132" s="200"/>
      <c r="V132" s="200"/>
      <c r="W132" s="200"/>
      <c r="X132" s="200"/>
      <c r="Y132" s="200"/>
      <c r="Z132" s="200"/>
    </row>
    <row r="133" spans="1:26" ht="21" customHeight="1" x14ac:dyDescent="0.35">
      <c r="A133" s="248"/>
      <c r="B133" s="249"/>
      <c r="C133" s="250"/>
      <c r="D133" s="250"/>
      <c r="E133" s="200"/>
      <c r="F133" s="200"/>
      <c r="G133" s="200"/>
      <c r="H133" s="200"/>
      <c r="I133" s="200"/>
      <c r="J133" s="200"/>
      <c r="K133" s="200"/>
      <c r="L133" s="200"/>
      <c r="M133" s="200"/>
      <c r="N133" s="200"/>
      <c r="O133" s="200"/>
      <c r="P133" s="200"/>
      <c r="Q133" s="200"/>
      <c r="R133" s="200"/>
      <c r="S133" s="200"/>
      <c r="T133" s="200"/>
      <c r="U133" s="200"/>
      <c r="V133" s="200"/>
      <c r="W133" s="200"/>
      <c r="X133" s="200"/>
      <c r="Y133" s="200"/>
      <c r="Z133" s="200"/>
    </row>
    <row r="134" spans="1:26" ht="21" customHeight="1" x14ac:dyDescent="0.35">
      <c r="A134" s="248"/>
      <c r="B134" s="249"/>
      <c r="C134" s="250"/>
      <c r="D134" s="250"/>
      <c r="E134" s="200"/>
      <c r="F134" s="200"/>
      <c r="G134" s="200"/>
      <c r="H134" s="200"/>
      <c r="I134" s="200"/>
      <c r="J134" s="200"/>
      <c r="K134" s="200"/>
      <c r="L134" s="200"/>
      <c r="M134" s="200"/>
      <c r="N134" s="200"/>
      <c r="O134" s="200"/>
      <c r="P134" s="200"/>
      <c r="Q134" s="200"/>
      <c r="R134" s="200"/>
      <c r="S134" s="200"/>
      <c r="T134" s="200"/>
      <c r="U134" s="200"/>
      <c r="V134" s="200"/>
      <c r="W134" s="200"/>
      <c r="X134" s="200"/>
      <c r="Y134" s="200"/>
      <c r="Z134" s="200"/>
    </row>
    <row r="135" spans="1:26" ht="21" customHeight="1" x14ac:dyDescent="0.35">
      <c r="A135" s="248"/>
      <c r="B135" s="249"/>
      <c r="C135" s="250"/>
      <c r="D135" s="250"/>
      <c r="E135" s="200"/>
      <c r="F135" s="200"/>
      <c r="G135" s="200"/>
      <c r="H135" s="200"/>
      <c r="I135" s="200"/>
      <c r="J135" s="200"/>
      <c r="K135" s="200"/>
      <c r="L135" s="200"/>
      <c r="M135" s="200"/>
      <c r="N135" s="200"/>
      <c r="O135" s="200"/>
      <c r="P135" s="200"/>
      <c r="Q135" s="200"/>
      <c r="R135" s="200"/>
      <c r="S135" s="200"/>
      <c r="T135" s="200"/>
      <c r="U135" s="200"/>
      <c r="V135" s="200"/>
      <c r="W135" s="200"/>
      <c r="X135" s="200"/>
      <c r="Y135" s="200"/>
      <c r="Z135" s="200"/>
    </row>
    <row r="136" spans="1:26" ht="21" customHeight="1" x14ac:dyDescent="0.35">
      <c r="A136" s="248"/>
      <c r="B136" s="249"/>
      <c r="C136" s="250"/>
      <c r="D136" s="250"/>
      <c r="E136" s="200"/>
      <c r="F136" s="200"/>
      <c r="G136" s="200"/>
      <c r="H136" s="200"/>
      <c r="I136" s="200"/>
      <c r="J136" s="200"/>
      <c r="K136" s="200"/>
      <c r="L136" s="200"/>
      <c r="M136" s="200"/>
      <c r="N136" s="200"/>
      <c r="O136" s="200"/>
      <c r="P136" s="200"/>
      <c r="Q136" s="200"/>
      <c r="R136" s="200"/>
      <c r="S136" s="200"/>
      <c r="T136" s="200"/>
      <c r="U136" s="200"/>
      <c r="V136" s="200"/>
      <c r="W136" s="200"/>
      <c r="X136" s="200"/>
      <c r="Y136" s="200"/>
      <c r="Z136" s="200"/>
    </row>
    <row r="137" spans="1:26" ht="21" customHeight="1" x14ac:dyDescent="0.35">
      <c r="A137" s="248"/>
      <c r="B137" s="249"/>
      <c r="C137" s="250"/>
      <c r="D137" s="250"/>
      <c r="E137" s="200"/>
      <c r="F137" s="200"/>
      <c r="G137" s="200"/>
      <c r="H137" s="200"/>
      <c r="I137" s="200"/>
      <c r="J137" s="200"/>
      <c r="K137" s="200"/>
      <c r="L137" s="200"/>
      <c r="M137" s="200"/>
      <c r="N137" s="200"/>
      <c r="O137" s="200"/>
      <c r="P137" s="200"/>
      <c r="Q137" s="200"/>
      <c r="R137" s="200"/>
      <c r="S137" s="200"/>
      <c r="T137" s="200"/>
      <c r="U137" s="200"/>
      <c r="V137" s="200"/>
      <c r="W137" s="200"/>
      <c r="X137" s="200"/>
      <c r="Y137" s="200"/>
      <c r="Z137" s="200"/>
    </row>
    <row r="138" spans="1:26" ht="21" customHeight="1" x14ac:dyDescent="0.35">
      <c r="A138" s="248"/>
      <c r="B138" s="249"/>
      <c r="C138" s="250"/>
      <c r="D138" s="250"/>
      <c r="E138" s="200"/>
      <c r="F138" s="200"/>
      <c r="G138" s="200"/>
      <c r="H138" s="200"/>
      <c r="I138" s="200"/>
      <c r="J138" s="200"/>
      <c r="K138" s="200"/>
      <c r="L138" s="200"/>
      <c r="M138" s="200"/>
      <c r="N138" s="200"/>
      <c r="O138" s="200"/>
      <c r="P138" s="200"/>
      <c r="Q138" s="200"/>
      <c r="R138" s="200"/>
      <c r="S138" s="200"/>
      <c r="T138" s="200"/>
      <c r="U138" s="200"/>
      <c r="V138" s="200"/>
      <c r="W138" s="200"/>
      <c r="X138" s="200"/>
      <c r="Y138" s="200"/>
      <c r="Z138" s="200"/>
    </row>
    <row r="139" spans="1:26" ht="21" customHeight="1" x14ac:dyDescent="0.35">
      <c r="A139" s="248"/>
      <c r="B139" s="249"/>
      <c r="C139" s="250"/>
      <c r="D139" s="250"/>
      <c r="E139" s="200"/>
      <c r="F139" s="200"/>
      <c r="G139" s="200"/>
      <c r="H139" s="200"/>
      <c r="I139" s="200"/>
      <c r="J139" s="200"/>
      <c r="K139" s="200"/>
      <c r="L139" s="200"/>
      <c r="M139" s="200"/>
      <c r="N139" s="200"/>
      <c r="O139" s="200"/>
      <c r="P139" s="200"/>
      <c r="Q139" s="200"/>
      <c r="R139" s="200"/>
      <c r="S139" s="200"/>
      <c r="T139" s="200"/>
      <c r="U139" s="200"/>
      <c r="V139" s="200"/>
      <c r="W139" s="200"/>
      <c r="X139" s="200"/>
      <c r="Y139" s="200"/>
      <c r="Z139" s="200"/>
    </row>
    <row r="140" spans="1:26" ht="21" customHeight="1" x14ac:dyDescent="0.35">
      <c r="A140" s="248"/>
      <c r="B140" s="249"/>
      <c r="C140" s="250"/>
      <c r="D140" s="250"/>
      <c r="E140" s="200"/>
      <c r="F140" s="200"/>
      <c r="G140" s="200"/>
      <c r="H140" s="200"/>
      <c r="I140" s="200"/>
      <c r="J140" s="200"/>
      <c r="K140" s="200"/>
      <c r="L140" s="200"/>
      <c r="M140" s="200"/>
      <c r="N140" s="200"/>
      <c r="O140" s="200"/>
      <c r="P140" s="200"/>
      <c r="Q140" s="200"/>
      <c r="R140" s="200"/>
      <c r="S140" s="200"/>
      <c r="T140" s="200"/>
      <c r="U140" s="200"/>
      <c r="V140" s="200"/>
      <c r="W140" s="200"/>
      <c r="X140" s="200"/>
      <c r="Y140" s="200"/>
      <c r="Z140" s="200"/>
    </row>
    <row r="141" spans="1:26" ht="21" customHeight="1" x14ac:dyDescent="0.35">
      <c r="A141" s="248"/>
      <c r="B141" s="249"/>
      <c r="C141" s="250"/>
      <c r="D141" s="250"/>
      <c r="E141" s="200"/>
      <c r="F141" s="200"/>
      <c r="G141" s="200"/>
      <c r="H141" s="200"/>
      <c r="I141" s="200"/>
      <c r="J141" s="200"/>
      <c r="K141" s="200"/>
      <c r="L141" s="200"/>
      <c r="M141" s="200"/>
      <c r="N141" s="200"/>
      <c r="O141" s="200"/>
      <c r="P141" s="200"/>
      <c r="Q141" s="200"/>
      <c r="R141" s="200"/>
      <c r="S141" s="200"/>
      <c r="T141" s="200"/>
      <c r="U141" s="200"/>
      <c r="V141" s="200"/>
      <c r="W141" s="200"/>
      <c r="X141" s="200"/>
      <c r="Y141" s="200"/>
      <c r="Z141" s="200"/>
    </row>
    <row r="142" spans="1:26" ht="21" customHeight="1" x14ac:dyDescent="0.35">
      <c r="A142" s="248"/>
      <c r="B142" s="249"/>
      <c r="C142" s="250"/>
      <c r="D142" s="250"/>
      <c r="E142" s="200"/>
      <c r="F142" s="200"/>
      <c r="G142" s="200"/>
      <c r="H142" s="200"/>
      <c r="I142" s="200"/>
      <c r="J142" s="200"/>
      <c r="K142" s="200"/>
      <c r="L142" s="200"/>
      <c r="M142" s="200"/>
      <c r="N142" s="200"/>
      <c r="O142" s="200"/>
      <c r="P142" s="200"/>
      <c r="Q142" s="200"/>
      <c r="R142" s="200"/>
      <c r="S142" s="200"/>
      <c r="T142" s="200"/>
      <c r="U142" s="200"/>
      <c r="V142" s="200"/>
      <c r="W142" s="200"/>
      <c r="X142" s="200"/>
      <c r="Y142" s="200"/>
      <c r="Z142" s="200"/>
    </row>
    <row r="143" spans="1:26" ht="21" customHeight="1" x14ac:dyDescent="0.35">
      <c r="A143" s="248"/>
      <c r="B143" s="249"/>
      <c r="C143" s="250"/>
      <c r="D143" s="250"/>
      <c r="E143" s="200"/>
      <c r="F143" s="200"/>
      <c r="G143" s="200"/>
      <c r="H143" s="200"/>
      <c r="I143" s="200"/>
      <c r="J143" s="200"/>
      <c r="K143" s="200"/>
      <c r="L143" s="200"/>
      <c r="M143" s="200"/>
      <c r="N143" s="200"/>
      <c r="O143" s="200"/>
      <c r="P143" s="200"/>
      <c r="Q143" s="200"/>
      <c r="R143" s="200"/>
      <c r="S143" s="200"/>
      <c r="T143" s="200"/>
      <c r="U143" s="200"/>
      <c r="V143" s="200"/>
      <c r="W143" s="200"/>
      <c r="X143" s="200"/>
      <c r="Y143" s="200"/>
      <c r="Z143" s="200"/>
    </row>
    <row r="144" spans="1:26" ht="21" customHeight="1" x14ac:dyDescent="0.35">
      <c r="A144" s="248"/>
      <c r="B144" s="249"/>
      <c r="C144" s="250"/>
      <c r="D144" s="250"/>
      <c r="E144" s="200"/>
      <c r="F144" s="200"/>
      <c r="G144" s="200"/>
      <c r="H144" s="200"/>
      <c r="I144" s="200"/>
      <c r="J144" s="200"/>
      <c r="K144" s="200"/>
      <c r="L144" s="200"/>
      <c r="M144" s="200"/>
      <c r="N144" s="200"/>
      <c r="O144" s="200"/>
      <c r="P144" s="200"/>
      <c r="Q144" s="200"/>
      <c r="R144" s="200"/>
      <c r="S144" s="200"/>
      <c r="T144" s="200"/>
      <c r="U144" s="200"/>
      <c r="V144" s="200"/>
      <c r="W144" s="200"/>
      <c r="X144" s="200"/>
      <c r="Y144" s="200"/>
      <c r="Z144" s="200"/>
    </row>
    <row r="145" spans="1:26" ht="21" customHeight="1" x14ac:dyDescent="0.35">
      <c r="A145" s="248"/>
      <c r="B145" s="249"/>
      <c r="C145" s="250"/>
      <c r="D145" s="250"/>
      <c r="E145" s="200"/>
      <c r="F145" s="200"/>
      <c r="G145" s="200"/>
      <c r="H145" s="200"/>
      <c r="I145" s="200"/>
      <c r="J145" s="200"/>
      <c r="K145" s="200"/>
      <c r="L145" s="200"/>
      <c r="M145" s="200"/>
      <c r="N145" s="200"/>
      <c r="O145" s="200"/>
      <c r="P145" s="200"/>
      <c r="Q145" s="200"/>
      <c r="R145" s="200"/>
      <c r="S145" s="200"/>
      <c r="T145" s="200"/>
      <c r="U145" s="200"/>
      <c r="V145" s="200"/>
      <c r="W145" s="200"/>
      <c r="X145" s="200"/>
      <c r="Y145" s="200"/>
      <c r="Z145" s="200"/>
    </row>
    <row r="146" spans="1:26" ht="21" customHeight="1" x14ac:dyDescent="0.35">
      <c r="A146" s="248"/>
      <c r="B146" s="249"/>
      <c r="C146" s="250"/>
      <c r="D146" s="250"/>
      <c r="E146" s="200"/>
      <c r="F146" s="200"/>
      <c r="G146" s="200"/>
      <c r="H146" s="200"/>
      <c r="I146" s="200"/>
      <c r="J146" s="200"/>
      <c r="K146" s="200"/>
      <c r="L146" s="200"/>
      <c r="M146" s="200"/>
      <c r="N146" s="200"/>
      <c r="O146" s="200"/>
      <c r="P146" s="200"/>
      <c r="Q146" s="200"/>
      <c r="R146" s="200"/>
      <c r="S146" s="200"/>
      <c r="T146" s="200"/>
      <c r="U146" s="200"/>
      <c r="V146" s="200"/>
      <c r="W146" s="200"/>
      <c r="X146" s="200"/>
      <c r="Y146" s="200"/>
      <c r="Z146" s="200"/>
    </row>
    <row r="147" spans="1:26" ht="21" customHeight="1" x14ac:dyDescent="0.35">
      <c r="A147" s="248"/>
      <c r="B147" s="249"/>
      <c r="C147" s="250"/>
      <c r="D147" s="250"/>
      <c r="E147" s="200"/>
      <c r="F147" s="200"/>
      <c r="G147" s="200"/>
      <c r="H147" s="200"/>
      <c r="I147" s="200"/>
      <c r="J147" s="200"/>
      <c r="K147" s="200"/>
      <c r="L147" s="200"/>
      <c r="M147" s="200"/>
      <c r="N147" s="200"/>
      <c r="O147" s="200"/>
      <c r="P147" s="200"/>
      <c r="Q147" s="200"/>
      <c r="R147" s="200"/>
      <c r="S147" s="200"/>
      <c r="T147" s="200"/>
      <c r="U147" s="200"/>
      <c r="V147" s="200"/>
      <c r="W147" s="200"/>
      <c r="X147" s="200"/>
      <c r="Y147" s="200"/>
      <c r="Z147" s="200"/>
    </row>
    <row r="148" spans="1:26" ht="21" customHeight="1" x14ac:dyDescent="0.35">
      <c r="A148" s="248"/>
      <c r="B148" s="249"/>
      <c r="C148" s="250"/>
      <c r="D148" s="250"/>
      <c r="E148" s="200"/>
      <c r="F148" s="200"/>
      <c r="G148" s="200"/>
      <c r="H148" s="200"/>
      <c r="I148" s="200"/>
      <c r="J148" s="200"/>
      <c r="K148" s="200"/>
      <c r="L148" s="200"/>
      <c r="M148" s="200"/>
      <c r="N148" s="200"/>
      <c r="O148" s="200"/>
      <c r="P148" s="200"/>
      <c r="Q148" s="200"/>
      <c r="R148" s="200"/>
      <c r="S148" s="200"/>
      <c r="T148" s="200"/>
      <c r="U148" s="200"/>
      <c r="V148" s="200"/>
      <c r="W148" s="200"/>
      <c r="X148" s="200"/>
      <c r="Y148" s="200"/>
      <c r="Z148" s="200"/>
    </row>
    <row r="149" spans="1:26" ht="21" customHeight="1" x14ac:dyDescent="0.35">
      <c r="A149" s="248"/>
      <c r="B149" s="249"/>
      <c r="C149" s="250"/>
      <c r="D149" s="250"/>
      <c r="E149" s="200"/>
      <c r="F149" s="200"/>
      <c r="G149" s="200"/>
      <c r="H149" s="200"/>
      <c r="I149" s="200"/>
      <c r="J149" s="200"/>
      <c r="K149" s="200"/>
      <c r="L149" s="200"/>
      <c r="M149" s="200"/>
      <c r="N149" s="200"/>
      <c r="O149" s="200"/>
      <c r="P149" s="200"/>
      <c r="Q149" s="200"/>
      <c r="R149" s="200"/>
      <c r="S149" s="200"/>
      <c r="T149" s="200"/>
      <c r="U149" s="200"/>
      <c r="V149" s="200"/>
      <c r="W149" s="200"/>
      <c r="X149" s="200"/>
      <c r="Y149" s="200"/>
      <c r="Z149" s="200"/>
    </row>
    <row r="150" spans="1:26" ht="21" customHeight="1" x14ac:dyDescent="0.35">
      <c r="A150" s="248"/>
      <c r="B150" s="249"/>
      <c r="C150" s="250"/>
      <c r="D150" s="250"/>
      <c r="E150" s="200"/>
      <c r="F150" s="200"/>
      <c r="G150" s="200"/>
      <c r="H150" s="200"/>
      <c r="I150" s="200"/>
      <c r="J150" s="200"/>
      <c r="K150" s="200"/>
      <c r="L150" s="200"/>
      <c r="M150" s="200"/>
      <c r="N150" s="200"/>
      <c r="O150" s="200"/>
      <c r="P150" s="200"/>
      <c r="Q150" s="200"/>
      <c r="R150" s="200"/>
      <c r="S150" s="200"/>
      <c r="T150" s="200"/>
      <c r="U150" s="200"/>
      <c r="V150" s="200"/>
      <c r="W150" s="200"/>
      <c r="X150" s="200"/>
      <c r="Y150" s="200"/>
      <c r="Z150" s="200"/>
    </row>
    <row r="151" spans="1:26" ht="21" customHeight="1" x14ac:dyDescent="0.35">
      <c r="A151" s="248"/>
      <c r="B151" s="249"/>
      <c r="C151" s="250"/>
      <c r="D151" s="250"/>
      <c r="E151" s="200"/>
      <c r="F151" s="200"/>
      <c r="G151" s="200"/>
      <c r="H151" s="200"/>
      <c r="I151" s="200"/>
      <c r="J151" s="200"/>
      <c r="K151" s="200"/>
      <c r="L151" s="200"/>
      <c r="M151" s="200"/>
      <c r="N151" s="200"/>
      <c r="O151" s="200"/>
      <c r="P151" s="200"/>
      <c r="Q151" s="200"/>
      <c r="R151" s="200"/>
      <c r="S151" s="200"/>
      <c r="T151" s="200"/>
      <c r="U151" s="200"/>
      <c r="V151" s="200"/>
      <c r="W151" s="200"/>
      <c r="X151" s="200"/>
      <c r="Y151" s="200"/>
      <c r="Z151" s="200"/>
    </row>
    <row r="152" spans="1:26" ht="21" customHeight="1" x14ac:dyDescent="0.35">
      <c r="A152" s="248"/>
      <c r="B152" s="249"/>
      <c r="C152" s="250"/>
      <c r="D152" s="250"/>
      <c r="E152" s="200"/>
      <c r="F152" s="200"/>
      <c r="G152" s="200"/>
      <c r="H152" s="200"/>
      <c r="I152" s="200"/>
      <c r="J152" s="200"/>
      <c r="K152" s="200"/>
      <c r="L152" s="200"/>
      <c r="M152" s="200"/>
      <c r="N152" s="200"/>
      <c r="O152" s="200"/>
      <c r="P152" s="200"/>
      <c r="Q152" s="200"/>
      <c r="R152" s="200"/>
      <c r="S152" s="200"/>
      <c r="T152" s="200"/>
      <c r="U152" s="200"/>
      <c r="V152" s="200"/>
      <c r="W152" s="200"/>
      <c r="X152" s="200"/>
      <c r="Y152" s="200"/>
      <c r="Z152" s="200"/>
    </row>
    <row r="153" spans="1:26" ht="21" customHeight="1" x14ac:dyDescent="0.35">
      <c r="A153" s="248"/>
      <c r="B153" s="249"/>
      <c r="C153" s="250"/>
      <c r="D153" s="250"/>
      <c r="E153" s="200"/>
      <c r="F153" s="200"/>
      <c r="G153" s="200"/>
      <c r="H153" s="200"/>
      <c r="I153" s="200"/>
      <c r="J153" s="200"/>
      <c r="K153" s="200"/>
      <c r="L153" s="200"/>
      <c r="M153" s="200"/>
      <c r="N153" s="200"/>
      <c r="O153" s="200"/>
      <c r="P153" s="200"/>
      <c r="Q153" s="200"/>
      <c r="R153" s="200"/>
      <c r="S153" s="200"/>
      <c r="T153" s="200"/>
      <c r="U153" s="200"/>
      <c r="V153" s="200"/>
      <c r="W153" s="200"/>
      <c r="X153" s="200"/>
      <c r="Y153" s="200"/>
      <c r="Z153" s="200"/>
    </row>
    <row r="154" spans="1:26" ht="21" customHeight="1" x14ac:dyDescent="0.35">
      <c r="A154" s="248"/>
      <c r="B154" s="249"/>
      <c r="C154" s="250"/>
      <c r="D154" s="250"/>
      <c r="E154" s="200"/>
      <c r="F154" s="200"/>
      <c r="G154" s="200"/>
      <c r="H154" s="200"/>
      <c r="I154" s="200"/>
      <c r="J154" s="200"/>
      <c r="K154" s="200"/>
      <c r="L154" s="200"/>
      <c r="M154" s="200"/>
      <c r="N154" s="200"/>
      <c r="O154" s="200"/>
      <c r="P154" s="200"/>
      <c r="Q154" s="200"/>
      <c r="R154" s="200"/>
      <c r="S154" s="200"/>
      <c r="T154" s="200"/>
      <c r="U154" s="200"/>
      <c r="V154" s="200"/>
      <c r="W154" s="200"/>
      <c r="X154" s="200"/>
      <c r="Y154" s="200"/>
      <c r="Z154" s="200"/>
    </row>
    <row r="155" spans="1:26" ht="21" customHeight="1" x14ac:dyDescent="0.35">
      <c r="A155" s="248"/>
      <c r="B155" s="249"/>
      <c r="C155" s="250"/>
      <c r="D155" s="250"/>
      <c r="E155" s="200"/>
      <c r="F155" s="200"/>
      <c r="G155" s="200"/>
      <c r="H155" s="200"/>
      <c r="I155" s="200"/>
      <c r="J155" s="200"/>
      <c r="K155" s="200"/>
      <c r="L155" s="200"/>
      <c r="M155" s="200"/>
      <c r="N155" s="200"/>
      <c r="O155" s="200"/>
      <c r="P155" s="200"/>
      <c r="Q155" s="200"/>
      <c r="R155" s="200"/>
      <c r="S155" s="200"/>
      <c r="T155" s="200"/>
      <c r="U155" s="200"/>
      <c r="V155" s="200"/>
      <c r="W155" s="200"/>
      <c r="X155" s="200"/>
      <c r="Y155" s="200"/>
      <c r="Z155" s="200"/>
    </row>
    <row r="156" spans="1:26" ht="21" customHeight="1" x14ac:dyDescent="0.35">
      <c r="A156" s="248"/>
      <c r="B156" s="249"/>
      <c r="C156" s="250"/>
      <c r="D156" s="250"/>
      <c r="E156" s="200"/>
      <c r="F156" s="200"/>
      <c r="G156" s="200"/>
      <c r="H156" s="200"/>
      <c r="I156" s="200"/>
      <c r="J156" s="200"/>
      <c r="K156" s="200"/>
      <c r="L156" s="200"/>
      <c r="M156" s="200"/>
      <c r="N156" s="200"/>
      <c r="O156" s="200"/>
      <c r="P156" s="200"/>
      <c r="Q156" s="200"/>
      <c r="R156" s="200"/>
      <c r="S156" s="200"/>
      <c r="T156" s="200"/>
      <c r="U156" s="200"/>
      <c r="V156" s="200"/>
      <c r="W156" s="200"/>
      <c r="X156" s="200"/>
      <c r="Y156" s="200"/>
      <c r="Z156" s="200"/>
    </row>
    <row r="157" spans="1:26" ht="21" customHeight="1" x14ac:dyDescent="0.35">
      <c r="A157" s="248"/>
      <c r="B157" s="249"/>
      <c r="C157" s="250"/>
      <c r="D157" s="250"/>
      <c r="E157" s="200"/>
      <c r="F157" s="200"/>
      <c r="G157" s="200"/>
      <c r="H157" s="200"/>
      <c r="I157" s="200"/>
      <c r="J157" s="200"/>
      <c r="K157" s="200"/>
      <c r="L157" s="200"/>
      <c r="M157" s="200"/>
      <c r="N157" s="200"/>
      <c r="O157" s="200"/>
      <c r="P157" s="200"/>
      <c r="Q157" s="200"/>
      <c r="R157" s="200"/>
      <c r="S157" s="200"/>
      <c r="T157" s="200"/>
      <c r="U157" s="200"/>
      <c r="V157" s="200"/>
      <c r="W157" s="200"/>
      <c r="X157" s="200"/>
      <c r="Y157" s="200"/>
      <c r="Z157" s="200"/>
    </row>
    <row r="158" spans="1:26" ht="21" customHeight="1" x14ac:dyDescent="0.35">
      <c r="A158" s="248"/>
      <c r="B158" s="249"/>
      <c r="C158" s="250"/>
      <c r="D158" s="250"/>
      <c r="E158" s="200"/>
      <c r="F158" s="200"/>
      <c r="G158" s="200"/>
      <c r="H158" s="200"/>
      <c r="I158" s="200"/>
      <c r="J158" s="200"/>
      <c r="K158" s="200"/>
      <c r="L158" s="200"/>
      <c r="M158" s="200"/>
      <c r="N158" s="200"/>
      <c r="O158" s="200"/>
      <c r="P158" s="200"/>
      <c r="Q158" s="200"/>
      <c r="R158" s="200"/>
      <c r="S158" s="200"/>
      <c r="T158" s="200"/>
      <c r="U158" s="200"/>
      <c r="V158" s="200"/>
      <c r="W158" s="200"/>
      <c r="X158" s="200"/>
      <c r="Y158" s="200"/>
      <c r="Z158" s="200"/>
    </row>
    <row r="159" spans="1:26" ht="21" customHeight="1" x14ac:dyDescent="0.35">
      <c r="A159" s="248"/>
      <c r="B159" s="249"/>
      <c r="C159" s="250"/>
      <c r="D159" s="250"/>
      <c r="E159" s="200"/>
      <c r="F159" s="200"/>
      <c r="G159" s="200"/>
      <c r="H159" s="200"/>
      <c r="I159" s="200"/>
      <c r="J159" s="200"/>
      <c r="K159" s="200"/>
      <c r="L159" s="200"/>
      <c r="M159" s="200"/>
      <c r="N159" s="200"/>
      <c r="O159" s="200"/>
      <c r="P159" s="200"/>
      <c r="Q159" s="200"/>
      <c r="R159" s="200"/>
      <c r="S159" s="200"/>
      <c r="T159" s="200"/>
      <c r="U159" s="200"/>
      <c r="V159" s="200"/>
      <c r="W159" s="200"/>
      <c r="X159" s="200"/>
      <c r="Y159" s="200"/>
      <c r="Z159" s="200"/>
    </row>
    <row r="160" spans="1:26" ht="21" customHeight="1" x14ac:dyDescent="0.35">
      <c r="A160" s="248"/>
      <c r="B160" s="249"/>
      <c r="C160" s="250"/>
      <c r="D160" s="250"/>
      <c r="E160" s="200"/>
      <c r="F160" s="200"/>
      <c r="G160" s="200"/>
      <c r="H160" s="200"/>
      <c r="I160" s="200"/>
      <c r="J160" s="200"/>
      <c r="K160" s="200"/>
      <c r="L160" s="200"/>
      <c r="M160" s="200"/>
      <c r="N160" s="200"/>
      <c r="O160" s="200"/>
      <c r="P160" s="200"/>
      <c r="Q160" s="200"/>
      <c r="R160" s="200"/>
      <c r="S160" s="200"/>
      <c r="T160" s="200"/>
      <c r="U160" s="200"/>
      <c r="V160" s="200"/>
      <c r="W160" s="200"/>
      <c r="X160" s="200"/>
      <c r="Y160" s="200"/>
      <c r="Z160" s="200"/>
    </row>
    <row r="161" spans="1:26" ht="21" customHeight="1" x14ac:dyDescent="0.35">
      <c r="A161" s="248"/>
      <c r="B161" s="249"/>
      <c r="C161" s="250"/>
      <c r="D161" s="250"/>
      <c r="E161" s="200"/>
      <c r="F161" s="200"/>
      <c r="G161" s="200"/>
      <c r="H161" s="200"/>
      <c r="I161" s="200"/>
      <c r="J161" s="200"/>
      <c r="K161" s="200"/>
      <c r="L161" s="200"/>
      <c r="M161" s="200"/>
      <c r="N161" s="200"/>
      <c r="O161" s="200"/>
      <c r="P161" s="200"/>
      <c r="Q161" s="200"/>
      <c r="R161" s="200"/>
      <c r="S161" s="200"/>
      <c r="T161" s="200"/>
      <c r="U161" s="200"/>
      <c r="V161" s="200"/>
      <c r="W161" s="200"/>
      <c r="X161" s="200"/>
      <c r="Y161" s="200"/>
      <c r="Z161" s="200"/>
    </row>
    <row r="162" spans="1:26" ht="21" customHeight="1" x14ac:dyDescent="0.35">
      <c r="A162" s="248"/>
      <c r="B162" s="249"/>
      <c r="C162" s="250"/>
      <c r="D162" s="250"/>
      <c r="E162" s="200"/>
      <c r="F162" s="200"/>
      <c r="G162" s="200"/>
      <c r="H162" s="200"/>
      <c r="I162" s="200"/>
      <c r="J162" s="200"/>
      <c r="K162" s="200"/>
      <c r="L162" s="200"/>
      <c r="M162" s="200"/>
      <c r="N162" s="200"/>
      <c r="O162" s="200"/>
      <c r="P162" s="200"/>
      <c r="Q162" s="200"/>
      <c r="R162" s="200"/>
      <c r="S162" s="200"/>
      <c r="T162" s="200"/>
      <c r="U162" s="200"/>
      <c r="V162" s="200"/>
      <c r="W162" s="200"/>
      <c r="X162" s="200"/>
      <c r="Y162" s="200"/>
      <c r="Z162" s="200"/>
    </row>
    <row r="163" spans="1:26" ht="21" customHeight="1" x14ac:dyDescent="0.35">
      <c r="A163" s="248"/>
      <c r="B163" s="249"/>
      <c r="C163" s="250"/>
      <c r="D163" s="250"/>
      <c r="E163" s="200"/>
      <c r="F163" s="200"/>
      <c r="G163" s="200"/>
      <c r="H163" s="200"/>
      <c r="I163" s="200"/>
      <c r="J163" s="200"/>
      <c r="K163" s="200"/>
      <c r="L163" s="200"/>
      <c r="M163" s="200"/>
      <c r="N163" s="200"/>
      <c r="O163" s="200"/>
      <c r="P163" s="200"/>
      <c r="Q163" s="200"/>
      <c r="R163" s="200"/>
      <c r="S163" s="200"/>
      <c r="T163" s="200"/>
      <c r="U163" s="200"/>
      <c r="V163" s="200"/>
      <c r="W163" s="200"/>
      <c r="X163" s="200"/>
      <c r="Y163" s="200"/>
      <c r="Z163" s="200"/>
    </row>
    <row r="164" spans="1:26" ht="21" customHeight="1" x14ac:dyDescent="0.35">
      <c r="A164" s="248"/>
      <c r="B164" s="249"/>
      <c r="C164" s="250"/>
      <c r="D164" s="250"/>
      <c r="E164" s="200"/>
      <c r="F164" s="200"/>
      <c r="G164" s="200"/>
      <c r="H164" s="200"/>
      <c r="I164" s="200"/>
      <c r="J164" s="200"/>
      <c r="K164" s="200"/>
      <c r="L164" s="200"/>
      <c r="M164" s="200"/>
      <c r="N164" s="200"/>
      <c r="O164" s="200"/>
      <c r="P164" s="200"/>
      <c r="Q164" s="200"/>
      <c r="R164" s="200"/>
      <c r="S164" s="200"/>
      <c r="T164" s="200"/>
      <c r="U164" s="200"/>
      <c r="V164" s="200"/>
      <c r="W164" s="200"/>
      <c r="X164" s="200"/>
      <c r="Y164" s="200"/>
      <c r="Z164" s="200"/>
    </row>
    <row r="165" spans="1:26" ht="21" customHeight="1" x14ac:dyDescent="0.35">
      <c r="A165" s="248"/>
      <c r="B165" s="249"/>
      <c r="C165" s="250"/>
      <c r="D165" s="250"/>
      <c r="E165" s="200"/>
      <c r="F165" s="200"/>
      <c r="G165" s="200"/>
      <c r="H165" s="200"/>
      <c r="I165" s="200"/>
      <c r="J165" s="200"/>
      <c r="K165" s="200"/>
      <c r="L165" s="200"/>
      <c r="M165" s="200"/>
      <c r="N165" s="200"/>
      <c r="O165" s="200"/>
      <c r="P165" s="200"/>
      <c r="Q165" s="200"/>
      <c r="R165" s="200"/>
      <c r="S165" s="200"/>
      <c r="T165" s="200"/>
      <c r="U165" s="200"/>
      <c r="V165" s="200"/>
      <c r="W165" s="200"/>
      <c r="X165" s="200"/>
      <c r="Y165" s="200"/>
      <c r="Z165" s="200"/>
    </row>
    <row r="166" spans="1:26" ht="21" customHeight="1" x14ac:dyDescent="0.35">
      <c r="A166" s="248"/>
      <c r="B166" s="249"/>
      <c r="C166" s="250"/>
      <c r="D166" s="250"/>
      <c r="E166" s="200"/>
      <c r="F166" s="200"/>
      <c r="G166" s="200"/>
      <c r="H166" s="200"/>
      <c r="I166" s="200"/>
      <c r="J166" s="200"/>
      <c r="K166" s="200"/>
      <c r="L166" s="200"/>
      <c r="M166" s="200"/>
      <c r="N166" s="200"/>
      <c r="O166" s="200"/>
      <c r="P166" s="200"/>
      <c r="Q166" s="200"/>
      <c r="R166" s="200"/>
      <c r="S166" s="200"/>
      <c r="T166" s="200"/>
      <c r="U166" s="200"/>
      <c r="V166" s="200"/>
      <c r="W166" s="200"/>
      <c r="X166" s="200"/>
      <c r="Y166" s="200"/>
      <c r="Z166" s="200"/>
    </row>
    <row r="167" spans="1:26" ht="21" customHeight="1" x14ac:dyDescent="0.35">
      <c r="A167" s="248"/>
      <c r="B167" s="249"/>
      <c r="C167" s="250"/>
      <c r="D167" s="250"/>
      <c r="E167" s="200"/>
      <c r="F167" s="200"/>
      <c r="G167" s="200"/>
      <c r="H167" s="200"/>
      <c r="I167" s="200"/>
      <c r="J167" s="200"/>
      <c r="K167" s="200"/>
      <c r="L167" s="200"/>
      <c r="M167" s="200"/>
      <c r="N167" s="200"/>
      <c r="O167" s="200"/>
      <c r="P167" s="200"/>
      <c r="Q167" s="200"/>
      <c r="R167" s="200"/>
      <c r="S167" s="200"/>
      <c r="T167" s="200"/>
      <c r="U167" s="200"/>
      <c r="V167" s="200"/>
      <c r="W167" s="200"/>
      <c r="X167" s="200"/>
      <c r="Y167" s="200"/>
      <c r="Z167" s="200"/>
    </row>
    <row r="168" spans="1:26" ht="21" customHeight="1" x14ac:dyDescent="0.35">
      <c r="A168" s="248"/>
      <c r="B168" s="249"/>
      <c r="C168" s="250"/>
      <c r="D168" s="250"/>
      <c r="E168" s="200"/>
      <c r="F168" s="200"/>
      <c r="G168" s="200"/>
      <c r="H168" s="200"/>
      <c r="I168" s="200"/>
      <c r="J168" s="200"/>
      <c r="K168" s="200"/>
      <c r="L168" s="200"/>
      <c r="M168" s="200"/>
      <c r="N168" s="200"/>
      <c r="O168" s="200"/>
      <c r="P168" s="200"/>
      <c r="Q168" s="200"/>
      <c r="R168" s="200"/>
      <c r="S168" s="200"/>
      <c r="T168" s="200"/>
      <c r="U168" s="200"/>
      <c r="V168" s="200"/>
      <c r="W168" s="200"/>
      <c r="X168" s="200"/>
      <c r="Y168" s="200"/>
      <c r="Z168" s="200"/>
    </row>
    <row r="169" spans="1:26" ht="21" customHeight="1" x14ac:dyDescent="0.35">
      <c r="A169" s="248"/>
      <c r="B169" s="249"/>
      <c r="C169" s="250"/>
      <c r="D169" s="250"/>
      <c r="E169" s="200"/>
      <c r="F169" s="200"/>
      <c r="G169" s="200"/>
      <c r="H169" s="200"/>
      <c r="I169" s="200"/>
      <c r="J169" s="200"/>
      <c r="K169" s="200"/>
      <c r="L169" s="200"/>
      <c r="M169" s="200"/>
      <c r="N169" s="200"/>
      <c r="O169" s="200"/>
      <c r="P169" s="200"/>
      <c r="Q169" s="200"/>
      <c r="R169" s="200"/>
      <c r="S169" s="200"/>
      <c r="T169" s="200"/>
      <c r="U169" s="200"/>
      <c r="V169" s="200"/>
      <c r="W169" s="200"/>
      <c r="X169" s="200"/>
      <c r="Y169" s="200"/>
      <c r="Z169" s="200"/>
    </row>
    <row r="170" spans="1:26" ht="21" customHeight="1" x14ac:dyDescent="0.35">
      <c r="A170" s="248"/>
      <c r="B170" s="249"/>
      <c r="C170" s="250"/>
      <c r="D170" s="250"/>
      <c r="E170" s="200"/>
      <c r="F170" s="200"/>
      <c r="G170" s="200"/>
      <c r="H170" s="200"/>
      <c r="I170" s="200"/>
      <c r="J170" s="200"/>
      <c r="K170" s="200"/>
      <c r="L170" s="200"/>
      <c r="M170" s="200"/>
      <c r="N170" s="200"/>
      <c r="O170" s="200"/>
      <c r="P170" s="200"/>
      <c r="Q170" s="200"/>
      <c r="R170" s="200"/>
      <c r="S170" s="200"/>
      <c r="T170" s="200"/>
      <c r="U170" s="200"/>
      <c r="V170" s="200"/>
      <c r="W170" s="200"/>
      <c r="X170" s="200"/>
      <c r="Y170" s="200"/>
      <c r="Z170" s="200"/>
    </row>
    <row r="171" spans="1:26" ht="21" customHeight="1" x14ac:dyDescent="0.35">
      <c r="A171" s="248"/>
      <c r="B171" s="249"/>
      <c r="C171" s="250"/>
      <c r="D171" s="250"/>
      <c r="E171" s="200"/>
      <c r="F171" s="200"/>
      <c r="G171" s="200"/>
      <c r="H171" s="200"/>
      <c r="I171" s="200"/>
      <c r="J171" s="200"/>
      <c r="K171" s="200"/>
      <c r="L171" s="200"/>
      <c r="M171" s="200"/>
      <c r="N171" s="200"/>
      <c r="O171" s="200"/>
      <c r="P171" s="200"/>
      <c r="Q171" s="200"/>
      <c r="R171" s="200"/>
      <c r="S171" s="200"/>
      <c r="T171" s="200"/>
      <c r="U171" s="200"/>
      <c r="V171" s="200"/>
      <c r="W171" s="200"/>
      <c r="X171" s="200"/>
      <c r="Y171" s="200"/>
      <c r="Z171" s="200"/>
    </row>
    <row r="172" spans="1:26" ht="21" customHeight="1" x14ac:dyDescent="0.35">
      <c r="A172" s="251"/>
      <c r="B172" s="248"/>
      <c r="C172" s="249"/>
      <c r="D172" s="250"/>
      <c r="E172" s="250"/>
      <c r="F172" s="200"/>
      <c r="G172" s="200"/>
      <c r="H172" s="200"/>
      <c r="I172" s="200"/>
      <c r="J172" s="200"/>
      <c r="K172" s="200"/>
      <c r="L172" s="200"/>
      <c r="M172" s="200"/>
      <c r="N172" s="200"/>
      <c r="O172" s="200"/>
      <c r="P172" s="200"/>
      <c r="Q172" s="200"/>
      <c r="R172" s="200"/>
      <c r="S172" s="200"/>
      <c r="T172" s="200"/>
      <c r="U172" s="200"/>
      <c r="V172" s="200"/>
      <c r="W172" s="200"/>
      <c r="X172" s="200"/>
      <c r="Y172" s="200"/>
      <c r="Z172" s="200"/>
    </row>
    <row r="173" spans="1:26" ht="21" customHeight="1" x14ac:dyDescent="0.35">
      <c r="A173" s="251"/>
      <c r="B173" s="248"/>
      <c r="C173" s="249"/>
      <c r="D173" s="250"/>
      <c r="E173" s="250"/>
      <c r="F173" s="200"/>
      <c r="G173" s="200"/>
      <c r="H173" s="200"/>
      <c r="I173" s="200"/>
      <c r="J173" s="200"/>
      <c r="K173" s="200"/>
      <c r="L173" s="200"/>
      <c r="M173" s="200"/>
      <c r="N173" s="200"/>
      <c r="O173" s="200"/>
      <c r="P173" s="200"/>
      <c r="Q173" s="200"/>
      <c r="R173" s="200"/>
      <c r="S173" s="200"/>
      <c r="T173" s="200"/>
      <c r="U173" s="200"/>
      <c r="V173" s="200"/>
      <c r="W173" s="200"/>
      <c r="X173" s="200"/>
      <c r="Y173" s="200"/>
      <c r="Z173" s="200"/>
    </row>
    <row r="174" spans="1:26" ht="21" customHeight="1" x14ac:dyDescent="0.35">
      <c r="A174" s="251"/>
      <c r="B174" s="248"/>
      <c r="C174" s="249"/>
      <c r="D174" s="250"/>
      <c r="E174" s="250"/>
      <c r="F174" s="200"/>
      <c r="G174" s="200"/>
      <c r="H174" s="200"/>
      <c r="I174" s="200"/>
      <c r="J174" s="200"/>
      <c r="K174" s="200"/>
      <c r="L174" s="200"/>
      <c r="M174" s="200"/>
      <c r="N174" s="200"/>
      <c r="O174" s="200"/>
      <c r="P174" s="200"/>
      <c r="Q174" s="200"/>
      <c r="R174" s="200"/>
      <c r="S174" s="200"/>
      <c r="T174" s="200"/>
      <c r="U174" s="200"/>
      <c r="V174" s="200"/>
      <c r="W174" s="200"/>
      <c r="X174" s="200"/>
      <c r="Y174" s="200"/>
      <c r="Z174" s="200"/>
    </row>
    <row r="175" spans="1:26" ht="21" customHeight="1" x14ac:dyDescent="0.35">
      <c r="A175" s="251"/>
      <c r="B175" s="248"/>
      <c r="C175" s="249"/>
      <c r="D175" s="250"/>
      <c r="E175" s="250"/>
      <c r="F175" s="200"/>
      <c r="G175" s="200"/>
      <c r="H175" s="200"/>
      <c r="I175" s="200"/>
      <c r="J175" s="200"/>
      <c r="K175" s="200"/>
      <c r="L175" s="200"/>
      <c r="M175" s="200"/>
      <c r="N175" s="200"/>
      <c r="O175" s="200"/>
      <c r="P175" s="200"/>
      <c r="Q175" s="200"/>
      <c r="R175" s="200"/>
      <c r="S175" s="200"/>
      <c r="T175" s="200"/>
      <c r="U175" s="200"/>
      <c r="V175" s="200"/>
      <c r="W175" s="200"/>
      <c r="X175" s="200"/>
      <c r="Y175" s="200"/>
      <c r="Z175" s="200"/>
    </row>
    <row r="176" spans="1:26" ht="21" customHeight="1" x14ac:dyDescent="0.35">
      <c r="A176" s="251"/>
      <c r="B176" s="248"/>
      <c r="C176" s="249"/>
      <c r="D176" s="250"/>
      <c r="E176" s="250"/>
      <c r="F176" s="200"/>
      <c r="G176" s="200"/>
      <c r="H176" s="200"/>
      <c r="I176" s="200"/>
      <c r="J176" s="200"/>
      <c r="K176" s="200"/>
      <c r="L176" s="200"/>
      <c r="M176" s="200"/>
      <c r="N176" s="200"/>
      <c r="O176" s="200"/>
      <c r="P176" s="200"/>
      <c r="Q176" s="200"/>
      <c r="R176" s="200"/>
      <c r="S176" s="200"/>
      <c r="T176" s="200"/>
      <c r="U176" s="200"/>
      <c r="V176" s="200"/>
      <c r="W176" s="200"/>
      <c r="X176" s="200"/>
      <c r="Y176" s="200"/>
      <c r="Z176" s="200"/>
    </row>
    <row r="177" spans="1:26" ht="21" customHeight="1" x14ac:dyDescent="0.35">
      <c r="A177" s="251"/>
      <c r="B177" s="248"/>
      <c r="C177" s="249"/>
      <c r="D177" s="250"/>
      <c r="E177" s="250"/>
      <c r="F177" s="200"/>
      <c r="G177" s="200"/>
      <c r="H177" s="200"/>
      <c r="I177" s="200"/>
      <c r="J177" s="200"/>
      <c r="K177" s="200"/>
      <c r="L177" s="200"/>
      <c r="M177" s="200"/>
      <c r="N177" s="200"/>
      <c r="O177" s="200"/>
      <c r="P177" s="200"/>
      <c r="Q177" s="200"/>
      <c r="R177" s="200"/>
      <c r="S177" s="200"/>
      <c r="T177" s="200"/>
      <c r="U177" s="200"/>
      <c r="V177" s="200"/>
      <c r="W177" s="200"/>
      <c r="X177" s="200"/>
      <c r="Y177" s="200"/>
      <c r="Z177" s="200"/>
    </row>
    <row r="178" spans="1:26" ht="21" customHeight="1" x14ac:dyDescent="0.35">
      <c r="A178" s="251"/>
      <c r="B178" s="248"/>
      <c r="C178" s="249"/>
      <c r="D178" s="250"/>
      <c r="E178" s="250"/>
      <c r="F178" s="200"/>
      <c r="G178" s="200"/>
      <c r="H178" s="200"/>
      <c r="I178" s="200"/>
      <c r="J178" s="200"/>
      <c r="K178" s="200"/>
      <c r="L178" s="200"/>
      <c r="M178" s="200"/>
      <c r="N178" s="200"/>
      <c r="O178" s="200"/>
      <c r="P178" s="200"/>
      <c r="Q178" s="200"/>
      <c r="R178" s="200"/>
      <c r="S178" s="200"/>
      <c r="T178" s="200"/>
      <c r="U178" s="200"/>
      <c r="V178" s="200"/>
      <c r="W178" s="200"/>
      <c r="X178" s="200"/>
      <c r="Y178" s="200"/>
      <c r="Z178" s="200"/>
    </row>
    <row r="179" spans="1:26" ht="21" customHeight="1" x14ac:dyDescent="0.35">
      <c r="A179" s="251"/>
      <c r="B179" s="248"/>
      <c r="C179" s="249"/>
      <c r="D179" s="250"/>
      <c r="E179" s="250"/>
      <c r="F179" s="200"/>
      <c r="G179" s="200"/>
      <c r="H179" s="200"/>
      <c r="I179" s="200"/>
      <c r="J179" s="200"/>
      <c r="K179" s="200"/>
      <c r="L179" s="200"/>
      <c r="M179" s="200"/>
      <c r="N179" s="200"/>
      <c r="O179" s="200"/>
      <c r="P179" s="200"/>
      <c r="Q179" s="200"/>
      <c r="R179" s="200"/>
      <c r="S179" s="200"/>
      <c r="T179" s="200"/>
      <c r="U179" s="200"/>
      <c r="V179" s="200"/>
      <c r="W179" s="200"/>
      <c r="X179" s="200"/>
      <c r="Y179" s="200"/>
      <c r="Z179" s="200"/>
    </row>
    <row r="180" spans="1:26" ht="21" customHeight="1" x14ac:dyDescent="0.35">
      <c r="A180" s="251"/>
      <c r="B180" s="248"/>
      <c r="C180" s="249"/>
      <c r="D180" s="250"/>
      <c r="E180" s="250"/>
      <c r="F180" s="200"/>
      <c r="G180" s="200"/>
      <c r="H180" s="200"/>
      <c r="I180" s="200"/>
      <c r="J180" s="200"/>
      <c r="K180" s="200"/>
      <c r="L180" s="200"/>
      <c r="M180" s="200"/>
      <c r="N180" s="200"/>
      <c r="O180" s="200"/>
      <c r="P180" s="200"/>
      <c r="Q180" s="200"/>
      <c r="R180" s="200"/>
      <c r="S180" s="200"/>
      <c r="T180" s="200"/>
      <c r="U180" s="200"/>
      <c r="V180" s="200"/>
      <c r="W180" s="200"/>
      <c r="X180" s="200"/>
      <c r="Y180" s="200"/>
      <c r="Z180" s="200"/>
    </row>
    <row r="181" spans="1:26" ht="21" customHeight="1" x14ac:dyDescent="0.35">
      <c r="A181" s="251"/>
      <c r="B181" s="248"/>
      <c r="C181" s="249"/>
      <c r="D181" s="250"/>
      <c r="E181" s="250"/>
      <c r="F181" s="200"/>
      <c r="G181" s="200"/>
      <c r="H181" s="200"/>
      <c r="I181" s="200"/>
      <c r="J181" s="200"/>
      <c r="K181" s="200"/>
      <c r="L181" s="200"/>
      <c r="M181" s="200"/>
      <c r="N181" s="200"/>
      <c r="O181" s="200"/>
      <c r="P181" s="200"/>
      <c r="Q181" s="200"/>
      <c r="R181" s="200"/>
      <c r="S181" s="200"/>
      <c r="T181" s="200"/>
      <c r="U181" s="200"/>
      <c r="V181" s="200"/>
      <c r="W181" s="200"/>
      <c r="X181" s="200"/>
      <c r="Y181" s="200"/>
      <c r="Z181" s="200"/>
    </row>
    <row r="182" spans="1:26" ht="21" customHeight="1" x14ac:dyDescent="0.35">
      <c r="A182" s="251"/>
      <c r="B182" s="248"/>
      <c r="C182" s="249"/>
      <c r="D182" s="250"/>
      <c r="E182" s="250"/>
      <c r="F182" s="200"/>
      <c r="G182" s="200"/>
      <c r="H182" s="200"/>
      <c r="I182" s="200"/>
      <c r="J182" s="200"/>
      <c r="K182" s="200"/>
      <c r="L182" s="200"/>
      <c r="M182" s="200"/>
      <c r="N182" s="200"/>
      <c r="O182" s="200"/>
      <c r="P182" s="200"/>
      <c r="Q182" s="200"/>
      <c r="R182" s="200"/>
      <c r="S182" s="200"/>
      <c r="T182" s="200"/>
      <c r="U182" s="200"/>
      <c r="V182" s="200"/>
      <c r="W182" s="200"/>
      <c r="X182" s="200"/>
      <c r="Y182" s="200"/>
      <c r="Z182" s="200"/>
    </row>
    <row r="183" spans="1:26" ht="21" customHeight="1" x14ac:dyDescent="0.35">
      <c r="A183" s="251"/>
      <c r="B183" s="248"/>
      <c r="C183" s="249"/>
      <c r="D183" s="250"/>
      <c r="E183" s="250"/>
      <c r="F183" s="200"/>
      <c r="G183" s="200"/>
      <c r="H183" s="200"/>
      <c r="I183" s="200"/>
      <c r="J183" s="200"/>
      <c r="K183" s="200"/>
      <c r="L183" s="200"/>
      <c r="M183" s="200"/>
      <c r="N183" s="200"/>
      <c r="O183" s="200"/>
      <c r="P183" s="200"/>
      <c r="Q183" s="200"/>
      <c r="R183" s="200"/>
      <c r="S183" s="200"/>
      <c r="T183" s="200"/>
      <c r="U183" s="200"/>
      <c r="V183" s="200"/>
      <c r="W183" s="200"/>
      <c r="X183" s="200"/>
      <c r="Y183" s="200"/>
      <c r="Z183" s="200"/>
    </row>
    <row r="184" spans="1:26" ht="21" customHeight="1" x14ac:dyDescent="0.35">
      <c r="A184" s="251"/>
      <c r="B184" s="248"/>
      <c r="C184" s="249"/>
      <c r="D184" s="250"/>
      <c r="E184" s="250"/>
      <c r="F184" s="200"/>
      <c r="G184" s="200"/>
      <c r="H184" s="200"/>
      <c r="I184" s="200"/>
      <c r="J184" s="200"/>
      <c r="K184" s="200"/>
      <c r="L184" s="200"/>
      <c r="M184" s="200"/>
      <c r="N184" s="200"/>
      <c r="O184" s="200"/>
      <c r="P184" s="200"/>
      <c r="Q184" s="200"/>
      <c r="R184" s="200"/>
      <c r="S184" s="200"/>
      <c r="T184" s="200"/>
      <c r="U184" s="200"/>
      <c r="V184" s="200"/>
      <c r="W184" s="200"/>
      <c r="X184" s="200"/>
      <c r="Y184" s="200"/>
      <c r="Z184" s="200"/>
    </row>
    <row r="185" spans="1:26" ht="21" customHeight="1" x14ac:dyDescent="0.35">
      <c r="A185" s="251"/>
      <c r="B185" s="248"/>
      <c r="C185" s="249"/>
      <c r="D185" s="250"/>
      <c r="E185" s="250"/>
      <c r="F185" s="200"/>
      <c r="G185" s="200"/>
      <c r="H185" s="200"/>
      <c r="I185" s="200"/>
      <c r="J185" s="200"/>
      <c r="K185" s="200"/>
      <c r="L185" s="200"/>
      <c r="M185" s="200"/>
      <c r="N185" s="200"/>
      <c r="O185" s="200"/>
      <c r="P185" s="200"/>
      <c r="Q185" s="200"/>
      <c r="R185" s="200"/>
      <c r="S185" s="200"/>
      <c r="T185" s="200"/>
      <c r="U185" s="200"/>
      <c r="V185" s="200"/>
      <c r="W185" s="200"/>
      <c r="X185" s="200"/>
      <c r="Y185" s="200"/>
      <c r="Z185" s="200"/>
    </row>
    <row r="186" spans="1:26" ht="21" customHeight="1" x14ac:dyDescent="0.35">
      <c r="A186" s="251"/>
      <c r="B186" s="248"/>
      <c r="C186" s="249"/>
      <c r="D186" s="250"/>
      <c r="E186" s="250"/>
      <c r="F186" s="200"/>
      <c r="G186" s="200"/>
      <c r="H186" s="200"/>
      <c r="I186" s="200"/>
      <c r="J186" s="200"/>
      <c r="K186" s="200"/>
      <c r="L186" s="200"/>
      <c r="M186" s="200"/>
      <c r="N186" s="200"/>
      <c r="O186" s="200"/>
      <c r="P186" s="200"/>
      <c r="Q186" s="200"/>
      <c r="R186" s="200"/>
      <c r="S186" s="200"/>
      <c r="T186" s="200"/>
      <c r="U186" s="200"/>
      <c r="V186" s="200"/>
      <c r="W186" s="200"/>
      <c r="X186" s="200"/>
      <c r="Y186" s="200"/>
      <c r="Z186" s="200"/>
    </row>
    <row r="187" spans="1:26" ht="21" customHeight="1" x14ac:dyDescent="0.35">
      <c r="A187" s="251"/>
      <c r="B187" s="248"/>
      <c r="C187" s="249"/>
      <c r="D187" s="250"/>
      <c r="E187" s="250"/>
      <c r="F187" s="200"/>
      <c r="G187" s="200"/>
      <c r="H187" s="200"/>
      <c r="I187" s="200"/>
      <c r="J187" s="200"/>
      <c r="K187" s="200"/>
      <c r="L187" s="200"/>
      <c r="M187" s="200"/>
      <c r="N187" s="200"/>
      <c r="O187" s="200"/>
      <c r="P187" s="200"/>
      <c r="Q187" s="200"/>
      <c r="R187" s="200"/>
      <c r="S187" s="200"/>
      <c r="T187" s="200"/>
      <c r="U187" s="200"/>
      <c r="V187" s="200"/>
      <c r="W187" s="200"/>
      <c r="X187" s="200"/>
      <c r="Y187" s="200"/>
      <c r="Z187" s="200"/>
    </row>
    <row r="188" spans="1:26" ht="21" customHeight="1" x14ac:dyDescent="0.35">
      <c r="A188" s="251"/>
      <c r="B188" s="248"/>
      <c r="C188" s="249"/>
      <c r="D188" s="250"/>
      <c r="E188" s="250"/>
      <c r="F188" s="200"/>
      <c r="G188" s="200"/>
      <c r="H188" s="200"/>
      <c r="I188" s="200"/>
      <c r="J188" s="200"/>
      <c r="K188" s="200"/>
      <c r="L188" s="200"/>
      <c r="M188" s="200"/>
      <c r="N188" s="200"/>
      <c r="O188" s="200"/>
      <c r="P188" s="200"/>
      <c r="Q188" s="200"/>
      <c r="R188" s="200"/>
      <c r="S188" s="200"/>
      <c r="T188" s="200"/>
      <c r="U188" s="200"/>
      <c r="V188" s="200"/>
      <c r="W188" s="200"/>
      <c r="X188" s="200"/>
      <c r="Y188" s="200"/>
      <c r="Z188" s="200"/>
    </row>
    <row r="189" spans="1:26" ht="21" customHeight="1" x14ac:dyDescent="0.35">
      <c r="A189" s="251"/>
      <c r="B189" s="248"/>
      <c r="C189" s="249"/>
      <c r="D189" s="250"/>
      <c r="E189" s="250"/>
      <c r="F189" s="200"/>
      <c r="G189" s="200"/>
      <c r="H189" s="200"/>
      <c r="I189" s="200"/>
      <c r="J189" s="200"/>
      <c r="K189" s="200"/>
      <c r="L189" s="200"/>
      <c r="M189" s="200"/>
      <c r="N189" s="200"/>
      <c r="O189" s="200"/>
      <c r="P189" s="200"/>
      <c r="Q189" s="200"/>
      <c r="R189" s="200"/>
      <c r="S189" s="200"/>
      <c r="T189" s="200"/>
      <c r="U189" s="200"/>
      <c r="V189" s="200"/>
      <c r="W189" s="200"/>
      <c r="X189" s="200"/>
      <c r="Y189" s="200"/>
      <c r="Z189" s="200"/>
    </row>
    <row r="190" spans="1:26" ht="21" customHeight="1" x14ac:dyDescent="0.35">
      <c r="A190" s="251"/>
      <c r="B190" s="248"/>
      <c r="C190" s="249"/>
      <c r="D190" s="250"/>
      <c r="E190" s="250"/>
      <c r="F190" s="200"/>
      <c r="G190" s="200"/>
      <c r="H190" s="200"/>
      <c r="I190" s="200"/>
      <c r="J190" s="200"/>
      <c r="K190" s="200"/>
      <c r="L190" s="200"/>
      <c r="M190" s="200"/>
      <c r="N190" s="200"/>
      <c r="O190" s="200"/>
      <c r="P190" s="200"/>
      <c r="Q190" s="200"/>
      <c r="R190" s="200"/>
      <c r="S190" s="200"/>
      <c r="T190" s="200"/>
      <c r="U190" s="200"/>
      <c r="V190" s="200"/>
      <c r="W190" s="200"/>
      <c r="X190" s="200"/>
      <c r="Y190" s="200"/>
      <c r="Z190" s="200"/>
    </row>
    <row r="191" spans="1:26" ht="21" customHeight="1" x14ac:dyDescent="0.35">
      <c r="A191" s="251"/>
      <c r="B191" s="248"/>
      <c r="C191" s="249"/>
      <c r="D191" s="250"/>
      <c r="E191" s="250"/>
      <c r="F191" s="200"/>
      <c r="G191" s="200"/>
      <c r="H191" s="200"/>
      <c r="I191" s="200"/>
      <c r="J191" s="200"/>
      <c r="K191" s="200"/>
      <c r="L191" s="200"/>
      <c r="M191" s="200"/>
      <c r="N191" s="200"/>
      <c r="O191" s="200"/>
      <c r="P191" s="200"/>
      <c r="Q191" s="200"/>
      <c r="R191" s="200"/>
      <c r="S191" s="200"/>
      <c r="T191" s="200"/>
      <c r="U191" s="200"/>
      <c r="V191" s="200"/>
      <c r="W191" s="200"/>
      <c r="X191" s="200"/>
      <c r="Y191" s="200"/>
      <c r="Z191" s="200"/>
    </row>
    <row r="192" spans="1:26" ht="21" customHeight="1" x14ac:dyDescent="0.35">
      <c r="A192" s="251"/>
      <c r="B192" s="248"/>
      <c r="C192" s="249"/>
      <c r="D192" s="250"/>
      <c r="E192" s="250"/>
      <c r="F192" s="200"/>
      <c r="G192" s="200"/>
      <c r="H192" s="200"/>
      <c r="I192" s="200"/>
      <c r="J192" s="200"/>
      <c r="K192" s="200"/>
      <c r="L192" s="200"/>
      <c r="M192" s="200"/>
      <c r="N192" s="200"/>
      <c r="O192" s="200"/>
      <c r="P192" s="200"/>
      <c r="Q192" s="200"/>
      <c r="R192" s="200"/>
      <c r="S192" s="200"/>
      <c r="T192" s="200"/>
      <c r="U192" s="200"/>
      <c r="V192" s="200"/>
      <c r="W192" s="200"/>
      <c r="X192" s="200"/>
      <c r="Y192" s="200"/>
      <c r="Z192" s="200"/>
    </row>
    <row r="193" spans="1:26" ht="21" customHeight="1" x14ac:dyDescent="0.35">
      <c r="A193" s="251"/>
      <c r="B193" s="248"/>
      <c r="C193" s="249"/>
      <c r="D193" s="250"/>
      <c r="E193" s="250"/>
      <c r="F193" s="200"/>
      <c r="G193" s="200"/>
      <c r="H193" s="200"/>
      <c r="I193" s="200"/>
      <c r="J193" s="200"/>
      <c r="K193" s="200"/>
      <c r="L193" s="200"/>
      <c r="M193" s="200"/>
      <c r="N193" s="200"/>
      <c r="O193" s="200"/>
      <c r="P193" s="200"/>
      <c r="Q193" s="200"/>
      <c r="R193" s="200"/>
      <c r="S193" s="200"/>
      <c r="T193" s="200"/>
      <c r="U193" s="200"/>
      <c r="V193" s="200"/>
      <c r="W193" s="200"/>
      <c r="X193" s="200"/>
      <c r="Y193" s="200"/>
      <c r="Z193" s="200"/>
    </row>
    <row r="194" spans="1:26" ht="21" customHeight="1" x14ac:dyDescent="0.35">
      <c r="A194" s="251"/>
      <c r="B194" s="248"/>
      <c r="C194" s="249"/>
      <c r="D194" s="250"/>
      <c r="E194" s="250"/>
      <c r="F194" s="200"/>
      <c r="G194" s="200"/>
      <c r="H194" s="200"/>
      <c r="I194" s="200"/>
      <c r="J194" s="200"/>
      <c r="K194" s="200"/>
      <c r="L194" s="200"/>
      <c r="M194" s="200"/>
      <c r="N194" s="200"/>
      <c r="O194" s="200"/>
      <c r="P194" s="200"/>
      <c r="Q194" s="200"/>
      <c r="R194" s="200"/>
      <c r="S194" s="200"/>
      <c r="T194" s="200"/>
      <c r="U194" s="200"/>
      <c r="V194" s="200"/>
      <c r="W194" s="200"/>
      <c r="X194" s="200"/>
      <c r="Y194" s="200"/>
      <c r="Z194" s="200"/>
    </row>
    <row r="195" spans="1:26" ht="21" customHeight="1" x14ac:dyDescent="0.35">
      <c r="A195" s="251"/>
      <c r="B195" s="248"/>
      <c r="C195" s="249"/>
      <c r="D195" s="250"/>
      <c r="E195" s="250"/>
      <c r="F195" s="200"/>
      <c r="G195" s="200"/>
      <c r="H195" s="200"/>
      <c r="I195" s="200"/>
      <c r="J195" s="200"/>
      <c r="K195" s="200"/>
      <c r="L195" s="200"/>
      <c r="M195" s="200"/>
      <c r="N195" s="200"/>
      <c r="O195" s="200"/>
      <c r="P195" s="200"/>
      <c r="Q195" s="200"/>
      <c r="R195" s="200"/>
      <c r="S195" s="200"/>
      <c r="T195" s="200"/>
      <c r="U195" s="200"/>
      <c r="V195" s="200"/>
      <c r="W195" s="200"/>
      <c r="X195" s="200"/>
      <c r="Y195" s="200"/>
      <c r="Z195" s="200"/>
    </row>
    <row r="196" spans="1:26" ht="21" customHeight="1" x14ac:dyDescent="0.35">
      <c r="A196" s="251"/>
      <c r="B196" s="248"/>
      <c r="C196" s="249"/>
      <c r="D196" s="250"/>
      <c r="E196" s="250"/>
      <c r="F196" s="200"/>
      <c r="G196" s="200"/>
      <c r="H196" s="200"/>
      <c r="I196" s="200"/>
      <c r="J196" s="200"/>
      <c r="K196" s="200"/>
      <c r="L196" s="200"/>
      <c r="M196" s="200"/>
      <c r="N196" s="200"/>
      <c r="O196" s="200"/>
      <c r="P196" s="200"/>
      <c r="Q196" s="200"/>
      <c r="R196" s="200"/>
      <c r="S196" s="200"/>
      <c r="T196" s="200"/>
      <c r="U196" s="200"/>
      <c r="V196" s="200"/>
      <c r="W196" s="200"/>
      <c r="X196" s="200"/>
      <c r="Y196" s="200"/>
      <c r="Z196" s="200"/>
    </row>
    <row r="197" spans="1:26" ht="21" customHeight="1" x14ac:dyDescent="0.35">
      <c r="A197" s="251"/>
      <c r="B197" s="248"/>
      <c r="C197" s="249"/>
      <c r="D197" s="250"/>
      <c r="E197" s="250"/>
      <c r="F197" s="200"/>
      <c r="G197" s="200"/>
      <c r="H197" s="200"/>
      <c r="I197" s="200"/>
      <c r="J197" s="200"/>
      <c r="K197" s="200"/>
      <c r="L197" s="200"/>
      <c r="M197" s="200"/>
      <c r="N197" s="200"/>
      <c r="O197" s="200"/>
      <c r="P197" s="200"/>
      <c r="Q197" s="200"/>
      <c r="R197" s="200"/>
      <c r="S197" s="200"/>
      <c r="T197" s="200"/>
      <c r="U197" s="200"/>
      <c r="V197" s="200"/>
      <c r="W197" s="200"/>
      <c r="X197" s="200"/>
      <c r="Y197" s="200"/>
      <c r="Z197" s="200"/>
    </row>
    <row r="198" spans="1:26" ht="21" customHeight="1" x14ac:dyDescent="0.35">
      <c r="A198" s="251"/>
      <c r="B198" s="248"/>
      <c r="C198" s="249"/>
      <c r="D198" s="250"/>
      <c r="E198" s="250"/>
      <c r="F198" s="200"/>
      <c r="G198" s="200"/>
      <c r="H198" s="200"/>
      <c r="I198" s="200"/>
      <c r="J198" s="200"/>
      <c r="K198" s="200"/>
      <c r="L198" s="200"/>
      <c r="M198" s="200"/>
      <c r="N198" s="200"/>
      <c r="O198" s="200"/>
      <c r="P198" s="200"/>
      <c r="Q198" s="200"/>
      <c r="R198" s="200"/>
      <c r="S198" s="200"/>
      <c r="T198" s="200"/>
      <c r="U198" s="200"/>
      <c r="V198" s="200"/>
      <c r="W198" s="200"/>
      <c r="X198" s="200"/>
      <c r="Y198" s="200"/>
      <c r="Z198" s="200"/>
    </row>
    <row r="199" spans="1:26" ht="21" customHeight="1" x14ac:dyDescent="0.35">
      <c r="A199" s="251"/>
      <c r="B199" s="248"/>
      <c r="C199" s="249"/>
      <c r="D199" s="250"/>
      <c r="E199" s="250"/>
      <c r="F199" s="200"/>
      <c r="G199" s="200"/>
      <c r="H199" s="200"/>
      <c r="I199" s="200"/>
      <c r="J199" s="200"/>
      <c r="K199" s="200"/>
      <c r="L199" s="200"/>
      <c r="M199" s="200"/>
      <c r="N199" s="200"/>
      <c r="O199" s="200"/>
      <c r="P199" s="200"/>
      <c r="Q199" s="200"/>
      <c r="R199" s="200"/>
      <c r="S199" s="200"/>
      <c r="T199" s="200"/>
      <c r="U199" s="200"/>
      <c r="V199" s="200"/>
      <c r="W199" s="200"/>
      <c r="X199" s="200"/>
      <c r="Y199" s="200"/>
      <c r="Z199" s="200"/>
    </row>
    <row r="200" spans="1:26" ht="21" customHeight="1" x14ac:dyDescent="0.35">
      <c r="A200" s="251"/>
      <c r="B200" s="248"/>
      <c r="C200" s="249"/>
      <c r="D200" s="250"/>
      <c r="E200" s="250"/>
      <c r="F200" s="200"/>
      <c r="G200" s="200"/>
      <c r="H200" s="200"/>
      <c r="I200" s="200"/>
      <c r="J200" s="200"/>
      <c r="K200" s="200"/>
      <c r="L200" s="200"/>
      <c r="M200" s="200"/>
      <c r="N200" s="200"/>
      <c r="O200" s="200"/>
      <c r="P200" s="200"/>
      <c r="Q200" s="200"/>
      <c r="R200" s="200"/>
      <c r="S200" s="200"/>
      <c r="T200" s="200"/>
      <c r="U200" s="200"/>
      <c r="V200" s="200"/>
      <c r="W200" s="200"/>
      <c r="X200" s="200"/>
      <c r="Y200" s="200"/>
      <c r="Z200" s="200"/>
    </row>
    <row r="201" spans="1:26" ht="21" customHeight="1" x14ac:dyDescent="0.35">
      <c r="A201" s="251"/>
      <c r="B201" s="248"/>
      <c r="C201" s="249"/>
      <c r="D201" s="250"/>
      <c r="E201" s="250"/>
      <c r="F201" s="200"/>
      <c r="G201" s="200"/>
      <c r="H201" s="200"/>
      <c r="I201" s="200"/>
      <c r="J201" s="200"/>
      <c r="K201" s="200"/>
      <c r="L201" s="200"/>
      <c r="M201" s="200"/>
      <c r="N201" s="200"/>
      <c r="O201" s="200"/>
      <c r="P201" s="200"/>
      <c r="Q201" s="200"/>
      <c r="R201" s="200"/>
      <c r="S201" s="200"/>
      <c r="T201" s="200"/>
      <c r="U201" s="200"/>
      <c r="V201" s="200"/>
      <c r="W201" s="200"/>
      <c r="X201" s="200"/>
      <c r="Y201" s="200"/>
      <c r="Z201" s="200"/>
    </row>
    <row r="202" spans="1:26" ht="21" customHeight="1" x14ac:dyDescent="0.35">
      <c r="A202" s="251"/>
      <c r="B202" s="248"/>
      <c r="C202" s="249"/>
      <c r="D202" s="250"/>
      <c r="E202" s="250"/>
      <c r="F202" s="200"/>
      <c r="G202" s="200"/>
      <c r="H202" s="200"/>
      <c r="I202" s="200"/>
      <c r="J202" s="200"/>
      <c r="K202" s="200"/>
      <c r="L202" s="200"/>
      <c r="M202" s="200"/>
      <c r="N202" s="200"/>
      <c r="O202" s="200"/>
      <c r="P202" s="200"/>
      <c r="Q202" s="200"/>
      <c r="R202" s="200"/>
      <c r="S202" s="200"/>
      <c r="T202" s="200"/>
      <c r="U202" s="200"/>
      <c r="V202" s="200"/>
      <c r="W202" s="200"/>
      <c r="X202" s="200"/>
      <c r="Y202" s="200"/>
      <c r="Z202" s="200"/>
    </row>
    <row r="203" spans="1:26" ht="21" customHeight="1" x14ac:dyDescent="0.35">
      <c r="A203" s="251"/>
      <c r="B203" s="248"/>
      <c r="C203" s="249"/>
      <c r="D203" s="250"/>
      <c r="E203" s="250"/>
      <c r="F203" s="200"/>
      <c r="G203" s="200"/>
      <c r="H203" s="200"/>
      <c r="I203" s="200"/>
      <c r="J203" s="200"/>
      <c r="K203" s="200"/>
      <c r="L203" s="200"/>
      <c r="M203" s="200"/>
      <c r="N203" s="200"/>
      <c r="O203" s="200"/>
      <c r="P203" s="200"/>
      <c r="Q203" s="200"/>
      <c r="R203" s="200"/>
      <c r="S203" s="200"/>
      <c r="T203" s="200"/>
      <c r="U203" s="200"/>
      <c r="V203" s="200"/>
      <c r="W203" s="200"/>
      <c r="X203" s="200"/>
      <c r="Y203" s="200"/>
      <c r="Z203" s="200"/>
    </row>
    <row r="204" spans="1:26" ht="21" customHeight="1" x14ac:dyDescent="0.35">
      <c r="A204" s="251"/>
      <c r="B204" s="248"/>
      <c r="C204" s="249"/>
      <c r="D204" s="250"/>
      <c r="E204" s="250"/>
      <c r="F204" s="200"/>
      <c r="G204" s="200"/>
      <c r="H204" s="200"/>
      <c r="I204" s="200"/>
      <c r="J204" s="200"/>
      <c r="K204" s="200"/>
      <c r="L204" s="200"/>
      <c r="M204" s="200"/>
      <c r="N204" s="200"/>
      <c r="O204" s="200"/>
      <c r="P204" s="200"/>
      <c r="Q204" s="200"/>
      <c r="R204" s="200"/>
      <c r="S204" s="200"/>
      <c r="T204" s="200"/>
      <c r="U204" s="200"/>
      <c r="V204" s="200"/>
      <c r="W204" s="200"/>
      <c r="X204" s="200"/>
      <c r="Y204" s="200"/>
      <c r="Z204" s="200"/>
    </row>
    <row r="205" spans="1:26" ht="21" customHeight="1" x14ac:dyDescent="0.35">
      <c r="A205" s="251"/>
      <c r="B205" s="248"/>
      <c r="C205" s="249"/>
      <c r="D205" s="250"/>
      <c r="E205" s="250"/>
      <c r="F205" s="200"/>
      <c r="G205" s="200"/>
      <c r="H205" s="200"/>
      <c r="I205" s="200"/>
      <c r="J205" s="200"/>
      <c r="K205" s="200"/>
      <c r="L205" s="200"/>
      <c r="M205" s="200"/>
      <c r="N205" s="200"/>
      <c r="O205" s="200"/>
      <c r="P205" s="200"/>
      <c r="Q205" s="200"/>
      <c r="R205" s="200"/>
      <c r="S205" s="200"/>
      <c r="T205" s="200"/>
      <c r="U205" s="200"/>
      <c r="V205" s="200"/>
      <c r="W205" s="200"/>
      <c r="X205" s="200"/>
      <c r="Y205" s="200"/>
      <c r="Z205" s="200"/>
    </row>
    <row r="206" spans="1:26" ht="21" customHeight="1" x14ac:dyDescent="0.35">
      <c r="A206" s="251"/>
      <c r="B206" s="248"/>
      <c r="C206" s="249"/>
      <c r="D206" s="250"/>
      <c r="E206" s="250"/>
      <c r="F206" s="200"/>
      <c r="G206" s="200"/>
      <c r="H206" s="200"/>
      <c r="I206" s="200"/>
      <c r="J206" s="200"/>
      <c r="K206" s="200"/>
      <c r="L206" s="200"/>
      <c r="M206" s="200"/>
      <c r="N206" s="200"/>
      <c r="O206" s="200"/>
      <c r="P206" s="200"/>
      <c r="Q206" s="200"/>
      <c r="R206" s="200"/>
      <c r="S206" s="200"/>
      <c r="T206" s="200"/>
      <c r="U206" s="200"/>
      <c r="V206" s="200"/>
      <c r="W206" s="200"/>
      <c r="X206" s="200"/>
      <c r="Y206" s="200"/>
      <c r="Z206" s="200"/>
    </row>
    <row r="207" spans="1:26" ht="21" customHeight="1" x14ac:dyDescent="0.35">
      <c r="A207" s="251"/>
      <c r="B207" s="248"/>
      <c r="C207" s="249"/>
      <c r="D207" s="250"/>
      <c r="E207" s="250"/>
      <c r="F207" s="200"/>
      <c r="G207" s="200"/>
      <c r="H207" s="200"/>
      <c r="I207" s="200"/>
      <c r="J207" s="200"/>
      <c r="K207" s="200"/>
      <c r="L207" s="200"/>
      <c r="M207" s="200"/>
      <c r="N207" s="200"/>
      <c r="O207" s="200"/>
      <c r="P207" s="200"/>
      <c r="Q207" s="200"/>
      <c r="R207" s="200"/>
      <c r="S207" s="200"/>
      <c r="T207" s="200"/>
      <c r="U207" s="200"/>
      <c r="V207" s="200"/>
      <c r="W207" s="200"/>
      <c r="X207" s="200"/>
      <c r="Y207" s="200"/>
      <c r="Z207" s="200"/>
    </row>
    <row r="208" spans="1:26" ht="21" customHeight="1" x14ac:dyDescent="0.35">
      <c r="A208" s="251"/>
      <c r="B208" s="248"/>
      <c r="C208" s="249"/>
      <c r="D208" s="250"/>
      <c r="E208" s="250"/>
      <c r="F208" s="200"/>
      <c r="G208" s="200"/>
      <c r="H208" s="200"/>
      <c r="I208" s="200"/>
      <c r="J208" s="200"/>
      <c r="K208" s="200"/>
      <c r="L208" s="200"/>
      <c r="M208" s="200"/>
      <c r="N208" s="200"/>
      <c r="O208" s="200"/>
      <c r="P208" s="200"/>
      <c r="Q208" s="200"/>
      <c r="R208" s="200"/>
      <c r="S208" s="200"/>
      <c r="T208" s="200"/>
      <c r="U208" s="200"/>
      <c r="V208" s="200"/>
      <c r="W208" s="200"/>
      <c r="X208" s="200"/>
      <c r="Y208" s="200"/>
      <c r="Z208" s="200"/>
    </row>
    <row r="209" spans="1:26" ht="21" customHeight="1" x14ac:dyDescent="0.35">
      <c r="A209" s="251"/>
      <c r="B209" s="248"/>
      <c r="C209" s="249"/>
      <c r="D209" s="250"/>
      <c r="E209" s="250"/>
      <c r="F209" s="200"/>
      <c r="G209" s="200"/>
      <c r="H209" s="200"/>
      <c r="I209" s="200"/>
      <c r="J209" s="200"/>
      <c r="K209" s="200"/>
      <c r="L209" s="200"/>
      <c r="M209" s="200"/>
      <c r="N209" s="200"/>
      <c r="O209" s="200"/>
      <c r="P209" s="200"/>
      <c r="Q209" s="200"/>
      <c r="R209" s="200"/>
      <c r="S209" s="200"/>
      <c r="T209" s="200"/>
      <c r="U209" s="200"/>
      <c r="V209" s="200"/>
      <c r="W209" s="200"/>
      <c r="X209" s="200"/>
      <c r="Y209" s="200"/>
      <c r="Z209" s="200"/>
    </row>
    <row r="210" spans="1:26" ht="21" customHeight="1" x14ac:dyDescent="0.35">
      <c r="A210" s="251"/>
      <c r="B210" s="248"/>
      <c r="C210" s="249"/>
      <c r="D210" s="250"/>
      <c r="E210" s="250"/>
      <c r="F210" s="200"/>
      <c r="G210" s="200"/>
      <c r="H210" s="200"/>
      <c r="I210" s="200"/>
      <c r="J210" s="200"/>
      <c r="K210" s="200"/>
      <c r="L210" s="200"/>
      <c r="M210" s="200"/>
      <c r="N210" s="200"/>
      <c r="O210" s="200"/>
      <c r="P210" s="200"/>
      <c r="Q210" s="200"/>
      <c r="R210" s="200"/>
      <c r="S210" s="200"/>
      <c r="T210" s="200"/>
      <c r="U210" s="200"/>
      <c r="V210" s="200"/>
      <c r="W210" s="200"/>
      <c r="X210" s="200"/>
      <c r="Y210" s="200"/>
      <c r="Z210" s="200"/>
    </row>
    <row r="211" spans="1:26" ht="21" customHeight="1" x14ac:dyDescent="0.35">
      <c r="A211" s="251"/>
      <c r="B211" s="248"/>
      <c r="C211" s="249"/>
      <c r="D211" s="250"/>
      <c r="E211" s="250"/>
      <c r="F211" s="200"/>
      <c r="G211" s="200"/>
      <c r="H211" s="200"/>
      <c r="I211" s="200"/>
      <c r="J211" s="200"/>
      <c r="K211" s="200"/>
      <c r="L211" s="200"/>
      <c r="M211" s="200"/>
      <c r="N211" s="200"/>
      <c r="O211" s="200"/>
      <c r="P211" s="200"/>
      <c r="Q211" s="200"/>
      <c r="R211" s="200"/>
      <c r="S211" s="200"/>
      <c r="T211" s="200"/>
      <c r="U211" s="200"/>
      <c r="V211" s="200"/>
      <c r="W211" s="200"/>
      <c r="X211" s="200"/>
      <c r="Y211" s="200"/>
      <c r="Z211" s="200"/>
    </row>
    <row r="212" spans="1:26" ht="21" customHeight="1" x14ac:dyDescent="0.35">
      <c r="A212" s="251"/>
      <c r="B212" s="248"/>
      <c r="C212" s="249"/>
      <c r="D212" s="250"/>
      <c r="E212" s="250"/>
      <c r="F212" s="200"/>
      <c r="G212" s="200"/>
      <c r="H212" s="200"/>
      <c r="I212" s="200"/>
      <c r="J212" s="200"/>
      <c r="K212" s="200"/>
      <c r="L212" s="200"/>
      <c r="M212" s="200"/>
      <c r="N212" s="200"/>
      <c r="O212" s="200"/>
      <c r="P212" s="200"/>
      <c r="Q212" s="200"/>
      <c r="R212" s="200"/>
      <c r="S212" s="200"/>
      <c r="T212" s="200"/>
      <c r="U212" s="200"/>
      <c r="V212" s="200"/>
      <c r="W212" s="200"/>
      <c r="X212" s="200"/>
      <c r="Y212" s="200"/>
      <c r="Z212" s="200"/>
    </row>
    <row r="213" spans="1:26" ht="21" customHeight="1" x14ac:dyDescent="0.35">
      <c r="A213" s="251"/>
      <c r="B213" s="248"/>
      <c r="C213" s="249"/>
      <c r="D213" s="250"/>
      <c r="E213" s="250"/>
      <c r="F213" s="200"/>
      <c r="G213" s="200"/>
      <c r="H213" s="200"/>
      <c r="I213" s="200"/>
      <c r="J213" s="200"/>
      <c r="K213" s="200"/>
      <c r="L213" s="200"/>
      <c r="M213" s="200"/>
      <c r="N213" s="200"/>
      <c r="O213" s="200"/>
      <c r="P213" s="200"/>
      <c r="Q213" s="200"/>
      <c r="R213" s="200"/>
      <c r="S213" s="200"/>
      <c r="T213" s="200"/>
      <c r="U213" s="200"/>
      <c r="V213" s="200"/>
      <c r="W213" s="200"/>
      <c r="X213" s="200"/>
      <c r="Y213" s="200"/>
      <c r="Z213" s="200"/>
    </row>
    <row r="214" spans="1:26" ht="21" customHeight="1" x14ac:dyDescent="0.35">
      <c r="A214" s="251"/>
      <c r="B214" s="248"/>
      <c r="C214" s="249"/>
      <c r="D214" s="250"/>
      <c r="E214" s="250"/>
      <c r="F214" s="200"/>
      <c r="G214" s="200"/>
      <c r="H214" s="200"/>
      <c r="I214" s="200"/>
      <c r="J214" s="200"/>
      <c r="K214" s="200"/>
      <c r="L214" s="200"/>
      <c r="M214" s="200"/>
      <c r="N214" s="200"/>
      <c r="O214" s="200"/>
      <c r="P214" s="200"/>
      <c r="Q214" s="200"/>
      <c r="R214" s="200"/>
      <c r="S214" s="200"/>
      <c r="T214" s="200"/>
      <c r="U214" s="200"/>
      <c r="V214" s="200"/>
      <c r="W214" s="200"/>
      <c r="X214" s="200"/>
      <c r="Y214" s="200"/>
      <c r="Z214" s="200"/>
    </row>
    <row r="215" spans="1:26" ht="21" customHeight="1" x14ac:dyDescent="0.35">
      <c r="A215" s="251"/>
      <c r="B215" s="248"/>
      <c r="C215" s="249"/>
      <c r="D215" s="250"/>
      <c r="E215" s="250"/>
      <c r="F215" s="200"/>
      <c r="G215" s="200"/>
      <c r="H215" s="200"/>
      <c r="I215" s="200"/>
      <c r="J215" s="200"/>
      <c r="K215" s="200"/>
      <c r="L215" s="200"/>
      <c r="M215" s="200"/>
      <c r="N215" s="200"/>
      <c r="O215" s="200"/>
      <c r="P215" s="200"/>
      <c r="Q215" s="200"/>
      <c r="R215" s="200"/>
      <c r="S215" s="200"/>
      <c r="T215" s="200"/>
      <c r="U215" s="200"/>
      <c r="V215" s="200"/>
      <c r="W215" s="200"/>
      <c r="X215" s="200"/>
      <c r="Y215" s="200"/>
      <c r="Z215" s="200"/>
    </row>
    <row r="216" spans="1:26" ht="21" customHeight="1" x14ac:dyDescent="0.35">
      <c r="A216" s="251"/>
      <c r="B216" s="248"/>
      <c r="C216" s="249"/>
      <c r="D216" s="250"/>
      <c r="E216" s="250"/>
      <c r="F216" s="200"/>
      <c r="G216" s="200"/>
      <c r="H216" s="200"/>
      <c r="I216" s="200"/>
      <c r="J216" s="200"/>
      <c r="K216" s="200"/>
      <c r="L216" s="200"/>
      <c r="M216" s="200"/>
      <c r="N216" s="200"/>
      <c r="O216" s="200"/>
      <c r="P216" s="200"/>
      <c r="Q216" s="200"/>
      <c r="R216" s="200"/>
      <c r="S216" s="200"/>
      <c r="T216" s="200"/>
      <c r="U216" s="200"/>
      <c r="V216" s="200"/>
      <c r="W216" s="200"/>
      <c r="X216" s="200"/>
      <c r="Y216" s="200"/>
      <c r="Z216" s="200"/>
    </row>
    <row r="217" spans="1:26" ht="21" customHeight="1" x14ac:dyDescent="0.35">
      <c r="A217" s="251"/>
      <c r="B217" s="248"/>
      <c r="C217" s="249"/>
      <c r="D217" s="250"/>
      <c r="E217" s="250"/>
      <c r="F217" s="200"/>
      <c r="G217" s="200"/>
      <c r="H217" s="200"/>
      <c r="I217" s="200"/>
      <c r="J217" s="200"/>
      <c r="K217" s="200"/>
      <c r="L217" s="200"/>
      <c r="M217" s="200"/>
      <c r="N217" s="200"/>
      <c r="O217" s="200"/>
      <c r="P217" s="200"/>
      <c r="Q217" s="200"/>
      <c r="R217" s="200"/>
      <c r="S217" s="200"/>
      <c r="T217" s="200"/>
      <c r="U217" s="200"/>
      <c r="V217" s="200"/>
      <c r="W217" s="200"/>
      <c r="X217" s="200"/>
      <c r="Y217" s="200"/>
      <c r="Z217" s="200"/>
    </row>
    <row r="218" spans="1:26" ht="21" customHeight="1" x14ac:dyDescent="0.35">
      <c r="A218" s="251"/>
      <c r="B218" s="248"/>
      <c r="C218" s="249"/>
      <c r="D218" s="250"/>
      <c r="E218" s="250"/>
      <c r="F218" s="200"/>
      <c r="G218" s="200"/>
      <c r="H218" s="200"/>
      <c r="I218" s="200"/>
      <c r="J218" s="200"/>
      <c r="K218" s="200"/>
      <c r="L218" s="200"/>
      <c r="M218" s="200"/>
      <c r="N218" s="200"/>
      <c r="O218" s="200"/>
      <c r="P218" s="200"/>
      <c r="Q218" s="200"/>
      <c r="R218" s="200"/>
      <c r="S218" s="200"/>
      <c r="T218" s="200"/>
      <c r="U218" s="200"/>
      <c r="V218" s="200"/>
      <c r="W218" s="200"/>
      <c r="X218" s="200"/>
      <c r="Y218" s="200"/>
      <c r="Z218" s="200"/>
    </row>
    <row r="219" spans="1:26" ht="21" customHeight="1" x14ac:dyDescent="0.35">
      <c r="A219" s="251"/>
      <c r="B219" s="248"/>
      <c r="C219" s="249"/>
      <c r="D219" s="250"/>
      <c r="E219" s="250"/>
      <c r="F219" s="200"/>
      <c r="G219" s="200"/>
      <c r="H219" s="200"/>
      <c r="I219" s="200"/>
      <c r="J219" s="200"/>
      <c r="K219" s="200"/>
      <c r="L219" s="200"/>
      <c r="M219" s="200"/>
      <c r="N219" s="200"/>
      <c r="O219" s="200"/>
      <c r="P219" s="200"/>
      <c r="Q219" s="200"/>
      <c r="R219" s="200"/>
      <c r="S219" s="200"/>
      <c r="T219" s="200"/>
      <c r="U219" s="200"/>
      <c r="V219" s="200"/>
      <c r="W219" s="200"/>
      <c r="X219" s="200"/>
      <c r="Y219" s="200"/>
      <c r="Z219" s="200"/>
    </row>
    <row r="220" spans="1:26" ht="21" customHeight="1" x14ac:dyDescent="0.35">
      <c r="A220" s="251"/>
      <c r="B220" s="248"/>
      <c r="C220" s="249"/>
      <c r="D220" s="250"/>
      <c r="E220" s="250"/>
      <c r="F220" s="200"/>
      <c r="G220" s="200"/>
      <c r="H220" s="200"/>
      <c r="I220" s="200"/>
      <c r="J220" s="200"/>
      <c r="K220" s="200"/>
      <c r="L220" s="200"/>
      <c r="M220" s="200"/>
      <c r="N220" s="200"/>
      <c r="O220" s="200"/>
      <c r="P220" s="200"/>
      <c r="Q220" s="200"/>
      <c r="R220" s="200"/>
      <c r="S220" s="200"/>
      <c r="T220" s="200"/>
      <c r="U220" s="200"/>
      <c r="V220" s="200"/>
      <c r="W220" s="200"/>
      <c r="X220" s="200"/>
      <c r="Y220" s="200"/>
      <c r="Z220" s="200"/>
    </row>
    <row r="221" spans="1:26" ht="21" customHeight="1" x14ac:dyDescent="0.35">
      <c r="A221" s="251"/>
      <c r="B221" s="248"/>
      <c r="C221" s="249"/>
      <c r="D221" s="250"/>
      <c r="E221" s="250"/>
      <c r="F221" s="200"/>
      <c r="G221" s="200"/>
      <c r="H221" s="200"/>
      <c r="I221" s="200"/>
      <c r="J221" s="200"/>
      <c r="K221" s="200"/>
      <c r="L221" s="200"/>
      <c r="M221" s="200"/>
      <c r="N221" s="200"/>
      <c r="O221" s="200"/>
      <c r="P221" s="200"/>
      <c r="Q221" s="200"/>
      <c r="R221" s="200"/>
      <c r="S221" s="200"/>
      <c r="T221" s="200"/>
      <c r="U221" s="200"/>
      <c r="V221" s="200"/>
      <c r="W221" s="200"/>
      <c r="X221" s="200"/>
      <c r="Y221" s="200"/>
      <c r="Z221" s="200"/>
    </row>
    <row r="222" spans="1:26" ht="21" customHeight="1" x14ac:dyDescent="0.35">
      <c r="A222" s="251"/>
      <c r="B222" s="248"/>
      <c r="C222" s="249"/>
      <c r="D222" s="250"/>
      <c r="E222" s="250"/>
      <c r="F222" s="200"/>
      <c r="G222" s="200"/>
      <c r="H222" s="200"/>
      <c r="I222" s="200"/>
      <c r="J222" s="200"/>
      <c r="K222" s="200"/>
      <c r="L222" s="200"/>
      <c r="M222" s="200"/>
      <c r="N222" s="200"/>
      <c r="O222" s="200"/>
      <c r="P222" s="200"/>
      <c r="Q222" s="200"/>
      <c r="R222" s="200"/>
      <c r="S222" s="200"/>
      <c r="T222" s="200"/>
      <c r="U222" s="200"/>
      <c r="V222" s="200"/>
      <c r="W222" s="200"/>
      <c r="X222" s="200"/>
      <c r="Y222" s="200"/>
      <c r="Z222" s="200"/>
    </row>
    <row r="223" spans="1:26" ht="21" customHeight="1" x14ac:dyDescent="0.35">
      <c r="A223" s="251"/>
      <c r="B223" s="248"/>
      <c r="C223" s="249"/>
      <c r="D223" s="250"/>
      <c r="E223" s="250"/>
      <c r="F223" s="200"/>
      <c r="G223" s="200"/>
      <c r="H223" s="200"/>
      <c r="I223" s="200"/>
      <c r="J223" s="200"/>
      <c r="K223" s="200"/>
      <c r="L223" s="200"/>
      <c r="M223" s="200"/>
      <c r="N223" s="200"/>
      <c r="O223" s="200"/>
      <c r="P223" s="200"/>
      <c r="Q223" s="200"/>
      <c r="R223" s="200"/>
      <c r="S223" s="200"/>
      <c r="T223" s="200"/>
      <c r="U223" s="200"/>
      <c r="V223" s="200"/>
      <c r="W223" s="200"/>
      <c r="X223" s="200"/>
      <c r="Y223" s="200"/>
      <c r="Z223" s="200"/>
    </row>
    <row r="224" spans="1:26" ht="21" customHeight="1" x14ac:dyDescent="0.35">
      <c r="A224" s="251"/>
      <c r="B224" s="248"/>
      <c r="C224" s="249"/>
      <c r="D224" s="250"/>
      <c r="E224" s="250"/>
      <c r="F224" s="200"/>
      <c r="G224" s="200"/>
      <c r="H224" s="200"/>
      <c r="I224" s="200"/>
      <c r="J224" s="200"/>
      <c r="K224" s="200"/>
      <c r="L224" s="200"/>
      <c r="M224" s="200"/>
      <c r="N224" s="200"/>
      <c r="O224" s="200"/>
      <c r="P224" s="200"/>
      <c r="Q224" s="200"/>
      <c r="R224" s="200"/>
      <c r="S224" s="200"/>
      <c r="T224" s="200"/>
      <c r="U224" s="200"/>
      <c r="V224" s="200"/>
      <c r="W224" s="200"/>
      <c r="X224" s="200"/>
      <c r="Y224" s="200"/>
      <c r="Z224" s="200"/>
    </row>
    <row r="225" spans="1:26" ht="21" customHeight="1" x14ac:dyDescent="0.35">
      <c r="A225" s="251"/>
      <c r="B225" s="248"/>
      <c r="C225" s="249"/>
      <c r="D225" s="250"/>
      <c r="E225" s="250"/>
      <c r="F225" s="200"/>
      <c r="G225" s="200"/>
      <c r="H225" s="200"/>
      <c r="I225" s="200"/>
      <c r="J225" s="200"/>
      <c r="K225" s="200"/>
      <c r="L225" s="200"/>
      <c r="M225" s="200"/>
      <c r="N225" s="200"/>
      <c r="O225" s="200"/>
      <c r="P225" s="200"/>
      <c r="Q225" s="200"/>
      <c r="R225" s="200"/>
      <c r="S225" s="200"/>
      <c r="T225" s="200"/>
      <c r="U225" s="200"/>
      <c r="V225" s="200"/>
      <c r="W225" s="200"/>
      <c r="X225" s="200"/>
      <c r="Y225" s="200"/>
      <c r="Z225" s="200"/>
    </row>
    <row r="226" spans="1:26" ht="21" customHeight="1" x14ac:dyDescent="0.35">
      <c r="A226" s="251"/>
      <c r="B226" s="248"/>
      <c r="C226" s="249"/>
      <c r="D226" s="250"/>
      <c r="E226" s="250"/>
      <c r="F226" s="200"/>
      <c r="G226" s="200"/>
      <c r="H226" s="200"/>
      <c r="I226" s="200"/>
      <c r="J226" s="200"/>
      <c r="K226" s="200"/>
      <c r="L226" s="200"/>
      <c r="M226" s="200"/>
      <c r="N226" s="200"/>
      <c r="O226" s="200"/>
      <c r="P226" s="200"/>
      <c r="Q226" s="200"/>
      <c r="R226" s="200"/>
      <c r="S226" s="200"/>
      <c r="T226" s="200"/>
      <c r="U226" s="200"/>
      <c r="V226" s="200"/>
      <c r="W226" s="200"/>
      <c r="X226" s="200"/>
      <c r="Y226" s="200"/>
      <c r="Z226" s="200"/>
    </row>
    <row r="227" spans="1:26" ht="21" customHeight="1" x14ac:dyDescent="0.35">
      <c r="A227" s="251"/>
      <c r="B227" s="248"/>
      <c r="C227" s="249"/>
      <c r="D227" s="250"/>
      <c r="E227" s="250"/>
      <c r="F227" s="200"/>
      <c r="G227" s="200"/>
      <c r="H227" s="200"/>
      <c r="I227" s="200"/>
      <c r="J227" s="200"/>
      <c r="K227" s="200"/>
      <c r="L227" s="200"/>
      <c r="M227" s="200"/>
      <c r="N227" s="200"/>
      <c r="O227" s="200"/>
      <c r="P227" s="200"/>
      <c r="Q227" s="200"/>
      <c r="R227" s="200"/>
      <c r="S227" s="200"/>
      <c r="T227" s="200"/>
      <c r="U227" s="200"/>
      <c r="V227" s="200"/>
      <c r="W227" s="200"/>
      <c r="X227" s="200"/>
      <c r="Y227" s="200"/>
      <c r="Z227" s="200"/>
    </row>
    <row r="228" spans="1:26" ht="21" customHeight="1" x14ac:dyDescent="0.35">
      <c r="A228" s="251"/>
      <c r="B228" s="248"/>
      <c r="C228" s="249"/>
      <c r="D228" s="250"/>
      <c r="E228" s="250"/>
      <c r="F228" s="200"/>
      <c r="G228" s="200"/>
      <c r="H228" s="200"/>
      <c r="I228" s="200"/>
      <c r="J228" s="200"/>
      <c r="K228" s="200"/>
      <c r="L228" s="200"/>
      <c r="M228" s="200"/>
      <c r="N228" s="200"/>
      <c r="O228" s="200"/>
      <c r="P228" s="200"/>
      <c r="Q228" s="200"/>
      <c r="R228" s="200"/>
      <c r="S228" s="200"/>
      <c r="T228" s="200"/>
      <c r="U228" s="200"/>
      <c r="V228" s="200"/>
      <c r="W228" s="200"/>
      <c r="X228" s="200"/>
      <c r="Y228" s="200"/>
      <c r="Z228" s="200"/>
    </row>
    <row r="229" spans="1:26" ht="21" customHeight="1" x14ac:dyDescent="0.35">
      <c r="A229" s="251"/>
      <c r="B229" s="248"/>
      <c r="C229" s="249"/>
      <c r="D229" s="250"/>
      <c r="E229" s="250"/>
      <c r="F229" s="200"/>
      <c r="G229" s="200"/>
      <c r="H229" s="200"/>
      <c r="I229" s="200"/>
      <c r="J229" s="200"/>
      <c r="K229" s="200"/>
      <c r="L229" s="200"/>
      <c r="M229" s="200"/>
      <c r="N229" s="200"/>
      <c r="O229" s="200"/>
      <c r="P229" s="200"/>
      <c r="Q229" s="200"/>
      <c r="R229" s="200"/>
      <c r="S229" s="200"/>
      <c r="T229" s="200"/>
      <c r="U229" s="200"/>
      <c r="V229" s="200"/>
      <c r="W229" s="200"/>
      <c r="X229" s="200"/>
      <c r="Y229" s="200"/>
      <c r="Z229" s="200"/>
    </row>
    <row r="230" spans="1:26" ht="21" customHeight="1" x14ac:dyDescent="0.35">
      <c r="A230" s="251"/>
      <c r="B230" s="248"/>
      <c r="C230" s="249"/>
      <c r="D230" s="250"/>
      <c r="E230" s="250"/>
      <c r="F230" s="200"/>
      <c r="G230" s="200"/>
      <c r="H230" s="200"/>
      <c r="I230" s="200"/>
      <c r="J230" s="200"/>
      <c r="K230" s="200"/>
      <c r="L230" s="200"/>
      <c r="M230" s="200"/>
      <c r="N230" s="200"/>
      <c r="O230" s="200"/>
      <c r="P230" s="200"/>
      <c r="Q230" s="200"/>
      <c r="R230" s="200"/>
      <c r="S230" s="200"/>
      <c r="T230" s="200"/>
      <c r="U230" s="200"/>
      <c r="V230" s="200"/>
      <c r="W230" s="200"/>
      <c r="X230" s="200"/>
      <c r="Y230" s="200"/>
      <c r="Z230" s="200"/>
    </row>
    <row r="231" spans="1:26" ht="21" customHeight="1" x14ac:dyDescent="0.35">
      <c r="A231" s="251"/>
      <c r="B231" s="248"/>
      <c r="C231" s="249"/>
      <c r="D231" s="250"/>
      <c r="E231" s="250"/>
      <c r="F231" s="200"/>
      <c r="G231" s="200"/>
      <c r="H231" s="200"/>
      <c r="I231" s="200"/>
      <c r="J231" s="200"/>
      <c r="K231" s="200"/>
      <c r="L231" s="200"/>
      <c r="M231" s="200"/>
      <c r="N231" s="200"/>
      <c r="O231" s="200"/>
      <c r="P231" s="200"/>
      <c r="Q231" s="200"/>
      <c r="R231" s="200"/>
      <c r="S231" s="200"/>
      <c r="T231" s="200"/>
      <c r="U231" s="200"/>
      <c r="V231" s="200"/>
      <c r="W231" s="200"/>
      <c r="X231" s="200"/>
      <c r="Y231" s="200"/>
      <c r="Z231" s="200"/>
    </row>
    <row r="232" spans="1:26" ht="21" customHeight="1" x14ac:dyDescent="0.35">
      <c r="A232" s="251"/>
      <c r="B232" s="248"/>
      <c r="C232" s="249"/>
      <c r="D232" s="250"/>
      <c r="E232" s="250"/>
      <c r="F232" s="200"/>
      <c r="G232" s="200"/>
      <c r="H232" s="200"/>
      <c r="I232" s="200"/>
      <c r="J232" s="200"/>
      <c r="K232" s="200"/>
      <c r="L232" s="200"/>
      <c r="M232" s="200"/>
      <c r="N232" s="200"/>
      <c r="O232" s="200"/>
      <c r="P232" s="200"/>
      <c r="Q232" s="200"/>
      <c r="R232" s="200"/>
      <c r="S232" s="200"/>
      <c r="T232" s="200"/>
      <c r="U232" s="200"/>
      <c r="V232" s="200"/>
      <c r="W232" s="200"/>
      <c r="X232" s="200"/>
      <c r="Y232" s="200"/>
      <c r="Z232" s="200"/>
    </row>
    <row r="233" spans="1:26" ht="21" customHeight="1" x14ac:dyDescent="0.35">
      <c r="A233" s="251"/>
      <c r="B233" s="248"/>
      <c r="C233" s="249"/>
      <c r="D233" s="250"/>
      <c r="E233" s="250"/>
      <c r="F233" s="200"/>
      <c r="G233" s="200"/>
      <c r="H233" s="200"/>
      <c r="I233" s="200"/>
      <c r="J233" s="200"/>
      <c r="K233" s="200"/>
      <c r="L233" s="200"/>
      <c r="M233" s="200"/>
      <c r="N233" s="200"/>
      <c r="O233" s="200"/>
      <c r="P233" s="200"/>
      <c r="Q233" s="200"/>
      <c r="R233" s="200"/>
      <c r="S233" s="200"/>
      <c r="T233" s="200"/>
      <c r="U233" s="200"/>
      <c r="V233" s="200"/>
      <c r="W233" s="200"/>
      <c r="X233" s="200"/>
      <c r="Y233" s="200"/>
      <c r="Z233" s="200"/>
    </row>
    <row r="234" spans="1:26" ht="21" customHeight="1" x14ac:dyDescent="0.35">
      <c r="A234" s="251"/>
      <c r="B234" s="248"/>
      <c r="C234" s="249"/>
      <c r="D234" s="250"/>
      <c r="E234" s="250"/>
      <c r="F234" s="200"/>
      <c r="G234" s="200"/>
      <c r="H234" s="200"/>
      <c r="I234" s="200"/>
      <c r="J234" s="200"/>
      <c r="K234" s="200"/>
      <c r="L234" s="200"/>
      <c r="M234" s="200"/>
      <c r="N234" s="200"/>
      <c r="O234" s="200"/>
      <c r="P234" s="200"/>
      <c r="Q234" s="200"/>
      <c r="R234" s="200"/>
      <c r="S234" s="200"/>
      <c r="T234" s="200"/>
      <c r="U234" s="200"/>
      <c r="V234" s="200"/>
      <c r="W234" s="200"/>
      <c r="X234" s="200"/>
      <c r="Y234" s="200"/>
      <c r="Z234" s="200"/>
    </row>
    <row r="235" spans="1:26" ht="21" customHeight="1" x14ac:dyDescent="0.35">
      <c r="A235" s="251"/>
      <c r="B235" s="248"/>
      <c r="C235" s="249"/>
      <c r="D235" s="250"/>
      <c r="E235" s="250"/>
      <c r="F235" s="200"/>
      <c r="G235" s="200"/>
      <c r="H235" s="200"/>
      <c r="I235" s="200"/>
      <c r="J235" s="200"/>
      <c r="K235" s="200"/>
      <c r="L235" s="200"/>
      <c r="M235" s="200"/>
      <c r="N235" s="200"/>
      <c r="O235" s="200"/>
      <c r="P235" s="200"/>
      <c r="Q235" s="200"/>
      <c r="R235" s="200"/>
      <c r="S235" s="200"/>
      <c r="T235" s="200"/>
      <c r="U235" s="200"/>
      <c r="V235" s="200"/>
      <c r="W235" s="200"/>
      <c r="X235" s="200"/>
      <c r="Y235" s="200"/>
      <c r="Z235" s="200"/>
    </row>
    <row r="236" spans="1:26" ht="21" customHeight="1" x14ac:dyDescent="0.35">
      <c r="A236" s="251"/>
      <c r="B236" s="248"/>
      <c r="C236" s="249"/>
      <c r="D236" s="250"/>
      <c r="E236" s="250"/>
      <c r="F236" s="200"/>
      <c r="G236" s="200"/>
      <c r="H236" s="200"/>
      <c r="I236" s="200"/>
      <c r="J236" s="200"/>
      <c r="K236" s="200"/>
      <c r="L236" s="200"/>
      <c r="M236" s="200"/>
      <c r="N236" s="200"/>
      <c r="O236" s="200"/>
      <c r="P236" s="200"/>
      <c r="Q236" s="200"/>
      <c r="R236" s="200"/>
      <c r="S236" s="200"/>
      <c r="T236" s="200"/>
      <c r="U236" s="200"/>
      <c r="V236" s="200"/>
      <c r="W236" s="200"/>
      <c r="X236" s="200"/>
      <c r="Y236" s="200"/>
      <c r="Z236" s="200"/>
    </row>
    <row r="237" spans="1:26" ht="21" customHeight="1" x14ac:dyDescent="0.35">
      <c r="A237" s="251"/>
      <c r="B237" s="248"/>
      <c r="C237" s="249"/>
      <c r="D237" s="250"/>
      <c r="E237" s="250"/>
      <c r="F237" s="200"/>
      <c r="G237" s="200"/>
      <c r="H237" s="200"/>
      <c r="I237" s="200"/>
      <c r="J237" s="200"/>
      <c r="K237" s="200"/>
      <c r="L237" s="200"/>
      <c r="M237" s="200"/>
      <c r="N237" s="200"/>
      <c r="O237" s="200"/>
      <c r="P237" s="200"/>
      <c r="Q237" s="200"/>
      <c r="R237" s="200"/>
      <c r="S237" s="200"/>
      <c r="T237" s="200"/>
      <c r="U237" s="200"/>
      <c r="V237" s="200"/>
      <c r="W237" s="200"/>
      <c r="X237" s="200"/>
      <c r="Y237" s="200"/>
      <c r="Z237" s="200"/>
    </row>
    <row r="238" spans="1:26" ht="21" customHeight="1" x14ac:dyDescent="0.35">
      <c r="A238" s="251"/>
      <c r="B238" s="248"/>
      <c r="C238" s="249"/>
      <c r="D238" s="250"/>
      <c r="E238" s="250"/>
      <c r="F238" s="200"/>
      <c r="G238" s="200"/>
      <c r="H238" s="200"/>
      <c r="I238" s="200"/>
      <c r="J238" s="200"/>
      <c r="K238" s="200"/>
      <c r="L238" s="200"/>
      <c r="M238" s="200"/>
      <c r="N238" s="200"/>
      <c r="O238" s="200"/>
      <c r="P238" s="200"/>
      <c r="Q238" s="200"/>
      <c r="R238" s="200"/>
      <c r="S238" s="200"/>
      <c r="T238" s="200"/>
      <c r="U238" s="200"/>
      <c r="V238" s="200"/>
      <c r="W238" s="200"/>
      <c r="X238" s="200"/>
      <c r="Y238" s="200"/>
      <c r="Z238" s="200"/>
    </row>
    <row r="239" spans="1:26" ht="21" customHeight="1" x14ac:dyDescent="0.35">
      <c r="A239" s="251"/>
      <c r="B239" s="248"/>
      <c r="C239" s="249"/>
      <c r="D239" s="250"/>
      <c r="E239" s="250"/>
      <c r="F239" s="200"/>
      <c r="G239" s="200"/>
      <c r="H239" s="200"/>
      <c r="I239" s="200"/>
      <c r="J239" s="200"/>
      <c r="K239" s="200"/>
      <c r="L239" s="200"/>
      <c r="M239" s="200"/>
      <c r="N239" s="200"/>
      <c r="O239" s="200"/>
      <c r="P239" s="200"/>
      <c r="Q239" s="200"/>
      <c r="R239" s="200"/>
      <c r="S239" s="200"/>
      <c r="T239" s="200"/>
      <c r="U239" s="200"/>
      <c r="V239" s="200"/>
      <c r="W239" s="200"/>
      <c r="X239" s="200"/>
      <c r="Y239" s="200"/>
      <c r="Z239" s="200"/>
    </row>
    <row r="240" spans="1:26" ht="21" customHeight="1" x14ac:dyDescent="0.35">
      <c r="A240" s="251"/>
      <c r="B240" s="248"/>
      <c r="C240" s="249"/>
      <c r="D240" s="250"/>
      <c r="E240" s="250"/>
      <c r="F240" s="200"/>
      <c r="G240" s="200"/>
      <c r="H240" s="200"/>
      <c r="I240" s="200"/>
      <c r="J240" s="200"/>
      <c r="K240" s="200"/>
      <c r="L240" s="200"/>
      <c r="M240" s="200"/>
      <c r="N240" s="200"/>
      <c r="O240" s="200"/>
      <c r="P240" s="200"/>
      <c r="Q240" s="200"/>
      <c r="R240" s="200"/>
      <c r="S240" s="200"/>
      <c r="T240" s="200"/>
      <c r="U240" s="200"/>
      <c r="V240" s="200"/>
      <c r="W240" s="200"/>
      <c r="X240" s="200"/>
      <c r="Y240" s="200"/>
      <c r="Z240" s="200"/>
    </row>
    <row r="241" spans="1:26" ht="21" customHeight="1" x14ac:dyDescent="0.35">
      <c r="A241" s="251"/>
      <c r="B241" s="248"/>
      <c r="C241" s="249"/>
      <c r="D241" s="250"/>
      <c r="E241" s="250"/>
      <c r="F241" s="200"/>
      <c r="G241" s="200"/>
      <c r="H241" s="200"/>
      <c r="I241" s="200"/>
      <c r="J241" s="200"/>
      <c r="K241" s="200"/>
      <c r="L241" s="200"/>
      <c r="M241" s="200"/>
      <c r="N241" s="200"/>
      <c r="O241" s="200"/>
      <c r="P241" s="200"/>
      <c r="Q241" s="200"/>
      <c r="R241" s="200"/>
      <c r="S241" s="200"/>
      <c r="T241" s="200"/>
      <c r="U241" s="200"/>
      <c r="V241" s="200"/>
      <c r="W241" s="200"/>
      <c r="X241" s="200"/>
      <c r="Y241" s="200"/>
      <c r="Z241" s="200"/>
    </row>
    <row r="242" spans="1:26" ht="21" customHeight="1" x14ac:dyDescent="0.35">
      <c r="A242" s="251"/>
      <c r="B242" s="248"/>
      <c r="C242" s="249"/>
      <c r="D242" s="250"/>
      <c r="E242" s="250"/>
      <c r="F242" s="200"/>
      <c r="G242" s="200"/>
      <c r="H242" s="200"/>
      <c r="I242" s="200"/>
      <c r="J242" s="200"/>
      <c r="K242" s="200"/>
      <c r="L242" s="200"/>
      <c r="M242" s="200"/>
      <c r="N242" s="200"/>
      <c r="O242" s="200"/>
      <c r="P242" s="200"/>
      <c r="Q242" s="200"/>
      <c r="R242" s="200"/>
      <c r="S242" s="200"/>
      <c r="T242" s="200"/>
      <c r="U242" s="200"/>
      <c r="V242" s="200"/>
      <c r="W242" s="200"/>
      <c r="X242" s="200"/>
      <c r="Y242" s="200"/>
      <c r="Z242" s="200"/>
    </row>
    <row r="243" spans="1:26" ht="21" customHeight="1" x14ac:dyDescent="0.35">
      <c r="A243" s="251"/>
      <c r="B243" s="248"/>
      <c r="C243" s="249"/>
      <c r="D243" s="250"/>
      <c r="E243" s="250"/>
      <c r="F243" s="200"/>
      <c r="G243" s="200"/>
      <c r="H243" s="200"/>
      <c r="I243" s="200"/>
      <c r="J243" s="200"/>
      <c r="K243" s="200"/>
      <c r="L243" s="200"/>
      <c r="M243" s="200"/>
      <c r="N243" s="200"/>
      <c r="O243" s="200"/>
      <c r="P243" s="200"/>
      <c r="Q243" s="200"/>
      <c r="R243" s="200"/>
      <c r="S243" s="200"/>
      <c r="T243" s="200"/>
      <c r="U243" s="200"/>
      <c r="V243" s="200"/>
      <c r="W243" s="200"/>
      <c r="X243" s="200"/>
      <c r="Y243" s="200"/>
      <c r="Z243" s="200"/>
    </row>
    <row r="244" spans="1:26" ht="21" customHeight="1" x14ac:dyDescent="0.35">
      <c r="A244" s="251"/>
      <c r="B244" s="248"/>
      <c r="C244" s="249"/>
      <c r="D244" s="250"/>
      <c r="E244" s="250"/>
      <c r="F244" s="200"/>
      <c r="G244" s="200"/>
      <c r="H244" s="200"/>
      <c r="I244" s="200"/>
      <c r="J244" s="200"/>
      <c r="K244" s="200"/>
      <c r="L244" s="200"/>
      <c r="M244" s="200"/>
      <c r="N244" s="200"/>
      <c r="O244" s="200"/>
      <c r="P244" s="200"/>
      <c r="Q244" s="200"/>
      <c r="R244" s="200"/>
      <c r="S244" s="200"/>
      <c r="T244" s="200"/>
      <c r="U244" s="200"/>
      <c r="V244" s="200"/>
      <c r="W244" s="200"/>
      <c r="X244" s="200"/>
      <c r="Y244" s="200"/>
      <c r="Z244" s="200"/>
    </row>
    <row r="245" spans="1:26" ht="15.75" customHeight="1" x14ac:dyDescent="0.25"/>
    <row r="246" spans="1:26" ht="15.75" customHeight="1" x14ac:dyDescent="0.25"/>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43:B43"/>
    <mergeCell ref="A44:B44"/>
    <mergeCell ref="A1:A2"/>
    <mergeCell ref="B1:F1"/>
    <mergeCell ref="C3:C7"/>
    <mergeCell ref="F3:F18"/>
    <mergeCell ref="C8:C12"/>
    <mergeCell ref="C13:C15"/>
    <mergeCell ref="A19:F19"/>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defaultColWidth="14.42578125" defaultRowHeight="15" customHeight="1" x14ac:dyDescent="0.25"/>
  <cols>
    <col min="1" max="1" width="4.140625" customWidth="1"/>
    <col min="2" max="2" width="33.140625" customWidth="1"/>
    <col min="3" max="3" width="20" customWidth="1"/>
    <col min="4" max="4" width="44.42578125" customWidth="1"/>
    <col min="5" max="5" width="38.85546875" customWidth="1"/>
    <col min="6" max="6" width="30.140625" customWidth="1"/>
    <col min="7" max="26" width="8.85546875" customWidth="1"/>
  </cols>
  <sheetData>
    <row r="1" spans="1:26" ht="31.5" customHeight="1" x14ac:dyDescent="0.25">
      <c r="A1" s="293" t="s">
        <v>0</v>
      </c>
      <c r="B1" s="319" t="s">
        <v>1</v>
      </c>
      <c r="C1" s="296"/>
      <c r="D1" s="296"/>
      <c r="E1" s="296"/>
      <c r="F1" s="297"/>
      <c r="G1" s="1"/>
      <c r="H1" s="1"/>
      <c r="I1" s="1"/>
      <c r="J1" s="1"/>
      <c r="K1" s="1"/>
      <c r="L1" s="1"/>
      <c r="M1" s="1"/>
      <c r="N1" s="1"/>
      <c r="O1" s="1"/>
      <c r="P1" s="1"/>
      <c r="Q1" s="1"/>
      <c r="R1" s="1"/>
      <c r="S1" s="1"/>
      <c r="T1" s="1"/>
      <c r="U1" s="1"/>
      <c r="V1" s="1"/>
      <c r="W1" s="1"/>
      <c r="X1" s="1"/>
      <c r="Y1" s="1"/>
      <c r="Z1" s="1"/>
    </row>
    <row r="2" spans="1:26" ht="21" x14ac:dyDescent="0.35">
      <c r="A2" s="294"/>
      <c r="B2" s="201" t="s">
        <v>2</v>
      </c>
      <c r="C2" s="202" t="s">
        <v>3</v>
      </c>
      <c r="D2" s="203" t="s">
        <v>4</v>
      </c>
      <c r="E2" s="204" t="s">
        <v>5</v>
      </c>
      <c r="F2" s="205" t="s">
        <v>6</v>
      </c>
      <c r="G2" s="206"/>
      <c r="H2" s="206"/>
      <c r="I2" s="206"/>
      <c r="J2" s="206"/>
      <c r="K2" s="206"/>
      <c r="L2" s="206"/>
      <c r="M2" s="206"/>
      <c r="N2" s="206"/>
      <c r="O2" s="206"/>
      <c r="P2" s="206"/>
      <c r="Q2" s="206"/>
      <c r="R2" s="206"/>
      <c r="S2" s="206"/>
      <c r="T2" s="206"/>
      <c r="U2" s="206"/>
      <c r="V2" s="206"/>
      <c r="W2" s="206"/>
      <c r="X2" s="206"/>
      <c r="Y2" s="206"/>
      <c r="Z2" s="206"/>
    </row>
    <row r="3" spans="1:26" ht="18.75" customHeight="1" x14ac:dyDescent="0.25">
      <c r="A3" s="3">
        <v>1</v>
      </c>
      <c r="B3" s="5" t="s">
        <v>7</v>
      </c>
      <c r="C3" s="298" t="s">
        <v>247</v>
      </c>
      <c r="D3" s="91">
        <v>83990</v>
      </c>
      <c r="E3" s="92">
        <v>10681</v>
      </c>
      <c r="F3" s="314" t="s">
        <v>270</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93">
        <v>9</v>
      </c>
      <c r="E4" s="94">
        <v>3</v>
      </c>
      <c r="F4" s="300"/>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95">
        <v>9332</v>
      </c>
      <c r="E5" s="96">
        <v>3560</v>
      </c>
      <c r="F5" s="300"/>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97">
        <v>0</v>
      </c>
      <c r="E6" s="98">
        <v>0</v>
      </c>
      <c r="F6" s="300"/>
      <c r="G6" s="1"/>
      <c r="H6" s="1"/>
      <c r="I6" s="1"/>
      <c r="J6" s="1"/>
      <c r="K6" s="1"/>
      <c r="L6" s="1"/>
      <c r="M6" s="1"/>
      <c r="N6" s="1"/>
      <c r="O6" s="1"/>
      <c r="P6" s="1"/>
      <c r="Q6" s="1"/>
      <c r="R6" s="1"/>
      <c r="S6" s="1"/>
      <c r="T6" s="1"/>
      <c r="U6" s="1"/>
      <c r="V6" s="1"/>
      <c r="W6" s="1"/>
      <c r="X6" s="1"/>
      <c r="Y6" s="1"/>
      <c r="Z6" s="1"/>
    </row>
    <row r="7" spans="1:26" ht="36.75" customHeight="1" x14ac:dyDescent="0.25">
      <c r="A7" s="3">
        <v>5</v>
      </c>
      <c r="B7" s="8" t="s">
        <v>14</v>
      </c>
      <c r="C7" s="272"/>
      <c r="D7" s="9">
        <v>0</v>
      </c>
      <c r="E7" s="100">
        <v>0</v>
      </c>
      <c r="F7" s="300"/>
      <c r="G7" s="1"/>
      <c r="H7" s="1"/>
      <c r="I7" s="1"/>
      <c r="J7" s="1"/>
      <c r="K7" s="1"/>
      <c r="L7" s="1"/>
      <c r="M7" s="1"/>
      <c r="N7" s="1"/>
      <c r="O7" s="1"/>
      <c r="P7" s="1"/>
      <c r="Q7" s="1"/>
      <c r="R7" s="1"/>
      <c r="S7" s="1"/>
      <c r="T7" s="1"/>
      <c r="U7" s="1"/>
      <c r="V7" s="1"/>
      <c r="W7" s="1"/>
      <c r="X7" s="1"/>
      <c r="Y7" s="1"/>
      <c r="Z7" s="1"/>
    </row>
    <row r="8" spans="1:26" ht="72" customHeight="1" x14ac:dyDescent="0.25">
      <c r="A8" s="3">
        <v>6</v>
      </c>
      <c r="B8" s="252" t="s">
        <v>208</v>
      </c>
      <c r="C8" s="8" t="s">
        <v>291</v>
      </c>
      <c r="D8" s="103" t="s">
        <v>292</v>
      </c>
      <c r="E8" s="104" t="s">
        <v>293</v>
      </c>
      <c r="F8" s="300"/>
      <c r="G8" s="1"/>
      <c r="H8" s="1"/>
      <c r="I8" s="1"/>
      <c r="J8" s="1"/>
      <c r="K8" s="1"/>
      <c r="L8" s="1"/>
      <c r="M8" s="1"/>
      <c r="N8" s="1"/>
      <c r="O8" s="1"/>
      <c r="P8" s="1"/>
      <c r="Q8" s="1"/>
      <c r="R8" s="1"/>
      <c r="S8" s="1"/>
      <c r="T8" s="1"/>
      <c r="U8" s="1"/>
      <c r="V8" s="1"/>
      <c r="W8" s="1"/>
      <c r="X8" s="1"/>
      <c r="Y8" s="1"/>
      <c r="Z8" s="1"/>
    </row>
    <row r="9" spans="1:26" ht="57" customHeight="1" x14ac:dyDescent="0.25">
      <c r="A9" s="3">
        <v>7</v>
      </c>
      <c r="B9" s="8" t="s">
        <v>18</v>
      </c>
      <c r="C9" s="320"/>
      <c r="D9" s="106" t="s">
        <v>294</v>
      </c>
      <c r="E9" s="107">
        <v>0</v>
      </c>
      <c r="F9" s="300"/>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2"/>
      <c r="D10" s="106">
        <v>0</v>
      </c>
      <c r="E10" s="52">
        <v>0</v>
      </c>
      <c r="F10" s="300"/>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7"/>
      <c r="D11" s="108" t="s">
        <v>295</v>
      </c>
      <c r="E11" s="109" t="s">
        <v>295</v>
      </c>
      <c r="F11" s="300"/>
      <c r="G11" s="1"/>
      <c r="H11" s="1"/>
      <c r="I11" s="1"/>
      <c r="J11" s="1"/>
      <c r="K11" s="1"/>
      <c r="L11" s="1"/>
      <c r="M11" s="1"/>
      <c r="N11" s="1"/>
      <c r="O11" s="1"/>
      <c r="P11" s="1"/>
      <c r="Q11" s="1"/>
      <c r="R11" s="1"/>
      <c r="S11" s="1"/>
      <c r="T11" s="1"/>
      <c r="U11" s="1"/>
      <c r="V11" s="1"/>
      <c r="W11" s="1"/>
      <c r="X11" s="1"/>
      <c r="Y11" s="1"/>
      <c r="Z11" s="1"/>
    </row>
    <row r="12" spans="1:26" ht="63" customHeight="1" x14ac:dyDescent="0.25">
      <c r="A12" s="3">
        <v>10</v>
      </c>
      <c r="B12" s="5" t="s">
        <v>24</v>
      </c>
      <c r="C12" s="7"/>
      <c r="D12" s="108" t="s">
        <v>296</v>
      </c>
      <c r="E12" s="131" t="s">
        <v>297</v>
      </c>
      <c r="F12" s="300"/>
      <c r="G12" s="1"/>
      <c r="H12" s="1"/>
      <c r="I12" s="1"/>
      <c r="J12" s="1"/>
      <c r="K12" s="1"/>
      <c r="L12" s="1"/>
      <c r="M12" s="1"/>
      <c r="N12" s="1"/>
      <c r="O12" s="1"/>
      <c r="P12" s="1"/>
      <c r="Q12" s="1"/>
      <c r="R12" s="1"/>
      <c r="S12" s="1"/>
      <c r="T12" s="1"/>
      <c r="U12" s="1"/>
      <c r="V12" s="1"/>
      <c r="W12" s="1"/>
      <c r="X12" s="1"/>
      <c r="Y12" s="1"/>
      <c r="Z12" s="1"/>
    </row>
    <row r="13" spans="1:26" ht="60.75" customHeight="1" x14ac:dyDescent="0.25">
      <c r="A13" s="3">
        <v>11</v>
      </c>
      <c r="B13" s="5" t="s">
        <v>27</v>
      </c>
      <c r="C13" s="302"/>
      <c r="D13" s="110" t="s">
        <v>298</v>
      </c>
      <c r="E13" s="109" t="s">
        <v>299</v>
      </c>
      <c r="F13" s="300"/>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77"/>
      <c r="D14" s="111">
        <v>1</v>
      </c>
      <c r="E14" s="112">
        <v>1</v>
      </c>
      <c r="F14" s="300"/>
      <c r="G14" s="1"/>
      <c r="H14" s="1"/>
      <c r="I14" s="1"/>
      <c r="J14" s="1"/>
      <c r="K14" s="1"/>
      <c r="L14" s="1"/>
      <c r="M14" s="1"/>
      <c r="N14" s="1"/>
      <c r="O14" s="1"/>
      <c r="P14" s="1"/>
      <c r="Q14" s="1"/>
      <c r="R14" s="1"/>
      <c r="S14" s="1"/>
      <c r="T14" s="1"/>
      <c r="U14" s="1"/>
      <c r="V14" s="1"/>
      <c r="W14" s="1"/>
      <c r="X14" s="1"/>
      <c r="Y14" s="1"/>
      <c r="Z14" s="1"/>
    </row>
    <row r="15" spans="1:26" ht="66.75" customHeight="1" x14ac:dyDescent="0.25">
      <c r="A15" s="3">
        <v>13</v>
      </c>
      <c r="B15" s="5" t="s">
        <v>32</v>
      </c>
      <c r="C15" s="272"/>
      <c r="D15" s="110" t="s">
        <v>300</v>
      </c>
      <c r="E15" s="109" t="s">
        <v>301</v>
      </c>
      <c r="F15" s="300"/>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113"/>
      <c r="D16" s="114" t="s">
        <v>278</v>
      </c>
      <c r="E16" s="115" t="s">
        <v>302</v>
      </c>
      <c r="F16" s="300"/>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5"/>
      <c r="D17" s="116" t="s">
        <v>303</v>
      </c>
      <c r="E17" s="117" t="s">
        <v>304</v>
      </c>
      <c r="F17" s="300"/>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7"/>
      <c r="D18" s="118" t="s">
        <v>305</v>
      </c>
      <c r="E18" s="119" t="s">
        <v>306</v>
      </c>
      <c r="F18" s="301"/>
      <c r="G18" s="1"/>
      <c r="H18" s="1"/>
      <c r="I18" s="1"/>
      <c r="J18" s="1"/>
      <c r="K18" s="1"/>
      <c r="L18" s="1"/>
      <c r="M18" s="1"/>
      <c r="N18" s="1"/>
      <c r="O18" s="1"/>
      <c r="P18" s="1"/>
      <c r="Q18" s="1"/>
      <c r="R18" s="1"/>
      <c r="S18" s="1"/>
      <c r="T18" s="1"/>
      <c r="U18" s="1"/>
      <c r="V18" s="1"/>
      <c r="W18" s="1"/>
      <c r="X18" s="1"/>
      <c r="Y18" s="1"/>
      <c r="Z18" s="1"/>
    </row>
    <row r="19" spans="1:26" ht="21.75" customHeight="1" x14ac:dyDescent="0.25">
      <c r="A19" s="318"/>
      <c r="B19" s="317"/>
      <c r="C19" s="317"/>
      <c r="D19" s="317"/>
      <c r="E19" s="317"/>
      <c r="F19" s="317"/>
      <c r="G19" s="1"/>
      <c r="H19" s="1"/>
      <c r="I19" s="1"/>
      <c r="J19" s="1"/>
      <c r="K19" s="1"/>
      <c r="L19" s="1"/>
      <c r="M19" s="1"/>
      <c r="N19" s="1"/>
      <c r="O19" s="1"/>
      <c r="P19" s="1"/>
      <c r="Q19" s="1"/>
      <c r="R19" s="1"/>
      <c r="S19" s="1"/>
      <c r="T19" s="1"/>
      <c r="U19" s="1"/>
      <c r="V19" s="1"/>
      <c r="W19" s="1"/>
      <c r="X19" s="1"/>
      <c r="Y19" s="1"/>
      <c r="Z19" s="1"/>
    </row>
    <row r="20" spans="1:26" ht="15.75" x14ac:dyDescent="0.25">
      <c r="A20" s="23"/>
      <c r="B20" s="24"/>
      <c r="C20" s="25"/>
      <c r="D20" s="25"/>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23"/>
      <c r="B21" s="24"/>
      <c r="C21" s="25"/>
      <c r="D21" s="25"/>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23"/>
      <c r="B22" s="24"/>
      <c r="C22" s="25"/>
      <c r="D22" s="25"/>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23"/>
      <c r="B23" s="24"/>
      <c r="C23" s="25"/>
      <c r="D23" s="25"/>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23"/>
      <c r="B24" s="24"/>
      <c r="C24" s="25"/>
      <c r="D24" s="25"/>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23"/>
      <c r="B25" s="24"/>
      <c r="C25" s="25"/>
      <c r="D25" s="25"/>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23"/>
      <c r="B26" s="24"/>
      <c r="C26" s="25"/>
      <c r="D26" s="25"/>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23"/>
      <c r="B27" s="24"/>
      <c r="C27" s="25"/>
      <c r="D27" s="25"/>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23"/>
      <c r="B28" s="24"/>
      <c r="C28" s="25"/>
      <c r="D28" s="25"/>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23"/>
      <c r="B29" s="24"/>
      <c r="C29" s="25"/>
      <c r="D29" s="25"/>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23"/>
      <c r="B30" s="24"/>
      <c r="C30" s="25"/>
      <c r="D30" s="25"/>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3"/>
      <c r="B32" s="24"/>
      <c r="C32" s="25"/>
      <c r="D32" s="25"/>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3"/>
      <c r="B33" s="24"/>
      <c r="C33" s="25"/>
      <c r="D33" s="25"/>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23"/>
      <c r="B34" s="24"/>
      <c r="C34" s="25"/>
      <c r="D34" s="25"/>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23"/>
      <c r="B35" s="24"/>
      <c r="C35" s="25"/>
      <c r="D35" s="25"/>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3"/>
      <c r="B121" s="24"/>
      <c r="C121" s="25"/>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3"/>
      <c r="B122" s="24"/>
      <c r="C122" s="25"/>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3"/>
      <c r="B123" s="24"/>
      <c r="C123" s="25"/>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3"/>
      <c r="B124" s="24"/>
      <c r="C124" s="25"/>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3"/>
      <c r="B125" s="24"/>
      <c r="C125" s="25"/>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3"/>
      <c r="B126" s="24"/>
      <c r="C126" s="25"/>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3"/>
      <c r="B127" s="24"/>
      <c r="C127" s="25"/>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3"/>
      <c r="B128" s="24"/>
      <c r="C128" s="25"/>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3"/>
      <c r="B129" s="24"/>
      <c r="C129" s="25"/>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3"/>
      <c r="B130" s="24"/>
      <c r="C130" s="25"/>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3"/>
      <c r="B131" s="24"/>
      <c r="C131" s="25"/>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3"/>
      <c r="B132" s="24"/>
      <c r="C132" s="25"/>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3"/>
      <c r="B133" s="24"/>
      <c r="C133" s="25"/>
      <c r="D133" s="25"/>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3"/>
      <c r="B134" s="24"/>
      <c r="C134" s="25"/>
      <c r="D134" s="25"/>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3"/>
      <c r="B135" s="24"/>
      <c r="C135" s="25"/>
      <c r="D135" s="25"/>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3"/>
      <c r="B136" s="24"/>
      <c r="C136" s="25"/>
      <c r="D136" s="25"/>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3"/>
      <c r="B137" s="24"/>
      <c r="C137" s="25"/>
      <c r="D137" s="25"/>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3"/>
      <c r="B138" s="24"/>
      <c r="C138" s="25"/>
      <c r="D138" s="25"/>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3"/>
      <c r="B139" s="24"/>
      <c r="C139" s="25"/>
      <c r="D139" s="25"/>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3"/>
      <c r="B140" s="24"/>
      <c r="C140" s="25"/>
      <c r="D140" s="25"/>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3"/>
      <c r="B141" s="24"/>
      <c r="C141" s="25"/>
      <c r="D141" s="25"/>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3"/>
      <c r="B142" s="24"/>
      <c r="C142" s="25"/>
      <c r="D142" s="25"/>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23"/>
      <c r="B143" s="24"/>
      <c r="C143" s="25"/>
      <c r="D143" s="25"/>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23"/>
      <c r="B144" s="24"/>
      <c r="C144" s="25"/>
      <c r="D144" s="25"/>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23"/>
      <c r="B145" s="24"/>
      <c r="C145" s="25"/>
      <c r="D145" s="25"/>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23"/>
      <c r="B146" s="24"/>
      <c r="C146" s="25"/>
      <c r="D146" s="25"/>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23"/>
      <c r="B147" s="24"/>
      <c r="C147" s="25"/>
      <c r="D147" s="25"/>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23"/>
      <c r="B148" s="24"/>
      <c r="C148" s="25"/>
      <c r="D148" s="25"/>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23"/>
      <c r="B149" s="24"/>
      <c r="C149" s="25"/>
      <c r="D149" s="25"/>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23"/>
      <c r="B150" s="24"/>
      <c r="C150" s="25"/>
      <c r="D150" s="25"/>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23"/>
      <c r="B151" s="24"/>
      <c r="C151" s="25"/>
      <c r="D151" s="25"/>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23"/>
      <c r="B152" s="24"/>
      <c r="C152" s="25"/>
      <c r="D152" s="25"/>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23"/>
      <c r="B153" s="24"/>
      <c r="C153" s="25"/>
      <c r="D153" s="25"/>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23"/>
      <c r="B154" s="24"/>
      <c r="C154" s="25"/>
      <c r="D154" s="25"/>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23"/>
      <c r="B155" s="24"/>
      <c r="C155" s="25"/>
      <c r="D155" s="25"/>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23"/>
      <c r="B156" s="24"/>
      <c r="C156" s="25"/>
      <c r="D156" s="25"/>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23"/>
      <c r="B157" s="24"/>
      <c r="C157" s="25"/>
      <c r="D157" s="25"/>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23"/>
      <c r="B158" s="24"/>
      <c r="C158" s="25"/>
      <c r="D158" s="25"/>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23"/>
      <c r="B159" s="24"/>
      <c r="C159" s="25"/>
      <c r="D159" s="25"/>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23"/>
      <c r="B160" s="24"/>
      <c r="C160" s="25"/>
      <c r="D160" s="25"/>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23"/>
      <c r="B161" s="24"/>
      <c r="C161" s="25"/>
      <c r="D161" s="25"/>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23"/>
      <c r="B162" s="24"/>
      <c r="C162" s="25"/>
      <c r="D162" s="25"/>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23"/>
      <c r="B163" s="24"/>
      <c r="C163" s="25"/>
      <c r="D163" s="25"/>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23"/>
      <c r="B164" s="24"/>
      <c r="C164" s="25"/>
      <c r="D164" s="25"/>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23"/>
      <c r="B165" s="24"/>
      <c r="C165" s="25"/>
      <c r="D165" s="25"/>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23"/>
      <c r="B166" s="24"/>
      <c r="C166" s="25"/>
      <c r="D166" s="25"/>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23"/>
      <c r="B167" s="24"/>
      <c r="C167" s="25"/>
      <c r="D167" s="25"/>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23"/>
      <c r="B168" s="24"/>
      <c r="C168" s="25"/>
      <c r="D168" s="25"/>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23"/>
      <c r="B169" s="24"/>
      <c r="C169" s="25"/>
      <c r="D169" s="25"/>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23"/>
      <c r="B170" s="24"/>
      <c r="C170" s="25"/>
      <c r="D170" s="25"/>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23"/>
      <c r="B171" s="24"/>
      <c r="C171" s="25"/>
      <c r="D171" s="25"/>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19:F19"/>
    <mergeCell ref="A1:A2"/>
    <mergeCell ref="B1:F1"/>
    <mergeCell ref="C3:C7"/>
    <mergeCell ref="F3:F18"/>
    <mergeCell ref="C9:C10"/>
    <mergeCell ref="C13:C15"/>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defaultColWidth="14.42578125" defaultRowHeight="15" customHeight="1" x14ac:dyDescent="0.25"/>
  <cols>
    <col min="1" max="1" width="4.140625" customWidth="1"/>
    <col min="2" max="2" width="33.140625" customWidth="1"/>
    <col min="3" max="3" width="20" customWidth="1"/>
    <col min="4" max="4" width="44.42578125" customWidth="1"/>
    <col min="5" max="5" width="38.85546875" customWidth="1"/>
    <col min="6" max="6" width="30.140625" customWidth="1"/>
    <col min="7" max="26" width="8.85546875" customWidth="1"/>
  </cols>
  <sheetData>
    <row r="1" spans="1:26" ht="31.5" customHeight="1" x14ac:dyDescent="0.25">
      <c r="A1" s="293" t="s">
        <v>0</v>
      </c>
      <c r="B1" s="319" t="s">
        <v>1</v>
      </c>
      <c r="C1" s="296"/>
      <c r="D1" s="296"/>
      <c r="E1" s="296"/>
      <c r="F1" s="297"/>
      <c r="G1" s="1"/>
      <c r="H1" s="1"/>
      <c r="I1" s="1"/>
      <c r="J1" s="1"/>
      <c r="K1" s="1"/>
      <c r="L1" s="1"/>
      <c r="M1" s="1"/>
      <c r="N1" s="1"/>
      <c r="O1" s="1"/>
      <c r="P1" s="1"/>
      <c r="Q1" s="1"/>
      <c r="R1" s="1"/>
      <c r="S1" s="1"/>
      <c r="T1" s="1"/>
      <c r="U1" s="1"/>
      <c r="V1" s="1"/>
      <c r="W1" s="1"/>
      <c r="X1" s="1"/>
      <c r="Y1" s="1"/>
      <c r="Z1" s="1"/>
    </row>
    <row r="2" spans="1:26" ht="21" x14ac:dyDescent="0.35">
      <c r="A2" s="294"/>
      <c r="B2" s="201" t="s">
        <v>2</v>
      </c>
      <c r="C2" s="202" t="s">
        <v>3</v>
      </c>
      <c r="D2" s="203" t="s">
        <v>4</v>
      </c>
      <c r="E2" s="204" t="s">
        <v>5</v>
      </c>
      <c r="F2" s="205" t="s">
        <v>6</v>
      </c>
      <c r="G2" s="206"/>
      <c r="H2" s="206"/>
      <c r="I2" s="206"/>
      <c r="J2" s="206"/>
      <c r="K2" s="206"/>
      <c r="L2" s="206"/>
      <c r="M2" s="206"/>
      <c r="N2" s="206"/>
      <c r="O2" s="206"/>
      <c r="P2" s="206"/>
      <c r="Q2" s="206"/>
      <c r="R2" s="206"/>
      <c r="S2" s="206"/>
      <c r="T2" s="206"/>
      <c r="U2" s="206"/>
      <c r="V2" s="206"/>
      <c r="W2" s="206"/>
      <c r="X2" s="206"/>
      <c r="Y2" s="206"/>
      <c r="Z2" s="206"/>
    </row>
    <row r="3" spans="1:26" ht="18.75" customHeight="1" x14ac:dyDescent="0.25">
      <c r="A3" s="3">
        <v>1</v>
      </c>
      <c r="B3" s="5" t="s">
        <v>7</v>
      </c>
      <c r="C3" s="298" t="s">
        <v>291</v>
      </c>
      <c r="D3" s="91">
        <v>88500</v>
      </c>
      <c r="E3" s="92">
        <v>12887</v>
      </c>
      <c r="F3" s="314" t="s">
        <v>270</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93">
        <v>8</v>
      </c>
      <c r="E4" s="94">
        <v>2</v>
      </c>
      <c r="F4" s="300"/>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95">
        <v>11063</v>
      </c>
      <c r="E5" s="96">
        <v>6443</v>
      </c>
      <c r="F5" s="300"/>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97">
        <v>0</v>
      </c>
      <c r="E6" s="98">
        <v>0</v>
      </c>
      <c r="F6" s="300"/>
      <c r="G6" s="1"/>
      <c r="H6" s="1"/>
      <c r="I6" s="1"/>
      <c r="J6" s="1"/>
      <c r="K6" s="1"/>
      <c r="L6" s="1"/>
      <c r="M6" s="1"/>
      <c r="N6" s="1"/>
      <c r="O6" s="1"/>
      <c r="P6" s="1"/>
      <c r="Q6" s="1"/>
      <c r="R6" s="1"/>
      <c r="S6" s="1"/>
      <c r="T6" s="1"/>
      <c r="U6" s="1"/>
      <c r="V6" s="1"/>
      <c r="W6" s="1"/>
      <c r="X6" s="1"/>
      <c r="Y6" s="1"/>
      <c r="Z6" s="1"/>
    </row>
    <row r="7" spans="1:26" ht="36.75" customHeight="1" x14ac:dyDescent="0.25">
      <c r="A7" s="3">
        <v>5</v>
      </c>
      <c r="B7" s="8" t="s">
        <v>14</v>
      </c>
      <c r="C7" s="272"/>
      <c r="D7" s="9">
        <v>0</v>
      </c>
      <c r="E7" s="100">
        <v>0</v>
      </c>
      <c r="F7" s="300"/>
      <c r="G7" s="1"/>
      <c r="H7" s="1"/>
      <c r="I7" s="1"/>
      <c r="J7" s="1"/>
      <c r="K7" s="1"/>
      <c r="L7" s="1"/>
      <c r="M7" s="1"/>
      <c r="N7" s="1"/>
      <c r="O7" s="1"/>
      <c r="P7" s="1"/>
      <c r="Q7" s="1"/>
      <c r="R7" s="1"/>
      <c r="S7" s="1"/>
      <c r="T7" s="1"/>
      <c r="U7" s="1"/>
      <c r="V7" s="1"/>
      <c r="W7" s="1"/>
      <c r="X7" s="1"/>
      <c r="Y7" s="1"/>
      <c r="Z7" s="1"/>
    </row>
    <row r="8" spans="1:26" ht="72" customHeight="1" x14ac:dyDescent="0.25">
      <c r="A8" s="3">
        <v>6</v>
      </c>
      <c r="B8" s="252" t="s">
        <v>208</v>
      </c>
      <c r="C8" s="8" t="s">
        <v>307</v>
      </c>
      <c r="D8" s="103" t="s">
        <v>308</v>
      </c>
      <c r="E8" s="104" t="s">
        <v>309</v>
      </c>
      <c r="F8" s="300"/>
      <c r="G8" s="1"/>
      <c r="H8" s="1"/>
      <c r="I8" s="1"/>
      <c r="J8" s="1"/>
      <c r="K8" s="1"/>
      <c r="L8" s="1"/>
      <c r="M8" s="1"/>
      <c r="N8" s="1"/>
      <c r="O8" s="1"/>
      <c r="P8" s="1"/>
      <c r="Q8" s="1"/>
      <c r="R8" s="1"/>
      <c r="S8" s="1"/>
      <c r="T8" s="1"/>
      <c r="U8" s="1"/>
      <c r="V8" s="1"/>
      <c r="W8" s="1"/>
      <c r="X8" s="1"/>
      <c r="Y8" s="1"/>
      <c r="Z8" s="1"/>
    </row>
    <row r="9" spans="1:26" ht="57" customHeight="1" x14ac:dyDescent="0.25">
      <c r="A9" s="3">
        <v>7</v>
      </c>
      <c r="B9" s="8" t="s">
        <v>18</v>
      </c>
      <c r="C9" s="320"/>
      <c r="D9" s="106" t="s">
        <v>294</v>
      </c>
      <c r="E9" s="107">
        <v>0</v>
      </c>
      <c r="F9" s="300"/>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2"/>
      <c r="D10" s="106">
        <v>0</v>
      </c>
      <c r="E10" s="52">
        <v>0</v>
      </c>
      <c r="F10" s="300"/>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7"/>
      <c r="D11" s="108" t="s">
        <v>295</v>
      </c>
      <c r="E11" s="109" t="s">
        <v>295</v>
      </c>
      <c r="F11" s="300"/>
      <c r="G11" s="1"/>
      <c r="H11" s="1"/>
      <c r="I11" s="1"/>
      <c r="J11" s="1"/>
      <c r="K11" s="1"/>
      <c r="L11" s="1"/>
      <c r="M11" s="1"/>
      <c r="N11" s="1"/>
      <c r="O11" s="1"/>
      <c r="P11" s="1"/>
      <c r="Q11" s="1"/>
      <c r="R11" s="1"/>
      <c r="S11" s="1"/>
      <c r="T11" s="1"/>
      <c r="U11" s="1"/>
      <c r="V11" s="1"/>
      <c r="W11" s="1"/>
      <c r="X11" s="1"/>
      <c r="Y11" s="1"/>
      <c r="Z11" s="1"/>
    </row>
    <row r="12" spans="1:26" ht="63" customHeight="1" x14ac:dyDescent="0.25">
      <c r="A12" s="3">
        <v>10</v>
      </c>
      <c r="B12" s="5" t="s">
        <v>24</v>
      </c>
      <c r="C12" s="7"/>
      <c r="D12" s="108" t="s">
        <v>296</v>
      </c>
      <c r="E12" s="131" t="s">
        <v>310</v>
      </c>
      <c r="F12" s="300"/>
      <c r="G12" s="1"/>
      <c r="H12" s="1"/>
      <c r="I12" s="1"/>
      <c r="J12" s="1"/>
      <c r="K12" s="1"/>
      <c r="L12" s="1"/>
      <c r="M12" s="1"/>
      <c r="N12" s="1"/>
      <c r="O12" s="1"/>
      <c r="P12" s="1"/>
      <c r="Q12" s="1"/>
      <c r="R12" s="1"/>
      <c r="S12" s="1"/>
      <c r="T12" s="1"/>
      <c r="U12" s="1"/>
      <c r="V12" s="1"/>
      <c r="W12" s="1"/>
      <c r="X12" s="1"/>
      <c r="Y12" s="1"/>
      <c r="Z12" s="1"/>
    </row>
    <row r="13" spans="1:26" ht="60.75" customHeight="1" x14ac:dyDescent="0.25">
      <c r="A13" s="3">
        <v>11</v>
      </c>
      <c r="B13" s="5" t="s">
        <v>27</v>
      </c>
      <c r="C13" s="302"/>
      <c r="D13" s="110" t="s">
        <v>311</v>
      </c>
      <c r="E13" s="109" t="s">
        <v>312</v>
      </c>
      <c r="F13" s="300"/>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77"/>
      <c r="D14" s="111">
        <v>0.96</v>
      </c>
      <c r="E14" s="112">
        <v>1</v>
      </c>
      <c r="F14" s="300"/>
      <c r="G14" s="1"/>
      <c r="H14" s="1"/>
      <c r="I14" s="1"/>
      <c r="J14" s="1"/>
      <c r="K14" s="1"/>
      <c r="L14" s="1"/>
      <c r="M14" s="1"/>
      <c r="N14" s="1"/>
      <c r="O14" s="1"/>
      <c r="P14" s="1"/>
      <c r="Q14" s="1"/>
      <c r="R14" s="1"/>
      <c r="S14" s="1"/>
      <c r="T14" s="1"/>
      <c r="U14" s="1"/>
      <c r="V14" s="1"/>
      <c r="W14" s="1"/>
      <c r="X14" s="1"/>
      <c r="Y14" s="1"/>
      <c r="Z14" s="1"/>
    </row>
    <row r="15" spans="1:26" ht="66.75" customHeight="1" x14ac:dyDescent="0.25">
      <c r="A15" s="3">
        <v>13</v>
      </c>
      <c r="B15" s="5" t="s">
        <v>32</v>
      </c>
      <c r="C15" s="272"/>
      <c r="D15" s="110" t="s">
        <v>313</v>
      </c>
      <c r="E15" s="109" t="s">
        <v>314</v>
      </c>
      <c r="F15" s="300"/>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113"/>
      <c r="D16" s="114" t="s">
        <v>278</v>
      </c>
      <c r="E16" s="115" t="s">
        <v>302</v>
      </c>
      <c r="F16" s="300"/>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5"/>
      <c r="D17" s="116" t="s">
        <v>303</v>
      </c>
      <c r="E17" s="117" t="s">
        <v>315</v>
      </c>
      <c r="F17" s="300"/>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7"/>
      <c r="D18" s="118" t="s">
        <v>316</v>
      </c>
      <c r="E18" s="119" t="s">
        <v>317</v>
      </c>
      <c r="F18" s="301"/>
      <c r="G18" s="1"/>
      <c r="H18" s="1"/>
      <c r="I18" s="1"/>
      <c r="J18" s="1"/>
      <c r="K18" s="1"/>
      <c r="L18" s="1"/>
      <c r="M18" s="1"/>
      <c r="N18" s="1"/>
      <c r="O18" s="1"/>
      <c r="P18" s="1"/>
      <c r="Q18" s="1"/>
      <c r="R18" s="1"/>
      <c r="S18" s="1"/>
      <c r="T18" s="1"/>
      <c r="U18" s="1"/>
      <c r="V18" s="1"/>
      <c r="W18" s="1"/>
      <c r="X18" s="1"/>
      <c r="Y18" s="1"/>
      <c r="Z18" s="1"/>
    </row>
    <row r="19" spans="1:26" ht="21.75" customHeight="1" x14ac:dyDescent="0.25">
      <c r="A19" s="318"/>
      <c r="B19" s="317"/>
      <c r="C19" s="317"/>
      <c r="D19" s="317"/>
      <c r="E19" s="317"/>
      <c r="F19" s="317"/>
      <c r="G19" s="1"/>
      <c r="H19" s="1"/>
      <c r="I19" s="1"/>
      <c r="J19" s="1"/>
      <c r="K19" s="1"/>
      <c r="L19" s="1"/>
      <c r="M19" s="1"/>
      <c r="N19" s="1"/>
      <c r="O19" s="1"/>
      <c r="P19" s="1"/>
      <c r="Q19" s="1"/>
      <c r="R19" s="1"/>
      <c r="S19" s="1"/>
      <c r="T19" s="1"/>
      <c r="U19" s="1"/>
      <c r="V19" s="1"/>
      <c r="W19" s="1"/>
      <c r="X19" s="1"/>
      <c r="Y19" s="1"/>
      <c r="Z19" s="1"/>
    </row>
    <row r="20" spans="1:26" ht="15.75" x14ac:dyDescent="0.25">
      <c r="A20" s="23"/>
      <c r="B20" s="24"/>
      <c r="C20" s="25"/>
      <c r="D20" s="25"/>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23"/>
      <c r="B21" s="24"/>
      <c r="C21" s="25"/>
      <c r="D21" s="25"/>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23"/>
      <c r="B22" s="24"/>
      <c r="C22" s="25"/>
      <c r="D22" s="25"/>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23"/>
      <c r="B23" s="24"/>
      <c r="C23" s="25"/>
      <c r="D23" s="25"/>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23"/>
      <c r="B24" s="24"/>
      <c r="C24" s="25"/>
      <c r="D24" s="25"/>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23"/>
      <c r="B25" s="24"/>
      <c r="C25" s="25"/>
      <c r="D25" s="25"/>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23"/>
      <c r="B26" s="24"/>
      <c r="C26" s="25"/>
      <c r="D26" s="25"/>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23"/>
      <c r="B27" s="24"/>
      <c r="C27" s="25"/>
      <c r="D27" s="25"/>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23"/>
      <c r="B28" s="24"/>
      <c r="C28" s="25"/>
      <c r="D28" s="25"/>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23"/>
      <c r="B29" s="24"/>
      <c r="C29" s="25"/>
      <c r="D29" s="25"/>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23"/>
      <c r="B30" s="24"/>
      <c r="C30" s="25"/>
      <c r="D30" s="25"/>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3"/>
      <c r="B32" s="24"/>
      <c r="C32" s="25"/>
      <c r="D32" s="25"/>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3"/>
      <c r="B33" s="24"/>
      <c r="C33" s="25"/>
      <c r="D33" s="25"/>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23"/>
      <c r="B34" s="24"/>
      <c r="C34" s="25"/>
      <c r="D34" s="25"/>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23"/>
      <c r="B35" s="24"/>
      <c r="C35" s="25"/>
      <c r="D35" s="25"/>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3"/>
      <c r="B121" s="24"/>
      <c r="C121" s="25"/>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3"/>
      <c r="B122" s="24"/>
      <c r="C122" s="25"/>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3"/>
      <c r="B123" s="24"/>
      <c r="C123" s="25"/>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3"/>
      <c r="B124" s="24"/>
      <c r="C124" s="25"/>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3"/>
      <c r="B125" s="24"/>
      <c r="C125" s="25"/>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3"/>
      <c r="B126" s="24"/>
      <c r="C126" s="25"/>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3"/>
      <c r="B127" s="24"/>
      <c r="C127" s="25"/>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3"/>
      <c r="B128" s="24"/>
      <c r="C128" s="25"/>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3"/>
      <c r="B129" s="24"/>
      <c r="C129" s="25"/>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3"/>
      <c r="B130" s="24"/>
      <c r="C130" s="25"/>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3"/>
      <c r="B131" s="24"/>
      <c r="C131" s="25"/>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3"/>
      <c r="B132" s="24"/>
      <c r="C132" s="25"/>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3"/>
      <c r="B133" s="24"/>
      <c r="C133" s="25"/>
      <c r="D133" s="25"/>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3"/>
      <c r="B134" s="24"/>
      <c r="C134" s="25"/>
      <c r="D134" s="25"/>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3"/>
      <c r="B135" s="24"/>
      <c r="C135" s="25"/>
      <c r="D135" s="25"/>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3"/>
      <c r="B136" s="24"/>
      <c r="C136" s="25"/>
      <c r="D136" s="25"/>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3"/>
      <c r="B137" s="24"/>
      <c r="C137" s="25"/>
      <c r="D137" s="25"/>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3"/>
      <c r="B138" s="24"/>
      <c r="C138" s="25"/>
      <c r="D138" s="25"/>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3"/>
      <c r="B139" s="24"/>
      <c r="C139" s="25"/>
      <c r="D139" s="25"/>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3"/>
      <c r="B140" s="24"/>
      <c r="C140" s="25"/>
      <c r="D140" s="25"/>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3"/>
      <c r="B141" s="24"/>
      <c r="C141" s="25"/>
      <c r="D141" s="25"/>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3"/>
      <c r="B142" s="24"/>
      <c r="C142" s="25"/>
      <c r="D142" s="25"/>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23"/>
      <c r="B143" s="24"/>
      <c r="C143" s="25"/>
      <c r="D143" s="25"/>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23"/>
      <c r="B144" s="24"/>
      <c r="C144" s="25"/>
      <c r="D144" s="25"/>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23"/>
      <c r="B145" s="24"/>
      <c r="C145" s="25"/>
      <c r="D145" s="25"/>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23"/>
      <c r="B146" s="24"/>
      <c r="C146" s="25"/>
      <c r="D146" s="25"/>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23"/>
      <c r="B147" s="24"/>
      <c r="C147" s="25"/>
      <c r="D147" s="25"/>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23"/>
      <c r="B148" s="24"/>
      <c r="C148" s="25"/>
      <c r="D148" s="25"/>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23"/>
      <c r="B149" s="24"/>
      <c r="C149" s="25"/>
      <c r="D149" s="25"/>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23"/>
      <c r="B150" s="24"/>
      <c r="C150" s="25"/>
      <c r="D150" s="25"/>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23"/>
      <c r="B151" s="24"/>
      <c r="C151" s="25"/>
      <c r="D151" s="25"/>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23"/>
      <c r="B152" s="24"/>
      <c r="C152" s="25"/>
      <c r="D152" s="25"/>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23"/>
      <c r="B153" s="24"/>
      <c r="C153" s="25"/>
      <c r="D153" s="25"/>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23"/>
      <c r="B154" s="24"/>
      <c r="C154" s="25"/>
      <c r="D154" s="25"/>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23"/>
      <c r="B155" s="24"/>
      <c r="C155" s="25"/>
      <c r="D155" s="25"/>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23"/>
      <c r="B156" s="24"/>
      <c r="C156" s="25"/>
      <c r="D156" s="25"/>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23"/>
      <c r="B157" s="24"/>
      <c r="C157" s="25"/>
      <c r="D157" s="25"/>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23"/>
      <c r="B158" s="24"/>
      <c r="C158" s="25"/>
      <c r="D158" s="25"/>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23"/>
      <c r="B159" s="24"/>
      <c r="C159" s="25"/>
      <c r="D159" s="25"/>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23"/>
      <c r="B160" s="24"/>
      <c r="C160" s="25"/>
      <c r="D160" s="25"/>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23"/>
      <c r="B161" s="24"/>
      <c r="C161" s="25"/>
      <c r="D161" s="25"/>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23"/>
      <c r="B162" s="24"/>
      <c r="C162" s="25"/>
      <c r="D162" s="25"/>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23"/>
      <c r="B163" s="24"/>
      <c r="C163" s="25"/>
      <c r="D163" s="25"/>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23"/>
      <c r="B164" s="24"/>
      <c r="C164" s="25"/>
      <c r="D164" s="25"/>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23"/>
      <c r="B165" s="24"/>
      <c r="C165" s="25"/>
      <c r="D165" s="25"/>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23"/>
      <c r="B166" s="24"/>
      <c r="C166" s="25"/>
      <c r="D166" s="25"/>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23"/>
      <c r="B167" s="24"/>
      <c r="C167" s="25"/>
      <c r="D167" s="25"/>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23"/>
      <c r="B168" s="24"/>
      <c r="C168" s="25"/>
      <c r="D168" s="25"/>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23"/>
      <c r="B169" s="24"/>
      <c r="C169" s="25"/>
      <c r="D169" s="25"/>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23"/>
      <c r="B170" s="24"/>
      <c r="C170" s="25"/>
      <c r="D170" s="25"/>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23"/>
      <c r="B171" s="24"/>
      <c r="C171" s="25"/>
      <c r="D171" s="25"/>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19:F19"/>
    <mergeCell ref="A1:A2"/>
    <mergeCell ref="B1:F1"/>
    <mergeCell ref="C3:C7"/>
    <mergeCell ref="F3:F18"/>
    <mergeCell ref="C9:C10"/>
    <mergeCell ref="C13:C15"/>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defaultColWidth="14.42578125" defaultRowHeight="15" customHeight="1" x14ac:dyDescent="0.25"/>
  <cols>
    <col min="1" max="1" width="4.140625" customWidth="1"/>
    <col min="2" max="2" width="33.140625" customWidth="1"/>
    <col min="3" max="3" width="20" customWidth="1"/>
    <col min="4" max="4" width="44.42578125" customWidth="1"/>
    <col min="5" max="5" width="38.85546875" customWidth="1"/>
    <col min="6" max="6" width="30.140625" customWidth="1"/>
    <col min="7" max="26" width="8.85546875" customWidth="1"/>
  </cols>
  <sheetData>
    <row r="1" spans="1:26" ht="31.5" customHeight="1" x14ac:dyDescent="0.25">
      <c r="A1" s="293" t="s">
        <v>0</v>
      </c>
      <c r="B1" s="319" t="s">
        <v>1</v>
      </c>
      <c r="C1" s="296"/>
      <c r="D1" s="296"/>
      <c r="E1" s="296"/>
      <c r="F1" s="297"/>
      <c r="G1" s="1"/>
      <c r="H1" s="1"/>
      <c r="I1" s="1"/>
      <c r="J1" s="1"/>
      <c r="K1" s="1"/>
      <c r="L1" s="1"/>
      <c r="M1" s="1"/>
      <c r="N1" s="1"/>
      <c r="O1" s="1"/>
      <c r="P1" s="1"/>
      <c r="Q1" s="1"/>
      <c r="R1" s="1"/>
      <c r="S1" s="1"/>
      <c r="T1" s="1"/>
      <c r="U1" s="1"/>
      <c r="V1" s="1"/>
      <c r="W1" s="1"/>
      <c r="X1" s="1"/>
      <c r="Y1" s="1"/>
      <c r="Z1" s="1"/>
    </row>
    <row r="2" spans="1:26" ht="21" x14ac:dyDescent="0.35">
      <c r="A2" s="294"/>
      <c r="B2" s="201" t="s">
        <v>2</v>
      </c>
      <c r="C2" s="202" t="s">
        <v>3</v>
      </c>
      <c r="D2" s="203" t="s">
        <v>4</v>
      </c>
      <c r="E2" s="204" t="s">
        <v>5</v>
      </c>
      <c r="F2" s="205" t="s">
        <v>6</v>
      </c>
      <c r="G2" s="206"/>
      <c r="H2" s="206"/>
      <c r="I2" s="206"/>
      <c r="J2" s="206"/>
      <c r="K2" s="206"/>
      <c r="L2" s="206"/>
      <c r="M2" s="206"/>
      <c r="N2" s="206"/>
      <c r="O2" s="206"/>
      <c r="P2" s="206"/>
      <c r="Q2" s="206"/>
      <c r="R2" s="206"/>
      <c r="S2" s="206"/>
      <c r="T2" s="206"/>
      <c r="U2" s="206"/>
      <c r="V2" s="206"/>
      <c r="W2" s="206"/>
      <c r="X2" s="206"/>
      <c r="Y2" s="206"/>
      <c r="Z2" s="206"/>
    </row>
    <row r="3" spans="1:26" ht="18.75" customHeight="1" x14ac:dyDescent="0.25">
      <c r="A3" s="3">
        <v>1</v>
      </c>
      <c r="B3" s="5" t="s">
        <v>7</v>
      </c>
      <c r="C3" s="298" t="s">
        <v>307</v>
      </c>
      <c r="D3" s="91">
        <v>68970</v>
      </c>
      <c r="E3" s="92">
        <v>7327</v>
      </c>
      <c r="F3" s="314" t="s">
        <v>270</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93">
        <v>10</v>
      </c>
      <c r="E4" s="94">
        <v>1</v>
      </c>
      <c r="F4" s="300"/>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95">
        <v>6270</v>
      </c>
      <c r="E5" s="96">
        <v>7327</v>
      </c>
      <c r="F5" s="300"/>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97" t="s">
        <v>318</v>
      </c>
      <c r="E6" s="98">
        <v>0</v>
      </c>
      <c r="F6" s="300"/>
      <c r="G6" s="1"/>
      <c r="H6" s="1"/>
      <c r="I6" s="1"/>
      <c r="J6" s="1"/>
      <c r="K6" s="1"/>
      <c r="L6" s="1"/>
      <c r="M6" s="1"/>
      <c r="N6" s="1"/>
      <c r="O6" s="1"/>
      <c r="P6" s="1"/>
      <c r="Q6" s="1"/>
      <c r="R6" s="1"/>
      <c r="S6" s="1"/>
      <c r="T6" s="1"/>
      <c r="U6" s="1"/>
      <c r="V6" s="1"/>
      <c r="W6" s="1"/>
      <c r="X6" s="1"/>
      <c r="Y6" s="1"/>
      <c r="Z6" s="1"/>
    </row>
    <row r="7" spans="1:26" ht="36.75" customHeight="1" x14ac:dyDescent="0.25">
      <c r="A7" s="3">
        <v>5</v>
      </c>
      <c r="B7" s="8" t="s">
        <v>14</v>
      </c>
      <c r="C7" s="272"/>
      <c r="D7" s="9">
        <v>0</v>
      </c>
      <c r="E7" s="100">
        <v>0</v>
      </c>
      <c r="F7" s="300"/>
      <c r="G7" s="1"/>
      <c r="H7" s="1"/>
      <c r="I7" s="1"/>
      <c r="J7" s="1"/>
      <c r="K7" s="1"/>
      <c r="L7" s="1"/>
      <c r="M7" s="1"/>
      <c r="N7" s="1"/>
      <c r="O7" s="1"/>
      <c r="P7" s="1"/>
      <c r="Q7" s="1"/>
      <c r="R7" s="1"/>
      <c r="S7" s="1"/>
      <c r="T7" s="1"/>
      <c r="U7" s="1"/>
      <c r="V7" s="1"/>
      <c r="W7" s="1"/>
      <c r="X7" s="1"/>
      <c r="Y7" s="1"/>
      <c r="Z7" s="1"/>
    </row>
    <row r="8" spans="1:26" ht="72" customHeight="1" x14ac:dyDescent="0.25">
      <c r="A8" s="3">
        <v>6</v>
      </c>
      <c r="B8" s="252" t="s">
        <v>208</v>
      </c>
      <c r="C8" s="8" t="s">
        <v>319</v>
      </c>
      <c r="D8" s="103" t="s">
        <v>320</v>
      </c>
      <c r="E8" s="104" t="s">
        <v>321</v>
      </c>
      <c r="F8" s="300"/>
      <c r="G8" s="1"/>
      <c r="H8" s="1"/>
      <c r="I8" s="1"/>
      <c r="J8" s="1"/>
      <c r="K8" s="1"/>
      <c r="L8" s="1"/>
      <c r="M8" s="1"/>
      <c r="N8" s="1"/>
      <c r="O8" s="1"/>
      <c r="P8" s="1"/>
      <c r="Q8" s="1"/>
      <c r="R8" s="1"/>
      <c r="S8" s="1"/>
      <c r="T8" s="1"/>
      <c r="U8" s="1"/>
      <c r="V8" s="1"/>
      <c r="W8" s="1"/>
      <c r="X8" s="1"/>
      <c r="Y8" s="1"/>
      <c r="Z8" s="1"/>
    </row>
    <row r="9" spans="1:26" ht="57" customHeight="1" x14ac:dyDescent="0.25">
      <c r="A9" s="3">
        <v>7</v>
      </c>
      <c r="B9" s="8" t="s">
        <v>18</v>
      </c>
      <c r="C9" s="320"/>
      <c r="D9" s="106" t="s">
        <v>322</v>
      </c>
      <c r="E9" s="107">
        <v>0</v>
      </c>
      <c r="F9" s="300"/>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2"/>
      <c r="D10" s="106">
        <v>0</v>
      </c>
      <c r="E10" s="52">
        <v>0</v>
      </c>
      <c r="F10" s="300"/>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7"/>
      <c r="D11" s="108" t="s">
        <v>295</v>
      </c>
      <c r="E11" s="109" t="s">
        <v>295</v>
      </c>
      <c r="F11" s="300"/>
      <c r="G11" s="1"/>
      <c r="H11" s="1"/>
      <c r="I11" s="1"/>
      <c r="J11" s="1"/>
      <c r="K11" s="1"/>
      <c r="L11" s="1"/>
      <c r="M11" s="1"/>
      <c r="N11" s="1"/>
      <c r="O11" s="1"/>
      <c r="P11" s="1"/>
      <c r="Q11" s="1"/>
      <c r="R11" s="1"/>
      <c r="S11" s="1"/>
      <c r="T11" s="1"/>
      <c r="U11" s="1"/>
      <c r="V11" s="1"/>
      <c r="W11" s="1"/>
      <c r="X11" s="1"/>
      <c r="Y11" s="1"/>
      <c r="Z11" s="1"/>
    </row>
    <row r="12" spans="1:26" ht="63" customHeight="1" x14ac:dyDescent="0.25">
      <c r="A12" s="3">
        <v>10</v>
      </c>
      <c r="B12" s="5" t="s">
        <v>24</v>
      </c>
      <c r="C12" s="7"/>
      <c r="D12" s="108" t="s">
        <v>323</v>
      </c>
      <c r="E12" s="131" t="s">
        <v>324</v>
      </c>
      <c r="F12" s="300"/>
      <c r="G12" s="1"/>
      <c r="H12" s="1"/>
      <c r="I12" s="1"/>
      <c r="J12" s="1"/>
      <c r="K12" s="1"/>
      <c r="L12" s="1"/>
      <c r="M12" s="1"/>
      <c r="N12" s="1"/>
      <c r="O12" s="1"/>
      <c r="P12" s="1"/>
      <c r="Q12" s="1"/>
      <c r="R12" s="1"/>
      <c r="S12" s="1"/>
      <c r="T12" s="1"/>
      <c r="U12" s="1"/>
      <c r="V12" s="1"/>
      <c r="W12" s="1"/>
      <c r="X12" s="1"/>
      <c r="Y12" s="1"/>
      <c r="Z12" s="1"/>
    </row>
    <row r="13" spans="1:26" ht="60.75" customHeight="1" x14ac:dyDescent="0.25">
      <c r="A13" s="3">
        <v>11</v>
      </c>
      <c r="B13" s="5" t="s">
        <v>27</v>
      </c>
      <c r="C13" s="302"/>
      <c r="D13" s="110" t="s">
        <v>325</v>
      </c>
      <c r="E13" s="109" t="s">
        <v>326</v>
      </c>
      <c r="F13" s="300"/>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77"/>
      <c r="D14" s="111">
        <v>0.96</v>
      </c>
      <c r="E14" s="112">
        <v>1</v>
      </c>
      <c r="F14" s="300"/>
      <c r="G14" s="1"/>
      <c r="H14" s="1"/>
      <c r="I14" s="1"/>
      <c r="J14" s="1"/>
      <c r="K14" s="1"/>
      <c r="L14" s="1"/>
      <c r="M14" s="1"/>
      <c r="N14" s="1"/>
      <c r="O14" s="1"/>
      <c r="P14" s="1"/>
      <c r="Q14" s="1"/>
      <c r="R14" s="1"/>
      <c r="S14" s="1"/>
      <c r="T14" s="1"/>
      <c r="U14" s="1"/>
      <c r="V14" s="1"/>
      <c r="W14" s="1"/>
      <c r="X14" s="1"/>
      <c r="Y14" s="1"/>
      <c r="Z14" s="1"/>
    </row>
    <row r="15" spans="1:26" ht="66.75" customHeight="1" x14ac:dyDescent="0.25">
      <c r="A15" s="3">
        <v>13</v>
      </c>
      <c r="B15" s="5" t="s">
        <v>32</v>
      </c>
      <c r="C15" s="272"/>
      <c r="D15" s="110" t="s">
        <v>327</v>
      </c>
      <c r="E15" s="109" t="s">
        <v>328</v>
      </c>
      <c r="F15" s="300"/>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113"/>
      <c r="D16" s="114" t="s">
        <v>278</v>
      </c>
      <c r="E16" s="115"/>
      <c r="F16" s="300"/>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5"/>
      <c r="D17" s="116" t="s">
        <v>303</v>
      </c>
      <c r="E17" s="117"/>
      <c r="F17" s="300"/>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7"/>
      <c r="D18" s="118" t="s">
        <v>329</v>
      </c>
      <c r="E18" s="119"/>
      <c r="F18" s="301"/>
      <c r="G18" s="1"/>
      <c r="H18" s="1"/>
      <c r="I18" s="1"/>
      <c r="J18" s="1"/>
      <c r="K18" s="1"/>
      <c r="L18" s="1"/>
      <c r="M18" s="1"/>
      <c r="N18" s="1"/>
      <c r="O18" s="1"/>
      <c r="P18" s="1"/>
      <c r="Q18" s="1"/>
      <c r="R18" s="1"/>
      <c r="S18" s="1"/>
      <c r="T18" s="1"/>
      <c r="U18" s="1"/>
      <c r="V18" s="1"/>
      <c r="W18" s="1"/>
      <c r="X18" s="1"/>
      <c r="Y18" s="1"/>
      <c r="Z18" s="1"/>
    </row>
    <row r="19" spans="1:26" ht="21.75" customHeight="1" x14ac:dyDescent="0.25">
      <c r="A19" s="318"/>
      <c r="B19" s="317"/>
      <c r="C19" s="317"/>
      <c r="D19" s="317"/>
      <c r="E19" s="317"/>
      <c r="F19" s="317"/>
      <c r="G19" s="1"/>
      <c r="H19" s="1"/>
      <c r="I19" s="1"/>
      <c r="J19" s="1"/>
      <c r="K19" s="1"/>
      <c r="L19" s="1"/>
      <c r="M19" s="1"/>
      <c r="N19" s="1"/>
      <c r="O19" s="1"/>
      <c r="P19" s="1"/>
      <c r="Q19" s="1"/>
      <c r="R19" s="1"/>
      <c r="S19" s="1"/>
      <c r="T19" s="1"/>
      <c r="U19" s="1"/>
      <c r="V19" s="1"/>
      <c r="W19" s="1"/>
      <c r="X19" s="1"/>
      <c r="Y19" s="1"/>
      <c r="Z19" s="1"/>
    </row>
    <row r="20" spans="1:26" ht="15.75" x14ac:dyDescent="0.25">
      <c r="A20" s="23"/>
      <c r="B20" s="24"/>
      <c r="C20" s="25"/>
      <c r="D20" s="25"/>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23"/>
      <c r="B21" s="24"/>
      <c r="C21" s="25"/>
      <c r="D21" s="25"/>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23"/>
      <c r="B22" s="24"/>
      <c r="C22" s="25"/>
      <c r="D22" s="25"/>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23"/>
      <c r="B23" s="24"/>
      <c r="C23" s="25"/>
      <c r="D23" s="25"/>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23"/>
      <c r="B24" s="24"/>
      <c r="C24" s="25"/>
      <c r="D24" s="25"/>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23"/>
      <c r="B25" s="24"/>
      <c r="C25" s="25"/>
      <c r="D25" s="25"/>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23"/>
      <c r="B26" s="24"/>
      <c r="C26" s="25"/>
      <c r="D26" s="25"/>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23"/>
      <c r="B27" s="24"/>
      <c r="C27" s="25"/>
      <c r="D27" s="25"/>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23"/>
      <c r="B28" s="24"/>
      <c r="C28" s="25"/>
      <c r="D28" s="25"/>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23"/>
      <c r="B29" s="24"/>
      <c r="C29" s="25"/>
      <c r="D29" s="25"/>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23"/>
      <c r="B30" s="24"/>
      <c r="C30" s="25"/>
      <c r="D30" s="25"/>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3"/>
      <c r="B32" s="24"/>
      <c r="C32" s="25"/>
      <c r="D32" s="25"/>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3"/>
      <c r="B33" s="24"/>
      <c r="C33" s="25"/>
      <c r="D33" s="25"/>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23"/>
      <c r="B34" s="24"/>
      <c r="C34" s="25"/>
      <c r="D34" s="25"/>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23"/>
      <c r="B35" s="24"/>
      <c r="C35" s="25"/>
      <c r="D35" s="25"/>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3"/>
      <c r="B121" s="24"/>
      <c r="C121" s="25"/>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3"/>
      <c r="B122" s="24"/>
      <c r="C122" s="25"/>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3"/>
      <c r="B123" s="24"/>
      <c r="C123" s="25"/>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3"/>
      <c r="B124" s="24"/>
      <c r="C124" s="25"/>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3"/>
      <c r="B125" s="24"/>
      <c r="C125" s="25"/>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3"/>
      <c r="B126" s="24"/>
      <c r="C126" s="25"/>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3"/>
      <c r="B127" s="24"/>
      <c r="C127" s="25"/>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3"/>
      <c r="B128" s="24"/>
      <c r="C128" s="25"/>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3"/>
      <c r="B129" s="24"/>
      <c r="C129" s="25"/>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3"/>
      <c r="B130" s="24"/>
      <c r="C130" s="25"/>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3"/>
      <c r="B131" s="24"/>
      <c r="C131" s="25"/>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3"/>
      <c r="B132" s="24"/>
      <c r="C132" s="25"/>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3"/>
      <c r="B133" s="24"/>
      <c r="C133" s="25"/>
      <c r="D133" s="25"/>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3"/>
      <c r="B134" s="24"/>
      <c r="C134" s="25"/>
      <c r="D134" s="25"/>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3"/>
      <c r="B135" s="24"/>
      <c r="C135" s="25"/>
      <c r="D135" s="25"/>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3"/>
      <c r="B136" s="24"/>
      <c r="C136" s="25"/>
      <c r="D136" s="25"/>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3"/>
      <c r="B137" s="24"/>
      <c r="C137" s="25"/>
      <c r="D137" s="25"/>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3"/>
      <c r="B138" s="24"/>
      <c r="C138" s="25"/>
      <c r="D138" s="25"/>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3"/>
      <c r="B139" s="24"/>
      <c r="C139" s="25"/>
      <c r="D139" s="25"/>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3"/>
      <c r="B140" s="24"/>
      <c r="C140" s="25"/>
      <c r="D140" s="25"/>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3"/>
      <c r="B141" s="24"/>
      <c r="C141" s="25"/>
      <c r="D141" s="25"/>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3"/>
      <c r="B142" s="24"/>
      <c r="C142" s="25"/>
      <c r="D142" s="25"/>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23"/>
      <c r="B143" s="24"/>
      <c r="C143" s="25"/>
      <c r="D143" s="25"/>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23"/>
      <c r="B144" s="24"/>
      <c r="C144" s="25"/>
      <c r="D144" s="25"/>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23"/>
      <c r="B145" s="24"/>
      <c r="C145" s="25"/>
      <c r="D145" s="25"/>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23"/>
      <c r="B146" s="24"/>
      <c r="C146" s="25"/>
      <c r="D146" s="25"/>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23"/>
      <c r="B147" s="24"/>
      <c r="C147" s="25"/>
      <c r="D147" s="25"/>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23"/>
      <c r="B148" s="24"/>
      <c r="C148" s="25"/>
      <c r="D148" s="25"/>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23"/>
      <c r="B149" s="24"/>
      <c r="C149" s="25"/>
      <c r="D149" s="25"/>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23"/>
      <c r="B150" s="24"/>
      <c r="C150" s="25"/>
      <c r="D150" s="25"/>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23"/>
      <c r="B151" s="24"/>
      <c r="C151" s="25"/>
      <c r="D151" s="25"/>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23"/>
      <c r="B152" s="24"/>
      <c r="C152" s="25"/>
      <c r="D152" s="25"/>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23"/>
      <c r="B153" s="24"/>
      <c r="C153" s="25"/>
      <c r="D153" s="25"/>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23"/>
      <c r="B154" s="24"/>
      <c r="C154" s="25"/>
      <c r="D154" s="25"/>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23"/>
      <c r="B155" s="24"/>
      <c r="C155" s="25"/>
      <c r="D155" s="25"/>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23"/>
      <c r="B156" s="24"/>
      <c r="C156" s="25"/>
      <c r="D156" s="25"/>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23"/>
      <c r="B157" s="24"/>
      <c r="C157" s="25"/>
      <c r="D157" s="25"/>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23"/>
      <c r="B158" s="24"/>
      <c r="C158" s="25"/>
      <c r="D158" s="25"/>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23"/>
      <c r="B159" s="24"/>
      <c r="C159" s="25"/>
      <c r="D159" s="25"/>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23"/>
      <c r="B160" s="24"/>
      <c r="C160" s="25"/>
      <c r="D160" s="25"/>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23"/>
      <c r="B161" s="24"/>
      <c r="C161" s="25"/>
      <c r="D161" s="25"/>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23"/>
      <c r="B162" s="24"/>
      <c r="C162" s="25"/>
      <c r="D162" s="25"/>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23"/>
      <c r="B163" s="24"/>
      <c r="C163" s="25"/>
      <c r="D163" s="25"/>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23"/>
      <c r="B164" s="24"/>
      <c r="C164" s="25"/>
      <c r="D164" s="25"/>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23"/>
      <c r="B165" s="24"/>
      <c r="C165" s="25"/>
      <c r="D165" s="25"/>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23"/>
      <c r="B166" s="24"/>
      <c r="C166" s="25"/>
      <c r="D166" s="25"/>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23"/>
      <c r="B167" s="24"/>
      <c r="C167" s="25"/>
      <c r="D167" s="25"/>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23"/>
      <c r="B168" s="24"/>
      <c r="C168" s="25"/>
      <c r="D168" s="25"/>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23"/>
      <c r="B169" s="24"/>
      <c r="C169" s="25"/>
      <c r="D169" s="25"/>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23"/>
      <c r="B170" s="24"/>
      <c r="C170" s="25"/>
      <c r="D170" s="25"/>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23"/>
      <c r="B171" s="24"/>
      <c r="C171" s="25"/>
      <c r="D171" s="25"/>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19:F19"/>
    <mergeCell ref="A1:A2"/>
    <mergeCell ref="B1:F1"/>
    <mergeCell ref="C3:C7"/>
    <mergeCell ref="F3:F18"/>
    <mergeCell ref="C9:C10"/>
    <mergeCell ref="C13:C15"/>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defaultColWidth="14.42578125" defaultRowHeight="15" customHeight="1" x14ac:dyDescent="0.25"/>
  <cols>
    <col min="1" max="1" width="4.140625" customWidth="1"/>
    <col min="2" max="2" width="33.140625" customWidth="1"/>
    <col min="3" max="3" width="20" customWidth="1"/>
    <col min="4" max="4" width="44.42578125" customWidth="1"/>
    <col min="5" max="5" width="38.85546875" customWidth="1"/>
    <col min="6" max="6" width="30.140625" customWidth="1"/>
    <col min="7" max="26" width="8.85546875" customWidth="1"/>
  </cols>
  <sheetData>
    <row r="1" spans="1:26" ht="31.5" customHeight="1" x14ac:dyDescent="0.25">
      <c r="A1" s="293" t="s">
        <v>0</v>
      </c>
      <c r="B1" s="319" t="s">
        <v>1</v>
      </c>
      <c r="C1" s="296"/>
      <c r="D1" s="296"/>
      <c r="E1" s="296"/>
      <c r="F1" s="297"/>
      <c r="G1" s="1"/>
      <c r="H1" s="1"/>
      <c r="I1" s="1"/>
      <c r="J1" s="1"/>
      <c r="K1" s="1"/>
      <c r="L1" s="1"/>
      <c r="M1" s="1"/>
      <c r="N1" s="1"/>
      <c r="O1" s="1"/>
      <c r="P1" s="1"/>
      <c r="Q1" s="1"/>
      <c r="R1" s="1"/>
      <c r="S1" s="1"/>
      <c r="T1" s="1"/>
      <c r="U1" s="1"/>
      <c r="V1" s="1"/>
      <c r="W1" s="1"/>
      <c r="X1" s="1"/>
      <c r="Y1" s="1"/>
      <c r="Z1" s="1"/>
    </row>
    <row r="2" spans="1:26" ht="21" x14ac:dyDescent="0.35">
      <c r="A2" s="294"/>
      <c r="B2" s="201" t="s">
        <v>2</v>
      </c>
      <c r="C2" s="202" t="s">
        <v>3</v>
      </c>
      <c r="D2" s="203" t="s">
        <v>4</v>
      </c>
      <c r="E2" s="204" t="s">
        <v>5</v>
      </c>
      <c r="F2" s="205" t="s">
        <v>6</v>
      </c>
      <c r="G2" s="206"/>
      <c r="H2" s="206"/>
      <c r="I2" s="206"/>
      <c r="J2" s="206"/>
      <c r="K2" s="206"/>
      <c r="L2" s="206"/>
      <c r="M2" s="206"/>
      <c r="N2" s="206"/>
      <c r="O2" s="206"/>
      <c r="P2" s="206"/>
      <c r="Q2" s="206"/>
      <c r="R2" s="206"/>
      <c r="S2" s="206"/>
      <c r="T2" s="206"/>
      <c r="U2" s="206"/>
      <c r="V2" s="206"/>
      <c r="W2" s="206"/>
      <c r="X2" s="206"/>
      <c r="Y2" s="206"/>
      <c r="Z2" s="206"/>
    </row>
    <row r="3" spans="1:26" ht="18.75" customHeight="1" x14ac:dyDescent="0.25">
      <c r="A3" s="3">
        <v>1</v>
      </c>
      <c r="B3" s="5" t="s">
        <v>7</v>
      </c>
      <c r="C3" s="286" t="s">
        <v>319</v>
      </c>
      <c r="D3" s="91">
        <v>114930</v>
      </c>
      <c r="E3" s="92">
        <v>3900</v>
      </c>
      <c r="F3" s="314" t="s">
        <v>270</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93">
        <v>14</v>
      </c>
      <c r="E4" s="94">
        <v>1</v>
      </c>
      <c r="F4" s="300"/>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95">
        <v>8209</v>
      </c>
      <c r="E5" s="96">
        <v>3900</v>
      </c>
      <c r="F5" s="300"/>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97" t="s">
        <v>318</v>
      </c>
      <c r="E6" s="98">
        <v>1</v>
      </c>
      <c r="F6" s="300"/>
      <c r="G6" s="1"/>
      <c r="H6" s="1"/>
      <c r="I6" s="1"/>
      <c r="J6" s="1"/>
      <c r="K6" s="1"/>
      <c r="L6" s="1"/>
      <c r="M6" s="1"/>
      <c r="N6" s="1"/>
      <c r="O6" s="1"/>
      <c r="P6" s="1"/>
      <c r="Q6" s="1"/>
      <c r="R6" s="1"/>
      <c r="S6" s="1"/>
      <c r="T6" s="1"/>
      <c r="U6" s="1"/>
      <c r="V6" s="1"/>
      <c r="W6" s="1"/>
      <c r="X6" s="1"/>
      <c r="Y6" s="1"/>
      <c r="Z6" s="1"/>
    </row>
    <row r="7" spans="1:26" ht="36.75" customHeight="1" x14ac:dyDescent="0.25">
      <c r="A7" s="3">
        <v>5</v>
      </c>
      <c r="B7" s="8" t="s">
        <v>14</v>
      </c>
      <c r="C7" s="272"/>
      <c r="D7" s="9">
        <v>0</v>
      </c>
      <c r="E7" s="100">
        <v>0</v>
      </c>
      <c r="F7" s="300"/>
      <c r="G7" s="1"/>
      <c r="H7" s="1"/>
      <c r="I7" s="1"/>
      <c r="J7" s="1"/>
      <c r="K7" s="1"/>
      <c r="L7" s="1"/>
      <c r="M7" s="1"/>
      <c r="N7" s="1"/>
      <c r="O7" s="1"/>
      <c r="P7" s="1"/>
      <c r="Q7" s="1"/>
      <c r="R7" s="1"/>
      <c r="S7" s="1"/>
      <c r="T7" s="1"/>
      <c r="U7" s="1"/>
      <c r="V7" s="1"/>
      <c r="W7" s="1"/>
      <c r="X7" s="1"/>
      <c r="Y7" s="1"/>
      <c r="Z7" s="1"/>
    </row>
    <row r="8" spans="1:26" ht="72" customHeight="1" x14ac:dyDescent="0.25">
      <c r="A8" s="3">
        <v>6</v>
      </c>
      <c r="B8" s="252" t="s">
        <v>208</v>
      </c>
      <c r="C8" s="8" t="s">
        <v>330</v>
      </c>
      <c r="D8" s="103" t="s">
        <v>331</v>
      </c>
      <c r="E8" s="104" t="s">
        <v>332</v>
      </c>
      <c r="F8" s="300"/>
      <c r="G8" s="1"/>
      <c r="H8" s="1"/>
      <c r="I8" s="1"/>
      <c r="J8" s="1"/>
      <c r="K8" s="1"/>
      <c r="L8" s="1"/>
      <c r="M8" s="1"/>
      <c r="N8" s="1"/>
      <c r="O8" s="1"/>
      <c r="P8" s="1"/>
      <c r="Q8" s="1"/>
      <c r="R8" s="1"/>
      <c r="S8" s="1"/>
      <c r="T8" s="1"/>
      <c r="U8" s="1"/>
      <c r="V8" s="1"/>
      <c r="W8" s="1"/>
      <c r="X8" s="1"/>
      <c r="Y8" s="1"/>
      <c r="Z8" s="1"/>
    </row>
    <row r="9" spans="1:26" ht="57" customHeight="1" x14ac:dyDescent="0.25">
      <c r="A9" s="3">
        <v>7</v>
      </c>
      <c r="B9" s="8" t="s">
        <v>18</v>
      </c>
      <c r="C9" s="320"/>
      <c r="D9" s="106">
        <v>0</v>
      </c>
      <c r="E9" s="107">
        <v>0</v>
      </c>
      <c r="F9" s="300"/>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2"/>
      <c r="D10" s="106">
        <v>0</v>
      </c>
      <c r="E10" s="52">
        <v>0</v>
      </c>
      <c r="F10" s="300"/>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7"/>
      <c r="D11" s="108"/>
      <c r="E11" s="109"/>
      <c r="F11" s="300"/>
      <c r="G11" s="1"/>
      <c r="H11" s="1"/>
      <c r="I11" s="1"/>
      <c r="J11" s="1"/>
      <c r="K11" s="1"/>
      <c r="L11" s="1"/>
      <c r="M11" s="1"/>
      <c r="N11" s="1"/>
      <c r="O11" s="1"/>
      <c r="P11" s="1"/>
      <c r="Q11" s="1"/>
      <c r="R11" s="1"/>
      <c r="S11" s="1"/>
      <c r="T11" s="1"/>
      <c r="U11" s="1"/>
      <c r="V11" s="1"/>
      <c r="W11" s="1"/>
      <c r="X11" s="1"/>
      <c r="Y11" s="1"/>
      <c r="Z11" s="1"/>
    </row>
    <row r="12" spans="1:26" ht="63" customHeight="1" x14ac:dyDescent="0.25">
      <c r="A12" s="3">
        <v>10</v>
      </c>
      <c r="B12" s="5" t="s">
        <v>24</v>
      </c>
      <c r="C12" s="7"/>
      <c r="D12" s="108"/>
      <c r="E12" s="131"/>
      <c r="F12" s="300"/>
      <c r="G12" s="1"/>
      <c r="H12" s="1"/>
      <c r="I12" s="1"/>
      <c r="J12" s="1"/>
      <c r="K12" s="1"/>
      <c r="L12" s="1"/>
      <c r="M12" s="1"/>
      <c r="N12" s="1"/>
      <c r="O12" s="1"/>
      <c r="P12" s="1"/>
      <c r="Q12" s="1"/>
      <c r="R12" s="1"/>
      <c r="S12" s="1"/>
      <c r="T12" s="1"/>
      <c r="U12" s="1"/>
      <c r="V12" s="1"/>
      <c r="W12" s="1"/>
      <c r="X12" s="1"/>
      <c r="Y12" s="1"/>
      <c r="Z12" s="1"/>
    </row>
    <row r="13" spans="1:26" ht="60.75" customHeight="1" x14ac:dyDescent="0.25">
      <c r="A13" s="3">
        <v>11</v>
      </c>
      <c r="B13" s="5" t="s">
        <v>27</v>
      </c>
      <c r="C13" s="302"/>
      <c r="D13" s="110" t="s">
        <v>333</v>
      </c>
      <c r="E13" s="109" t="s">
        <v>334</v>
      </c>
      <c r="F13" s="300"/>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77"/>
      <c r="D14" s="111">
        <v>0.96</v>
      </c>
      <c r="E14" s="253">
        <v>1</v>
      </c>
      <c r="F14" s="300"/>
      <c r="G14" s="1"/>
      <c r="H14" s="1"/>
      <c r="I14" s="1"/>
      <c r="J14" s="1"/>
      <c r="K14" s="1"/>
      <c r="L14" s="1"/>
      <c r="M14" s="1"/>
      <c r="N14" s="1"/>
      <c r="O14" s="1"/>
      <c r="P14" s="1"/>
      <c r="Q14" s="1"/>
      <c r="R14" s="1"/>
      <c r="S14" s="1"/>
      <c r="T14" s="1"/>
      <c r="U14" s="1"/>
      <c r="V14" s="1"/>
      <c r="W14" s="1"/>
      <c r="X14" s="1"/>
      <c r="Y14" s="1"/>
      <c r="Z14" s="1"/>
    </row>
    <row r="15" spans="1:26" ht="66.75" customHeight="1" x14ac:dyDescent="0.25">
      <c r="A15" s="3">
        <v>13</v>
      </c>
      <c r="B15" s="5" t="s">
        <v>32</v>
      </c>
      <c r="C15" s="272"/>
      <c r="D15" s="110" t="s">
        <v>327</v>
      </c>
      <c r="E15" s="109"/>
      <c r="F15" s="300"/>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113"/>
      <c r="D16" s="114"/>
      <c r="E16" s="115" t="s">
        <v>335</v>
      </c>
      <c r="F16" s="300"/>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38</v>
      </c>
      <c r="C17" s="5"/>
      <c r="D17" s="116" t="s">
        <v>336</v>
      </c>
      <c r="E17" s="117"/>
      <c r="F17" s="300"/>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7"/>
      <c r="D18" s="118"/>
      <c r="E18" s="119"/>
      <c r="F18" s="301"/>
      <c r="G18" s="1"/>
      <c r="H18" s="1"/>
      <c r="I18" s="1"/>
      <c r="J18" s="1"/>
      <c r="K18" s="1"/>
      <c r="L18" s="1"/>
      <c r="M18" s="1"/>
      <c r="N18" s="1"/>
      <c r="O18" s="1"/>
      <c r="P18" s="1"/>
      <c r="Q18" s="1"/>
      <c r="R18" s="1"/>
      <c r="S18" s="1"/>
      <c r="T18" s="1"/>
      <c r="U18" s="1"/>
      <c r="V18" s="1"/>
      <c r="W18" s="1"/>
      <c r="X18" s="1"/>
      <c r="Y18" s="1"/>
      <c r="Z18" s="1"/>
    </row>
    <row r="19" spans="1:26" ht="21.75" customHeight="1" x14ac:dyDescent="0.25">
      <c r="A19" s="318"/>
      <c r="B19" s="317"/>
      <c r="C19" s="317"/>
      <c r="D19" s="317"/>
      <c r="E19" s="317"/>
      <c r="F19" s="317"/>
      <c r="G19" s="1"/>
      <c r="H19" s="1"/>
      <c r="I19" s="1"/>
      <c r="J19" s="1"/>
      <c r="K19" s="1"/>
      <c r="L19" s="1"/>
      <c r="M19" s="1"/>
      <c r="N19" s="1"/>
      <c r="O19" s="1"/>
      <c r="P19" s="1"/>
      <c r="Q19" s="1"/>
      <c r="R19" s="1"/>
      <c r="S19" s="1"/>
      <c r="T19" s="1"/>
      <c r="U19" s="1"/>
      <c r="V19" s="1"/>
      <c r="W19" s="1"/>
      <c r="X19" s="1"/>
      <c r="Y19" s="1"/>
      <c r="Z19" s="1"/>
    </row>
    <row r="20" spans="1:26" ht="15.75" x14ac:dyDescent="0.25">
      <c r="A20" s="23"/>
      <c r="B20" s="24"/>
      <c r="C20" s="25"/>
      <c r="D20" s="25"/>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23"/>
      <c r="B21" s="24"/>
      <c r="C21" s="25"/>
      <c r="D21" s="25"/>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23"/>
      <c r="B22" s="24"/>
      <c r="C22" s="25"/>
      <c r="D22" s="25"/>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23"/>
      <c r="B23" s="24"/>
      <c r="C23" s="25"/>
      <c r="D23" s="25"/>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23"/>
      <c r="B24" s="24"/>
      <c r="C24" s="25"/>
      <c r="D24" s="25"/>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23"/>
      <c r="B25" s="24"/>
      <c r="C25" s="25"/>
      <c r="D25" s="25"/>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23"/>
      <c r="B26" s="24"/>
      <c r="C26" s="25"/>
      <c r="D26" s="25"/>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23"/>
      <c r="B27" s="24"/>
      <c r="C27" s="25"/>
      <c r="D27" s="25"/>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23"/>
      <c r="B28" s="24"/>
      <c r="C28" s="25"/>
      <c r="D28" s="25"/>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23"/>
      <c r="B29" s="24"/>
      <c r="C29" s="25"/>
      <c r="D29" s="25"/>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23"/>
      <c r="B30" s="24"/>
      <c r="C30" s="25"/>
      <c r="D30" s="25"/>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3"/>
      <c r="B32" s="24"/>
      <c r="C32" s="25"/>
      <c r="D32" s="25"/>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3"/>
      <c r="B33" s="24"/>
      <c r="C33" s="25"/>
      <c r="D33" s="25"/>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23"/>
      <c r="B34" s="24"/>
      <c r="C34" s="25"/>
      <c r="D34" s="25"/>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23"/>
      <c r="B35" s="24"/>
      <c r="C35" s="25"/>
      <c r="D35" s="25"/>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3"/>
      <c r="B121" s="24"/>
      <c r="C121" s="25"/>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3"/>
      <c r="B122" s="24"/>
      <c r="C122" s="25"/>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3"/>
      <c r="B123" s="24"/>
      <c r="C123" s="25"/>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3"/>
      <c r="B124" s="24"/>
      <c r="C124" s="25"/>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3"/>
      <c r="B125" s="24"/>
      <c r="C125" s="25"/>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3"/>
      <c r="B126" s="24"/>
      <c r="C126" s="25"/>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3"/>
      <c r="B127" s="24"/>
      <c r="C127" s="25"/>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3"/>
      <c r="B128" s="24"/>
      <c r="C128" s="25"/>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3"/>
      <c r="B129" s="24"/>
      <c r="C129" s="25"/>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3"/>
      <c r="B130" s="24"/>
      <c r="C130" s="25"/>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3"/>
      <c r="B131" s="24"/>
      <c r="C131" s="25"/>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3"/>
      <c r="B132" s="24"/>
      <c r="C132" s="25"/>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3"/>
      <c r="B133" s="24"/>
      <c r="C133" s="25"/>
      <c r="D133" s="25"/>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3"/>
      <c r="B134" s="24"/>
      <c r="C134" s="25"/>
      <c r="D134" s="25"/>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3"/>
      <c r="B135" s="24"/>
      <c r="C135" s="25"/>
      <c r="D135" s="25"/>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3"/>
      <c r="B136" s="24"/>
      <c r="C136" s="25"/>
      <c r="D136" s="25"/>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3"/>
      <c r="B137" s="24"/>
      <c r="C137" s="25"/>
      <c r="D137" s="25"/>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3"/>
      <c r="B138" s="24"/>
      <c r="C138" s="25"/>
      <c r="D138" s="25"/>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3"/>
      <c r="B139" s="24"/>
      <c r="C139" s="25"/>
      <c r="D139" s="25"/>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3"/>
      <c r="B140" s="24"/>
      <c r="C140" s="25"/>
      <c r="D140" s="25"/>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3"/>
      <c r="B141" s="24"/>
      <c r="C141" s="25"/>
      <c r="D141" s="25"/>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3"/>
      <c r="B142" s="24"/>
      <c r="C142" s="25"/>
      <c r="D142" s="25"/>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23"/>
      <c r="B143" s="24"/>
      <c r="C143" s="25"/>
      <c r="D143" s="25"/>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23"/>
      <c r="B144" s="24"/>
      <c r="C144" s="25"/>
      <c r="D144" s="25"/>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23"/>
      <c r="B145" s="24"/>
      <c r="C145" s="25"/>
      <c r="D145" s="25"/>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23"/>
      <c r="B146" s="24"/>
      <c r="C146" s="25"/>
      <c r="D146" s="25"/>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23"/>
      <c r="B147" s="24"/>
      <c r="C147" s="25"/>
      <c r="D147" s="25"/>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23"/>
      <c r="B148" s="24"/>
      <c r="C148" s="25"/>
      <c r="D148" s="25"/>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23"/>
      <c r="B149" s="24"/>
      <c r="C149" s="25"/>
      <c r="D149" s="25"/>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23"/>
      <c r="B150" s="24"/>
      <c r="C150" s="25"/>
      <c r="D150" s="25"/>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23"/>
      <c r="B151" s="24"/>
      <c r="C151" s="25"/>
      <c r="D151" s="25"/>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23"/>
      <c r="B152" s="24"/>
      <c r="C152" s="25"/>
      <c r="D152" s="25"/>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23"/>
      <c r="B153" s="24"/>
      <c r="C153" s="25"/>
      <c r="D153" s="25"/>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23"/>
      <c r="B154" s="24"/>
      <c r="C154" s="25"/>
      <c r="D154" s="25"/>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23"/>
      <c r="B155" s="24"/>
      <c r="C155" s="25"/>
      <c r="D155" s="25"/>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23"/>
      <c r="B156" s="24"/>
      <c r="C156" s="25"/>
      <c r="D156" s="25"/>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23"/>
      <c r="B157" s="24"/>
      <c r="C157" s="25"/>
      <c r="D157" s="25"/>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23"/>
      <c r="B158" s="24"/>
      <c r="C158" s="25"/>
      <c r="D158" s="25"/>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23"/>
      <c r="B159" s="24"/>
      <c r="C159" s="25"/>
      <c r="D159" s="25"/>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23"/>
      <c r="B160" s="24"/>
      <c r="C160" s="25"/>
      <c r="D160" s="25"/>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23"/>
      <c r="B161" s="24"/>
      <c r="C161" s="25"/>
      <c r="D161" s="25"/>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23"/>
      <c r="B162" s="24"/>
      <c r="C162" s="25"/>
      <c r="D162" s="25"/>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23"/>
      <c r="B163" s="24"/>
      <c r="C163" s="25"/>
      <c r="D163" s="25"/>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23"/>
      <c r="B164" s="24"/>
      <c r="C164" s="25"/>
      <c r="D164" s="25"/>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23"/>
      <c r="B165" s="24"/>
      <c r="C165" s="25"/>
      <c r="D165" s="25"/>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23"/>
      <c r="B166" s="24"/>
      <c r="C166" s="25"/>
      <c r="D166" s="25"/>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23"/>
      <c r="B167" s="24"/>
      <c r="C167" s="25"/>
      <c r="D167" s="25"/>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23"/>
      <c r="B168" s="24"/>
      <c r="C168" s="25"/>
      <c r="D168" s="25"/>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23"/>
      <c r="B169" s="24"/>
      <c r="C169" s="25"/>
      <c r="D169" s="25"/>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23"/>
      <c r="B170" s="24"/>
      <c r="C170" s="25"/>
      <c r="D170" s="25"/>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23"/>
      <c r="B171" s="24"/>
      <c r="C171" s="25"/>
      <c r="D171" s="25"/>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19:F19"/>
    <mergeCell ref="A1:A2"/>
    <mergeCell ref="B1:F1"/>
    <mergeCell ref="C3:C7"/>
    <mergeCell ref="F3:F18"/>
    <mergeCell ref="C9:C10"/>
    <mergeCell ref="C13:C15"/>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defaultColWidth="14.42578125" defaultRowHeight="15" customHeight="1" x14ac:dyDescent="0.25"/>
  <cols>
    <col min="1" max="1" width="4.140625" customWidth="1"/>
    <col min="2" max="2" width="33.140625" customWidth="1"/>
    <col min="3" max="3" width="18.85546875" customWidth="1"/>
    <col min="4" max="4" width="38" customWidth="1"/>
    <col min="5" max="5" width="35.42578125" customWidth="1"/>
    <col min="6" max="6" width="30.140625" customWidth="1"/>
    <col min="7" max="26" width="8.85546875" customWidth="1"/>
  </cols>
  <sheetData>
    <row r="1" spans="1:26" ht="31.5" customHeight="1" x14ac:dyDescent="0.25">
      <c r="A1" s="293" t="s">
        <v>0</v>
      </c>
      <c r="B1" s="319" t="s">
        <v>1</v>
      </c>
      <c r="C1" s="296"/>
      <c r="D1" s="296"/>
      <c r="E1" s="296"/>
      <c r="F1" s="297"/>
      <c r="G1" s="1"/>
      <c r="H1" s="1"/>
      <c r="I1" s="1"/>
      <c r="J1" s="1"/>
      <c r="K1" s="1"/>
      <c r="L1" s="1"/>
      <c r="M1" s="1"/>
      <c r="N1" s="1"/>
      <c r="O1" s="1"/>
      <c r="P1" s="1"/>
      <c r="Q1" s="1"/>
      <c r="R1" s="1"/>
      <c r="S1" s="1"/>
      <c r="T1" s="1"/>
      <c r="U1" s="1"/>
      <c r="V1" s="1"/>
      <c r="W1" s="1"/>
      <c r="X1" s="1"/>
      <c r="Y1" s="1"/>
      <c r="Z1" s="1"/>
    </row>
    <row r="2" spans="1:26" ht="21" x14ac:dyDescent="0.35">
      <c r="A2" s="294"/>
      <c r="B2" s="201" t="s">
        <v>2</v>
      </c>
      <c r="C2" s="202" t="s">
        <v>3</v>
      </c>
      <c r="D2" s="203" t="s">
        <v>337</v>
      </c>
      <c r="E2" s="204" t="s">
        <v>5</v>
      </c>
      <c r="F2" s="205" t="s">
        <v>6</v>
      </c>
      <c r="G2" s="206"/>
      <c r="H2" s="206"/>
      <c r="I2" s="206"/>
      <c r="J2" s="206"/>
      <c r="K2" s="206"/>
      <c r="L2" s="206"/>
      <c r="M2" s="206"/>
      <c r="N2" s="206"/>
      <c r="O2" s="206"/>
      <c r="P2" s="206"/>
      <c r="Q2" s="206"/>
      <c r="R2" s="206"/>
      <c r="S2" s="206"/>
      <c r="T2" s="206"/>
      <c r="U2" s="206"/>
      <c r="V2" s="206"/>
      <c r="W2" s="206"/>
      <c r="X2" s="206"/>
      <c r="Y2" s="206"/>
      <c r="Z2" s="206"/>
    </row>
    <row r="3" spans="1:26" ht="18.75" customHeight="1" x14ac:dyDescent="0.25">
      <c r="A3" s="3">
        <v>1</v>
      </c>
      <c r="B3" s="5" t="s">
        <v>7</v>
      </c>
      <c r="C3" s="286" t="s">
        <v>330</v>
      </c>
      <c r="D3" s="91">
        <v>64290</v>
      </c>
      <c r="E3" s="92">
        <v>32217</v>
      </c>
      <c r="F3" s="314" t="s">
        <v>270</v>
      </c>
      <c r="G3" s="1"/>
      <c r="H3" s="1"/>
      <c r="I3" s="1"/>
      <c r="J3" s="1"/>
      <c r="K3" s="1"/>
      <c r="L3" s="1"/>
      <c r="M3" s="1"/>
      <c r="N3" s="1"/>
      <c r="O3" s="1"/>
      <c r="P3" s="1"/>
      <c r="Q3" s="1"/>
      <c r="R3" s="1"/>
      <c r="S3" s="1"/>
      <c r="T3" s="1"/>
      <c r="U3" s="1"/>
      <c r="V3" s="1"/>
      <c r="W3" s="1"/>
      <c r="X3" s="1"/>
      <c r="Y3" s="1"/>
      <c r="Z3" s="1"/>
    </row>
    <row r="4" spans="1:26" ht="21" customHeight="1" x14ac:dyDescent="0.25">
      <c r="A4" s="3">
        <v>2</v>
      </c>
      <c r="B4" s="5" t="s">
        <v>11</v>
      </c>
      <c r="C4" s="277"/>
      <c r="D4" s="93">
        <v>6</v>
      </c>
      <c r="E4" s="94">
        <v>5</v>
      </c>
      <c r="F4" s="300"/>
      <c r="G4" s="1"/>
      <c r="H4" s="1"/>
      <c r="I4" s="1"/>
      <c r="J4" s="1"/>
      <c r="K4" s="1"/>
      <c r="L4" s="1"/>
      <c r="M4" s="1"/>
      <c r="N4" s="1"/>
      <c r="O4" s="1"/>
      <c r="P4" s="1"/>
      <c r="Q4" s="1"/>
      <c r="R4" s="1"/>
      <c r="S4" s="1"/>
      <c r="T4" s="1"/>
      <c r="U4" s="1"/>
      <c r="V4" s="1"/>
      <c r="W4" s="1"/>
      <c r="X4" s="1"/>
      <c r="Y4" s="1"/>
      <c r="Z4" s="1"/>
    </row>
    <row r="5" spans="1:26" ht="19.5" customHeight="1" x14ac:dyDescent="0.25">
      <c r="A5" s="3">
        <v>3</v>
      </c>
      <c r="B5" s="5" t="s">
        <v>12</v>
      </c>
      <c r="C5" s="277"/>
      <c r="D5" s="95">
        <v>10715</v>
      </c>
      <c r="E5" s="96">
        <v>6443</v>
      </c>
      <c r="F5" s="300"/>
      <c r="G5" s="1"/>
      <c r="H5" s="1"/>
      <c r="I5" s="1"/>
      <c r="J5" s="1"/>
      <c r="K5" s="1"/>
      <c r="L5" s="1"/>
      <c r="M5" s="1"/>
      <c r="N5" s="1"/>
      <c r="O5" s="1"/>
      <c r="P5" s="1"/>
      <c r="Q5" s="1"/>
      <c r="R5" s="1"/>
      <c r="S5" s="1"/>
      <c r="T5" s="1"/>
      <c r="U5" s="1"/>
      <c r="V5" s="1"/>
      <c r="W5" s="1"/>
      <c r="X5" s="1"/>
      <c r="Y5" s="1"/>
      <c r="Z5" s="1"/>
    </row>
    <row r="6" spans="1:26" ht="29.25" customHeight="1" x14ac:dyDescent="0.25">
      <c r="A6" s="3">
        <v>4</v>
      </c>
      <c r="B6" s="5" t="s">
        <v>13</v>
      </c>
      <c r="C6" s="277"/>
      <c r="D6" s="97">
        <v>0</v>
      </c>
      <c r="E6" s="98">
        <v>1</v>
      </c>
      <c r="F6" s="300"/>
      <c r="G6" s="1"/>
      <c r="H6" s="1"/>
      <c r="I6" s="1"/>
      <c r="J6" s="1"/>
      <c r="K6" s="1"/>
      <c r="L6" s="1"/>
      <c r="M6" s="1"/>
      <c r="N6" s="1"/>
      <c r="O6" s="1"/>
      <c r="P6" s="1"/>
      <c r="Q6" s="1"/>
      <c r="R6" s="1"/>
      <c r="S6" s="1"/>
      <c r="T6" s="1"/>
      <c r="U6" s="1"/>
      <c r="V6" s="1"/>
      <c r="W6" s="1"/>
      <c r="X6" s="1"/>
      <c r="Y6" s="1"/>
      <c r="Z6" s="1"/>
    </row>
    <row r="7" spans="1:26" ht="36.75" customHeight="1" x14ac:dyDescent="0.25">
      <c r="A7" s="3">
        <v>5</v>
      </c>
      <c r="B7" s="8" t="s">
        <v>14</v>
      </c>
      <c r="C7" s="272"/>
      <c r="D7" s="9">
        <v>0</v>
      </c>
      <c r="E7" s="254">
        <v>0</v>
      </c>
      <c r="F7" s="300"/>
      <c r="G7" s="1"/>
      <c r="H7" s="1"/>
      <c r="I7" s="1"/>
      <c r="J7" s="1"/>
      <c r="K7" s="1"/>
      <c r="L7" s="1"/>
      <c r="M7" s="1"/>
      <c r="N7" s="1"/>
      <c r="O7" s="1"/>
      <c r="P7" s="1"/>
      <c r="Q7" s="1"/>
      <c r="R7" s="1"/>
      <c r="S7" s="1"/>
      <c r="T7" s="1"/>
      <c r="U7" s="1"/>
      <c r="V7" s="1"/>
      <c r="W7" s="1"/>
      <c r="X7" s="1"/>
      <c r="Y7" s="1"/>
      <c r="Z7" s="1"/>
    </row>
    <row r="8" spans="1:26" ht="72" customHeight="1" x14ac:dyDescent="0.25">
      <c r="A8" s="3">
        <v>6</v>
      </c>
      <c r="B8" s="252" t="s">
        <v>208</v>
      </c>
      <c r="C8" s="8"/>
      <c r="D8" s="255"/>
      <c r="E8" s="104"/>
      <c r="F8" s="300"/>
      <c r="G8" s="1"/>
      <c r="H8" s="1"/>
      <c r="I8" s="1"/>
      <c r="J8" s="1"/>
      <c r="K8" s="1"/>
      <c r="L8" s="1"/>
      <c r="M8" s="1"/>
      <c r="N8" s="1"/>
      <c r="O8" s="1"/>
      <c r="P8" s="1"/>
      <c r="Q8" s="1"/>
      <c r="R8" s="1"/>
      <c r="S8" s="1"/>
      <c r="T8" s="1"/>
      <c r="U8" s="1"/>
      <c r="V8" s="1"/>
      <c r="W8" s="1"/>
      <c r="X8" s="1"/>
      <c r="Y8" s="1"/>
      <c r="Z8" s="1"/>
    </row>
    <row r="9" spans="1:26" ht="57" customHeight="1" x14ac:dyDescent="0.25">
      <c r="A9" s="3">
        <v>7</v>
      </c>
      <c r="B9" s="8" t="s">
        <v>18</v>
      </c>
      <c r="C9" s="320"/>
      <c r="D9" s="106">
        <v>0</v>
      </c>
      <c r="E9" s="107">
        <v>0</v>
      </c>
      <c r="F9" s="300"/>
      <c r="G9" s="1"/>
      <c r="H9" s="1"/>
      <c r="I9" s="1"/>
      <c r="J9" s="1"/>
      <c r="K9" s="1"/>
      <c r="L9" s="1"/>
      <c r="M9" s="1"/>
      <c r="N9" s="1"/>
      <c r="O9" s="1"/>
      <c r="P9" s="1"/>
      <c r="Q9" s="1"/>
      <c r="R9" s="1"/>
      <c r="S9" s="1"/>
      <c r="T9" s="1"/>
      <c r="U9" s="1"/>
      <c r="V9" s="1"/>
      <c r="W9" s="1"/>
      <c r="X9" s="1"/>
      <c r="Y9" s="1"/>
      <c r="Z9" s="1"/>
    </row>
    <row r="10" spans="1:26" ht="43.5" customHeight="1" x14ac:dyDescent="0.25">
      <c r="A10" s="3">
        <v>8</v>
      </c>
      <c r="B10" s="5" t="s">
        <v>19</v>
      </c>
      <c r="C10" s="272"/>
      <c r="D10" s="106">
        <v>0</v>
      </c>
      <c r="E10" s="52">
        <v>0</v>
      </c>
      <c r="F10" s="300"/>
      <c r="G10" s="1"/>
      <c r="H10" s="1"/>
      <c r="I10" s="1"/>
      <c r="J10" s="1"/>
      <c r="K10" s="1"/>
      <c r="L10" s="1"/>
      <c r="M10" s="1"/>
      <c r="N10" s="1"/>
      <c r="O10" s="1"/>
      <c r="P10" s="1"/>
      <c r="Q10" s="1"/>
      <c r="R10" s="1"/>
      <c r="S10" s="1"/>
      <c r="T10" s="1"/>
      <c r="U10" s="1"/>
      <c r="V10" s="1"/>
      <c r="W10" s="1"/>
      <c r="X10" s="1"/>
      <c r="Y10" s="1"/>
      <c r="Z10" s="1"/>
    </row>
    <row r="11" spans="1:26" ht="90.75" customHeight="1" x14ac:dyDescent="0.25">
      <c r="A11" s="3">
        <v>9</v>
      </c>
      <c r="B11" s="5" t="s">
        <v>20</v>
      </c>
      <c r="C11" s="7"/>
      <c r="D11" s="108"/>
      <c r="E11" s="109"/>
      <c r="F11" s="300"/>
      <c r="G11" s="1"/>
      <c r="H11" s="1"/>
      <c r="I11" s="1"/>
      <c r="J11" s="1"/>
      <c r="K11" s="1"/>
      <c r="L11" s="1"/>
      <c r="M11" s="1"/>
      <c r="N11" s="1"/>
      <c r="O11" s="1"/>
      <c r="P11" s="1"/>
      <c r="Q11" s="1"/>
      <c r="R11" s="1"/>
      <c r="S11" s="1"/>
      <c r="T11" s="1"/>
      <c r="U11" s="1"/>
      <c r="V11" s="1"/>
      <c r="W11" s="1"/>
      <c r="X11" s="1"/>
      <c r="Y11" s="1"/>
      <c r="Z11" s="1"/>
    </row>
    <row r="12" spans="1:26" ht="63" customHeight="1" x14ac:dyDescent="0.25">
      <c r="A12" s="3">
        <v>10</v>
      </c>
      <c r="B12" s="5" t="s">
        <v>24</v>
      </c>
      <c r="C12" s="7"/>
      <c r="D12" s="108"/>
      <c r="E12" s="131"/>
      <c r="F12" s="300"/>
      <c r="G12" s="1"/>
      <c r="H12" s="1"/>
      <c r="I12" s="1"/>
      <c r="J12" s="1"/>
      <c r="K12" s="1"/>
      <c r="L12" s="1"/>
      <c r="M12" s="1"/>
      <c r="N12" s="1"/>
      <c r="O12" s="1"/>
      <c r="P12" s="1"/>
      <c r="Q12" s="1"/>
      <c r="R12" s="1"/>
      <c r="S12" s="1"/>
      <c r="T12" s="1"/>
      <c r="U12" s="1"/>
      <c r="V12" s="1"/>
      <c r="W12" s="1"/>
      <c r="X12" s="1"/>
      <c r="Y12" s="1"/>
      <c r="Z12" s="1"/>
    </row>
    <row r="13" spans="1:26" ht="60.75" customHeight="1" x14ac:dyDescent="0.25">
      <c r="A13" s="3">
        <v>11</v>
      </c>
      <c r="B13" s="5" t="s">
        <v>27</v>
      </c>
      <c r="C13" s="302"/>
      <c r="D13" s="110" t="s">
        <v>338</v>
      </c>
      <c r="E13" s="109" t="s">
        <v>339</v>
      </c>
      <c r="F13" s="300"/>
      <c r="G13" s="1"/>
      <c r="H13" s="1"/>
      <c r="I13" s="1"/>
      <c r="J13" s="1"/>
      <c r="K13" s="1"/>
      <c r="L13" s="1"/>
      <c r="M13" s="1"/>
      <c r="N13" s="1"/>
      <c r="O13" s="1"/>
      <c r="P13" s="1"/>
      <c r="Q13" s="1"/>
      <c r="R13" s="1"/>
      <c r="S13" s="1"/>
      <c r="T13" s="1"/>
      <c r="U13" s="1"/>
      <c r="V13" s="1"/>
      <c r="W13" s="1"/>
      <c r="X13" s="1"/>
      <c r="Y13" s="1"/>
      <c r="Z13" s="1"/>
    </row>
    <row r="14" spans="1:26" ht="52.5" customHeight="1" x14ac:dyDescent="0.25">
      <c r="A14" s="3">
        <v>12</v>
      </c>
      <c r="B14" s="8" t="s">
        <v>30</v>
      </c>
      <c r="C14" s="277"/>
      <c r="D14" s="111">
        <v>1</v>
      </c>
      <c r="E14" s="253">
        <v>1</v>
      </c>
      <c r="F14" s="300"/>
      <c r="G14" s="1"/>
      <c r="H14" s="1"/>
      <c r="I14" s="1"/>
      <c r="J14" s="1"/>
      <c r="K14" s="1"/>
      <c r="L14" s="1"/>
      <c r="M14" s="1"/>
      <c r="N14" s="1"/>
      <c r="O14" s="1"/>
      <c r="P14" s="1"/>
      <c r="Q14" s="1"/>
      <c r="R14" s="1"/>
      <c r="S14" s="1"/>
      <c r="T14" s="1"/>
      <c r="U14" s="1"/>
      <c r="V14" s="1"/>
      <c r="W14" s="1"/>
      <c r="X14" s="1"/>
      <c r="Y14" s="1"/>
      <c r="Z14" s="1"/>
    </row>
    <row r="15" spans="1:26" ht="66.75" customHeight="1" x14ac:dyDescent="0.25">
      <c r="A15" s="3">
        <v>13</v>
      </c>
      <c r="B15" s="5" t="s">
        <v>32</v>
      </c>
      <c r="C15" s="272"/>
      <c r="D15" s="110" t="s">
        <v>340</v>
      </c>
      <c r="E15" s="109" t="s">
        <v>341</v>
      </c>
      <c r="F15" s="300"/>
      <c r="G15" s="1"/>
      <c r="H15" s="1"/>
      <c r="I15" s="1"/>
      <c r="J15" s="1"/>
      <c r="K15" s="1"/>
      <c r="L15" s="1"/>
      <c r="M15" s="1"/>
      <c r="N15" s="1"/>
      <c r="O15" s="1"/>
      <c r="P15" s="1"/>
      <c r="Q15" s="1"/>
      <c r="R15" s="1"/>
      <c r="S15" s="1"/>
      <c r="T15" s="1"/>
      <c r="U15" s="1"/>
      <c r="V15" s="1"/>
      <c r="W15" s="1"/>
      <c r="X15" s="1"/>
      <c r="Y15" s="1"/>
      <c r="Z15" s="1"/>
    </row>
    <row r="16" spans="1:26" ht="97.5" customHeight="1" x14ac:dyDescent="0.25">
      <c r="A16" s="3">
        <v>14</v>
      </c>
      <c r="B16" s="8" t="s">
        <v>35</v>
      </c>
      <c r="C16" s="113"/>
      <c r="D16" s="114" t="s">
        <v>342</v>
      </c>
      <c r="E16" s="115" t="s">
        <v>343</v>
      </c>
      <c r="F16" s="300"/>
      <c r="G16" s="1"/>
      <c r="H16" s="1"/>
      <c r="I16" s="1"/>
      <c r="J16" s="1"/>
      <c r="K16" s="1"/>
      <c r="L16" s="1"/>
      <c r="M16" s="1"/>
      <c r="N16" s="1"/>
      <c r="O16" s="1"/>
      <c r="P16" s="1"/>
      <c r="Q16" s="1"/>
      <c r="R16" s="1"/>
      <c r="S16" s="1"/>
      <c r="T16" s="1"/>
      <c r="U16" s="1"/>
      <c r="V16" s="1"/>
      <c r="W16" s="1"/>
      <c r="X16" s="1"/>
      <c r="Y16" s="1"/>
      <c r="Z16" s="1"/>
    </row>
    <row r="17" spans="1:26" ht="90.75" customHeight="1" x14ac:dyDescent="0.25">
      <c r="A17" s="3">
        <v>15</v>
      </c>
      <c r="B17" s="5" t="s">
        <v>344</v>
      </c>
      <c r="C17" s="5"/>
      <c r="D17" s="116" t="s">
        <v>345</v>
      </c>
      <c r="E17" s="117" t="s">
        <v>345</v>
      </c>
      <c r="F17" s="300"/>
      <c r="G17" s="1"/>
      <c r="H17" s="1"/>
      <c r="I17" s="1"/>
      <c r="J17" s="1"/>
      <c r="K17" s="1"/>
      <c r="L17" s="1"/>
      <c r="M17" s="1"/>
      <c r="N17" s="1"/>
      <c r="O17" s="1"/>
      <c r="P17" s="1"/>
      <c r="Q17" s="1"/>
      <c r="R17" s="1"/>
      <c r="S17" s="1"/>
      <c r="T17" s="1"/>
      <c r="U17" s="1"/>
      <c r="V17" s="1"/>
      <c r="W17" s="1"/>
      <c r="X17" s="1"/>
      <c r="Y17" s="1"/>
      <c r="Z17" s="1"/>
    </row>
    <row r="18" spans="1:26" ht="133.5" customHeight="1" x14ac:dyDescent="0.25">
      <c r="A18" s="3">
        <v>16</v>
      </c>
      <c r="B18" s="5" t="s">
        <v>41</v>
      </c>
      <c r="C18" s="7"/>
      <c r="D18" s="118"/>
      <c r="E18" s="119"/>
      <c r="F18" s="301"/>
      <c r="G18" s="1"/>
      <c r="H18" s="1"/>
      <c r="I18" s="1"/>
      <c r="J18" s="1"/>
      <c r="K18" s="1"/>
      <c r="L18" s="1"/>
      <c r="M18" s="1"/>
      <c r="N18" s="1"/>
      <c r="O18" s="1"/>
      <c r="P18" s="1"/>
      <c r="Q18" s="1"/>
      <c r="R18" s="1"/>
      <c r="S18" s="1"/>
      <c r="T18" s="1"/>
      <c r="U18" s="1"/>
      <c r="V18" s="1"/>
      <c r="W18" s="1"/>
      <c r="X18" s="1"/>
      <c r="Y18" s="1"/>
      <c r="Z18" s="1"/>
    </row>
    <row r="19" spans="1:26" ht="21.75" customHeight="1" x14ac:dyDescent="0.25">
      <c r="A19" s="318"/>
      <c r="B19" s="317"/>
      <c r="C19" s="317"/>
      <c r="D19" s="317"/>
      <c r="E19" s="317"/>
      <c r="F19" s="317"/>
      <c r="G19" s="1"/>
      <c r="H19" s="1"/>
      <c r="I19" s="1"/>
      <c r="J19" s="1"/>
      <c r="K19" s="1"/>
      <c r="L19" s="1"/>
      <c r="M19" s="1"/>
      <c r="N19" s="1"/>
      <c r="O19" s="1"/>
      <c r="P19" s="1"/>
      <c r="Q19" s="1"/>
      <c r="R19" s="1"/>
      <c r="S19" s="1"/>
      <c r="T19" s="1"/>
      <c r="U19" s="1"/>
      <c r="V19" s="1"/>
      <c r="W19" s="1"/>
      <c r="X19" s="1"/>
      <c r="Y19" s="1"/>
      <c r="Z19" s="1"/>
    </row>
    <row r="20" spans="1:26" ht="15.75" x14ac:dyDescent="0.25">
      <c r="A20" s="23"/>
      <c r="B20" s="24"/>
      <c r="C20" s="25"/>
      <c r="D20" s="25"/>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23"/>
      <c r="B21" s="24"/>
      <c r="C21" s="25"/>
      <c r="D21" s="25"/>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23"/>
      <c r="B22" s="24"/>
      <c r="C22" s="25"/>
      <c r="D22" s="25"/>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23"/>
      <c r="B23" s="24"/>
      <c r="C23" s="25"/>
      <c r="D23" s="25"/>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23"/>
      <c r="B24" s="24"/>
      <c r="C24" s="25"/>
      <c r="D24" s="25"/>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23"/>
      <c r="B25" s="24"/>
      <c r="C25" s="25"/>
      <c r="D25" s="25"/>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23"/>
      <c r="B26" s="24"/>
      <c r="C26" s="25"/>
      <c r="D26" s="25"/>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23"/>
      <c r="B27" s="24"/>
      <c r="C27" s="25"/>
      <c r="D27" s="25"/>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23"/>
      <c r="B28" s="24"/>
      <c r="C28" s="25"/>
      <c r="D28" s="25"/>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23"/>
      <c r="B29" s="24"/>
      <c r="C29" s="25"/>
      <c r="D29" s="25"/>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23"/>
      <c r="B30" s="24"/>
      <c r="C30" s="25"/>
      <c r="D30" s="25"/>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23"/>
      <c r="B31" s="24"/>
      <c r="C31" s="25"/>
      <c r="D31" s="25"/>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23"/>
      <c r="B32" s="24"/>
      <c r="C32" s="25"/>
      <c r="D32" s="25"/>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23"/>
      <c r="B33" s="24"/>
      <c r="C33" s="25"/>
      <c r="D33" s="25"/>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23"/>
      <c r="B34" s="24"/>
      <c r="C34" s="25"/>
      <c r="D34" s="25"/>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23"/>
      <c r="B35" s="24"/>
      <c r="C35" s="25"/>
      <c r="D35" s="25"/>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23"/>
      <c r="B36" s="24"/>
      <c r="C36" s="25"/>
      <c r="D36" s="25"/>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23"/>
      <c r="B37" s="24"/>
      <c r="C37" s="25"/>
      <c r="D37" s="25"/>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24"/>
      <c r="C38" s="25"/>
      <c r="D38" s="25"/>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24"/>
      <c r="C39" s="25"/>
      <c r="D39" s="25"/>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24"/>
      <c r="C40" s="25"/>
      <c r="D40" s="25"/>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24"/>
      <c r="C41" s="25"/>
      <c r="D41" s="25"/>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24"/>
      <c r="C42" s="25"/>
      <c r="D42" s="25"/>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24"/>
      <c r="C43" s="25"/>
      <c r="D43" s="25"/>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24"/>
      <c r="C44" s="25"/>
      <c r="D44" s="25"/>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24"/>
      <c r="C45" s="25"/>
      <c r="D45" s="25"/>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24"/>
      <c r="C46" s="25"/>
      <c r="D46" s="25"/>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24"/>
      <c r="C47" s="25"/>
      <c r="D47" s="25"/>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24"/>
      <c r="C48" s="25"/>
      <c r="D48" s="25"/>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24"/>
      <c r="C49" s="25"/>
      <c r="D49" s="25"/>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24"/>
      <c r="C50" s="25"/>
      <c r="D50" s="25"/>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24"/>
      <c r="C51" s="25"/>
      <c r="D51" s="25"/>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24"/>
      <c r="C52" s="25"/>
      <c r="D52" s="25"/>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24"/>
      <c r="C53" s="25"/>
      <c r="D53" s="25"/>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24"/>
      <c r="C54" s="25"/>
      <c r="D54" s="25"/>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24"/>
      <c r="C55" s="25"/>
      <c r="D55" s="25"/>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24"/>
      <c r="C56" s="25"/>
      <c r="D56" s="25"/>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24"/>
      <c r="C57" s="25"/>
      <c r="D57" s="25"/>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24"/>
      <c r="C58" s="25"/>
      <c r="D58" s="25"/>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24"/>
      <c r="C59" s="25"/>
      <c r="D59" s="25"/>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24"/>
      <c r="C60" s="25"/>
      <c r="D60" s="25"/>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24"/>
      <c r="C61" s="25"/>
      <c r="D61" s="25"/>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24"/>
      <c r="C62" s="25"/>
      <c r="D62" s="25"/>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24"/>
      <c r="C63" s="25"/>
      <c r="D63" s="25"/>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24"/>
      <c r="C64" s="25"/>
      <c r="D64" s="25"/>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24"/>
      <c r="C65" s="25"/>
      <c r="D65" s="25"/>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24"/>
      <c r="C66" s="25"/>
      <c r="D66" s="25"/>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24"/>
      <c r="C67" s="25"/>
      <c r="D67" s="25"/>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24"/>
      <c r="C68" s="25"/>
      <c r="D68" s="25"/>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24"/>
      <c r="C69" s="25"/>
      <c r="D69" s="25"/>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24"/>
      <c r="C70" s="25"/>
      <c r="D70" s="25"/>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24"/>
      <c r="C71" s="25"/>
      <c r="D71" s="25"/>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24"/>
      <c r="C72" s="25"/>
      <c r="D72" s="25"/>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24"/>
      <c r="C73" s="25"/>
      <c r="D73" s="25"/>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24"/>
      <c r="C74" s="25"/>
      <c r="D74" s="25"/>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24"/>
      <c r="C75" s="25"/>
      <c r="D75" s="25"/>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24"/>
      <c r="C76" s="25"/>
      <c r="D76" s="25"/>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24"/>
      <c r="C77" s="25"/>
      <c r="D77" s="25"/>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24"/>
      <c r="C78" s="25"/>
      <c r="D78" s="25"/>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24"/>
      <c r="C79" s="25"/>
      <c r="D79" s="25"/>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24"/>
      <c r="C80" s="25"/>
      <c r="D80" s="25"/>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24"/>
      <c r="C81" s="25"/>
      <c r="D81" s="25"/>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24"/>
      <c r="C82" s="25"/>
      <c r="D82" s="25"/>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24"/>
      <c r="C83" s="25"/>
      <c r="D83" s="25"/>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24"/>
      <c r="C84" s="25"/>
      <c r="D84" s="25"/>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24"/>
      <c r="C85" s="25"/>
      <c r="D85" s="25"/>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24"/>
      <c r="C86" s="25"/>
      <c r="D86" s="25"/>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24"/>
      <c r="C87" s="25"/>
      <c r="D87" s="25"/>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24"/>
      <c r="C88" s="25"/>
      <c r="D88" s="25"/>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24"/>
      <c r="C89" s="25"/>
      <c r="D89" s="25"/>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24"/>
      <c r="C90" s="25"/>
      <c r="D90" s="25"/>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24"/>
      <c r="C91" s="25"/>
      <c r="D91" s="25"/>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24"/>
      <c r="C92" s="25"/>
      <c r="D92" s="25"/>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24"/>
      <c r="C93" s="25"/>
      <c r="D93" s="25"/>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24"/>
      <c r="C94" s="25"/>
      <c r="D94" s="25"/>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24"/>
      <c r="C95" s="25"/>
      <c r="D95" s="25"/>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24"/>
      <c r="C96" s="25"/>
      <c r="D96" s="25"/>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24"/>
      <c r="C97" s="25"/>
      <c r="D97" s="25"/>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24"/>
      <c r="C98" s="25"/>
      <c r="D98" s="25"/>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24"/>
      <c r="C99" s="25"/>
      <c r="D99" s="2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24"/>
      <c r="C100" s="25"/>
      <c r="D100" s="2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24"/>
      <c r="C101" s="25"/>
      <c r="D101" s="2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24"/>
      <c r="C102" s="25"/>
      <c r="D102" s="2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24"/>
      <c r="C103" s="25"/>
      <c r="D103" s="2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24"/>
      <c r="C104" s="25"/>
      <c r="D104" s="2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24"/>
      <c r="C105" s="25"/>
      <c r="D105" s="2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24"/>
      <c r="C106" s="25"/>
      <c r="D106" s="2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24"/>
      <c r="C107" s="25"/>
      <c r="D107" s="2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24"/>
      <c r="C108" s="25"/>
      <c r="D108" s="2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24"/>
      <c r="C109" s="25"/>
      <c r="D109" s="2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24"/>
      <c r="C110" s="25"/>
      <c r="D110" s="2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24"/>
      <c r="C111" s="25"/>
      <c r="D111" s="2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24"/>
      <c r="C112" s="25"/>
      <c r="D112" s="2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24"/>
      <c r="C113" s="25"/>
      <c r="D113" s="2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24"/>
      <c r="C114" s="25"/>
      <c r="D114" s="2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24"/>
      <c r="C115" s="25"/>
      <c r="D115" s="2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24"/>
      <c r="C116" s="25"/>
      <c r="D116" s="2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24"/>
      <c r="C117" s="25"/>
      <c r="D117" s="2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24"/>
      <c r="C118" s="25"/>
      <c r="D118" s="2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24"/>
      <c r="C119" s="25"/>
      <c r="D119" s="2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24"/>
      <c r="C120" s="25"/>
      <c r="D120" s="2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3"/>
      <c r="B121" s="24"/>
      <c r="C121" s="25"/>
      <c r="D121" s="2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3"/>
      <c r="B122" s="24"/>
      <c r="C122" s="25"/>
      <c r="D122" s="2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3"/>
      <c r="B123" s="24"/>
      <c r="C123" s="25"/>
      <c r="D123" s="2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3"/>
      <c r="B124" s="24"/>
      <c r="C124" s="25"/>
      <c r="D124" s="2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3"/>
      <c r="B125" s="24"/>
      <c r="C125" s="25"/>
      <c r="D125" s="2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3"/>
      <c r="B126" s="24"/>
      <c r="C126" s="25"/>
      <c r="D126" s="2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3"/>
      <c r="B127" s="24"/>
      <c r="C127" s="25"/>
      <c r="D127" s="2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3"/>
      <c r="B128" s="24"/>
      <c r="C128" s="25"/>
      <c r="D128" s="2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3"/>
      <c r="B129" s="24"/>
      <c r="C129" s="25"/>
      <c r="D129" s="2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3"/>
      <c r="B130" s="24"/>
      <c r="C130" s="25"/>
      <c r="D130" s="2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3"/>
      <c r="B131" s="24"/>
      <c r="C131" s="25"/>
      <c r="D131" s="2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3"/>
      <c r="B132" s="24"/>
      <c r="C132" s="25"/>
      <c r="D132" s="2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3"/>
      <c r="B133" s="24"/>
      <c r="C133" s="25"/>
      <c r="D133" s="25"/>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3"/>
      <c r="B134" s="24"/>
      <c r="C134" s="25"/>
      <c r="D134" s="25"/>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3"/>
      <c r="B135" s="24"/>
      <c r="C135" s="25"/>
      <c r="D135" s="25"/>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3"/>
      <c r="B136" s="24"/>
      <c r="C136" s="25"/>
      <c r="D136" s="25"/>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3"/>
      <c r="B137" s="24"/>
      <c r="C137" s="25"/>
      <c r="D137" s="25"/>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3"/>
      <c r="B138" s="24"/>
      <c r="C138" s="25"/>
      <c r="D138" s="25"/>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3"/>
      <c r="B139" s="24"/>
      <c r="C139" s="25"/>
      <c r="D139" s="25"/>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3"/>
      <c r="B140" s="24"/>
      <c r="C140" s="25"/>
      <c r="D140" s="25"/>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3"/>
      <c r="B141" s="24"/>
      <c r="C141" s="25"/>
      <c r="D141" s="25"/>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3"/>
      <c r="B142" s="24"/>
      <c r="C142" s="25"/>
      <c r="D142" s="25"/>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23"/>
      <c r="B143" s="24"/>
      <c r="C143" s="25"/>
      <c r="D143" s="25"/>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23"/>
      <c r="B144" s="24"/>
      <c r="C144" s="25"/>
      <c r="D144" s="25"/>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23"/>
      <c r="B145" s="24"/>
      <c r="C145" s="25"/>
      <c r="D145" s="25"/>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23"/>
      <c r="B146" s="24"/>
      <c r="C146" s="25"/>
      <c r="D146" s="25"/>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23"/>
      <c r="B147" s="24"/>
      <c r="C147" s="25"/>
      <c r="D147" s="25"/>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23"/>
      <c r="B148" s="24"/>
      <c r="C148" s="25"/>
      <c r="D148" s="25"/>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23"/>
      <c r="B149" s="24"/>
      <c r="C149" s="25"/>
      <c r="D149" s="25"/>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23"/>
      <c r="B150" s="24"/>
      <c r="C150" s="25"/>
      <c r="D150" s="25"/>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23"/>
      <c r="B151" s="24"/>
      <c r="C151" s="25"/>
      <c r="D151" s="25"/>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23"/>
      <c r="B152" s="24"/>
      <c r="C152" s="25"/>
      <c r="D152" s="25"/>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23"/>
      <c r="B153" s="24"/>
      <c r="C153" s="25"/>
      <c r="D153" s="25"/>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23"/>
      <c r="B154" s="24"/>
      <c r="C154" s="25"/>
      <c r="D154" s="25"/>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23"/>
      <c r="B155" s="24"/>
      <c r="C155" s="25"/>
      <c r="D155" s="25"/>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23"/>
      <c r="B156" s="24"/>
      <c r="C156" s="25"/>
      <c r="D156" s="25"/>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23"/>
      <c r="B157" s="24"/>
      <c r="C157" s="25"/>
      <c r="D157" s="25"/>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23"/>
      <c r="B158" s="24"/>
      <c r="C158" s="25"/>
      <c r="D158" s="25"/>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23"/>
      <c r="B159" s="24"/>
      <c r="C159" s="25"/>
      <c r="D159" s="25"/>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23"/>
      <c r="B160" s="24"/>
      <c r="C160" s="25"/>
      <c r="D160" s="25"/>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23"/>
      <c r="B161" s="24"/>
      <c r="C161" s="25"/>
      <c r="D161" s="25"/>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23"/>
      <c r="B162" s="24"/>
      <c r="C162" s="25"/>
      <c r="D162" s="25"/>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23"/>
      <c r="B163" s="24"/>
      <c r="C163" s="25"/>
      <c r="D163" s="25"/>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23"/>
      <c r="B164" s="24"/>
      <c r="C164" s="25"/>
      <c r="D164" s="25"/>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23"/>
      <c r="B165" s="24"/>
      <c r="C165" s="25"/>
      <c r="D165" s="25"/>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23"/>
      <c r="B166" s="24"/>
      <c r="C166" s="25"/>
      <c r="D166" s="25"/>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23"/>
      <c r="B167" s="24"/>
      <c r="C167" s="25"/>
      <c r="D167" s="25"/>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23"/>
      <c r="B168" s="24"/>
      <c r="C168" s="25"/>
      <c r="D168" s="25"/>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23"/>
      <c r="B169" s="24"/>
      <c r="C169" s="25"/>
      <c r="D169" s="25"/>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23"/>
      <c r="B170" s="24"/>
      <c r="C170" s="25"/>
      <c r="D170" s="25"/>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23"/>
      <c r="B171" s="24"/>
      <c r="C171" s="25"/>
      <c r="D171" s="25"/>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61"/>
      <c r="B172" s="23"/>
      <c r="C172" s="24"/>
      <c r="D172" s="25"/>
      <c r="E172" s="25"/>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61"/>
      <c r="B173" s="23"/>
      <c r="C173" s="24"/>
      <c r="D173" s="25"/>
      <c r="E173" s="25"/>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61"/>
      <c r="B174" s="23"/>
      <c r="C174" s="24"/>
      <c r="D174" s="25"/>
      <c r="E174" s="25"/>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61"/>
      <c r="B175" s="23"/>
      <c r="C175" s="24"/>
      <c r="D175" s="25"/>
      <c r="E175" s="25"/>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61"/>
      <c r="B176" s="23"/>
      <c r="C176" s="24"/>
      <c r="D176" s="25"/>
      <c r="E176" s="25"/>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61"/>
      <c r="B177" s="23"/>
      <c r="C177" s="24"/>
      <c r="D177" s="25"/>
      <c r="E177" s="25"/>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61"/>
      <c r="B178" s="23"/>
      <c r="C178" s="24"/>
      <c r="D178" s="25"/>
      <c r="E178" s="25"/>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61"/>
      <c r="B179" s="23"/>
      <c r="C179" s="24"/>
      <c r="D179" s="25"/>
      <c r="E179" s="25"/>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61"/>
      <c r="B180" s="23"/>
      <c r="C180" s="24"/>
      <c r="D180" s="25"/>
      <c r="E180" s="25"/>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61"/>
      <c r="B181" s="23"/>
      <c r="C181" s="24"/>
      <c r="D181" s="25"/>
      <c r="E181" s="25"/>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61"/>
      <c r="B182" s="23"/>
      <c r="C182" s="24"/>
      <c r="D182" s="25"/>
      <c r="E182" s="25"/>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61"/>
      <c r="B183" s="23"/>
      <c r="C183" s="24"/>
      <c r="D183" s="25"/>
      <c r="E183" s="25"/>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61"/>
      <c r="B184" s="23"/>
      <c r="C184" s="24"/>
      <c r="D184" s="25"/>
      <c r="E184" s="25"/>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61"/>
      <c r="B185" s="23"/>
      <c r="C185" s="24"/>
      <c r="D185" s="25"/>
      <c r="E185" s="25"/>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61"/>
      <c r="B186" s="23"/>
      <c r="C186" s="24"/>
      <c r="D186" s="25"/>
      <c r="E186" s="25"/>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61"/>
      <c r="B187" s="23"/>
      <c r="C187" s="24"/>
      <c r="D187" s="25"/>
      <c r="E187" s="25"/>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61"/>
      <c r="B188" s="23"/>
      <c r="C188" s="24"/>
      <c r="D188" s="25"/>
      <c r="E188" s="25"/>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61"/>
      <c r="B189" s="23"/>
      <c r="C189" s="24"/>
      <c r="D189" s="25"/>
      <c r="E189" s="25"/>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61"/>
      <c r="B190" s="23"/>
      <c r="C190" s="24"/>
      <c r="D190" s="25"/>
      <c r="E190" s="25"/>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61"/>
      <c r="B191" s="23"/>
      <c r="C191" s="24"/>
      <c r="D191" s="25"/>
      <c r="E191" s="25"/>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61"/>
      <c r="B192" s="23"/>
      <c r="C192" s="24"/>
      <c r="D192" s="25"/>
      <c r="E192" s="25"/>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61"/>
      <c r="B193" s="23"/>
      <c r="C193" s="24"/>
      <c r="D193" s="25"/>
      <c r="E193" s="25"/>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61"/>
      <c r="B194" s="23"/>
      <c r="C194" s="24"/>
      <c r="D194" s="25"/>
      <c r="E194" s="25"/>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61"/>
      <c r="B195" s="23"/>
      <c r="C195" s="24"/>
      <c r="D195" s="25"/>
      <c r="E195" s="25"/>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61"/>
      <c r="B196" s="23"/>
      <c r="C196" s="24"/>
      <c r="D196" s="25"/>
      <c r="E196" s="25"/>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61"/>
      <c r="B197" s="23"/>
      <c r="C197" s="24"/>
      <c r="D197" s="25"/>
      <c r="E197" s="25"/>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61"/>
      <c r="B198" s="23"/>
      <c r="C198" s="24"/>
      <c r="D198" s="25"/>
      <c r="E198" s="25"/>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61"/>
      <c r="B199" s="23"/>
      <c r="C199" s="24"/>
      <c r="D199" s="25"/>
      <c r="E199" s="25"/>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61"/>
      <c r="B200" s="23"/>
      <c r="C200" s="24"/>
      <c r="D200" s="25"/>
      <c r="E200" s="25"/>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61"/>
      <c r="B201" s="23"/>
      <c r="C201" s="24"/>
      <c r="D201" s="25"/>
      <c r="E201" s="25"/>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61"/>
      <c r="B202" s="23"/>
      <c r="C202" s="24"/>
      <c r="D202" s="25"/>
      <c r="E202" s="25"/>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61"/>
      <c r="B203" s="23"/>
      <c r="C203" s="24"/>
      <c r="D203" s="25"/>
      <c r="E203" s="25"/>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61"/>
      <c r="B204" s="23"/>
      <c r="C204" s="24"/>
      <c r="D204" s="25"/>
      <c r="E204" s="25"/>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61"/>
      <c r="B205" s="23"/>
      <c r="C205" s="24"/>
      <c r="D205" s="25"/>
      <c r="E205" s="25"/>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61"/>
      <c r="B206" s="23"/>
      <c r="C206" s="24"/>
      <c r="D206" s="25"/>
      <c r="E206" s="25"/>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61"/>
      <c r="B207" s="23"/>
      <c r="C207" s="24"/>
      <c r="D207" s="25"/>
      <c r="E207" s="25"/>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61"/>
      <c r="B208" s="23"/>
      <c r="C208" s="24"/>
      <c r="D208" s="25"/>
      <c r="E208" s="25"/>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61"/>
      <c r="B209" s="23"/>
      <c r="C209" s="24"/>
      <c r="D209" s="25"/>
      <c r="E209" s="25"/>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61"/>
      <c r="B210" s="23"/>
      <c r="C210" s="24"/>
      <c r="D210" s="25"/>
      <c r="E210" s="25"/>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61"/>
      <c r="B211" s="23"/>
      <c r="C211" s="24"/>
      <c r="D211" s="25"/>
      <c r="E211" s="25"/>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61"/>
      <c r="B212" s="23"/>
      <c r="C212" s="24"/>
      <c r="D212" s="25"/>
      <c r="E212" s="25"/>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61"/>
      <c r="B213" s="23"/>
      <c r="C213" s="24"/>
      <c r="D213" s="25"/>
      <c r="E213" s="25"/>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61"/>
      <c r="B214" s="23"/>
      <c r="C214" s="24"/>
      <c r="D214" s="25"/>
      <c r="E214" s="25"/>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61"/>
      <c r="B215" s="23"/>
      <c r="C215" s="24"/>
      <c r="D215" s="25"/>
      <c r="E215" s="25"/>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61"/>
      <c r="B216" s="23"/>
      <c r="C216" s="24"/>
      <c r="D216" s="25"/>
      <c r="E216" s="25"/>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61"/>
      <c r="B217" s="23"/>
      <c r="C217" s="24"/>
      <c r="D217" s="25"/>
      <c r="E217" s="25"/>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61"/>
      <c r="B218" s="23"/>
      <c r="C218" s="24"/>
      <c r="D218" s="25"/>
      <c r="E218" s="25"/>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61"/>
      <c r="B219" s="23"/>
      <c r="C219" s="24"/>
      <c r="D219" s="25"/>
      <c r="E219" s="25"/>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61"/>
      <c r="B220" s="23"/>
      <c r="C220" s="24"/>
      <c r="D220" s="25"/>
      <c r="E220" s="25"/>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19:F19"/>
    <mergeCell ref="A1:A2"/>
    <mergeCell ref="B1:F1"/>
    <mergeCell ref="C3:C7"/>
    <mergeCell ref="F3:F18"/>
    <mergeCell ref="C9:C10"/>
    <mergeCell ref="C13:C1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21</vt:i4>
      </vt:variant>
    </vt:vector>
  </HeadingPairs>
  <TitlesOfParts>
    <vt:vector size="21" baseType="lpstr">
      <vt:lpstr>13.07-19.07</vt:lpstr>
      <vt:lpstr>06.07-12.06</vt:lpstr>
      <vt:lpstr>29.06-05.07</vt:lpstr>
      <vt:lpstr>22.06 - 28.06</vt:lpstr>
      <vt:lpstr>15.06-21.06</vt:lpstr>
      <vt:lpstr>08.06-14.06</vt:lpstr>
      <vt:lpstr>01.06-07.06</vt:lpstr>
      <vt:lpstr>25.05-31.05</vt:lpstr>
      <vt:lpstr>18.05-24.05</vt:lpstr>
      <vt:lpstr>11.05-17.05</vt:lpstr>
      <vt:lpstr>04.05-10.05</vt:lpstr>
      <vt:lpstr>27.04-03.05</vt:lpstr>
      <vt:lpstr>20.04-26.04</vt:lpstr>
      <vt:lpstr>13.04-19.04</vt:lpstr>
      <vt:lpstr>06.04-12.04</vt:lpstr>
      <vt:lpstr>30.03-05.04</vt:lpstr>
      <vt:lpstr>23.03-29.03</vt:lpstr>
      <vt:lpstr>16.03-22.03</vt:lpstr>
      <vt:lpstr>09.03-15.03</vt:lpstr>
      <vt:lpstr>02.03-08.03</vt:lpstr>
      <vt:lpstr>24.02-01.03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Alikhan Aitkuzhin</cp:lastModifiedBy>
  <dcterms:created xsi:type="dcterms:W3CDTF">2026-06-15T10:43:44Z</dcterms:created>
  <dcterms:modified xsi:type="dcterms:W3CDTF">2026-07-21T12:05:30Z</dcterms:modified>
</cp:coreProperties>
</file>