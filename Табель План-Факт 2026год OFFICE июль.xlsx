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юль 2026" sheetId="1" r:id="rId5"/>
    <sheet state="visible" name="Июнь 2026 факт" sheetId="2" r:id="rId6"/>
    <sheet state="visible" name="Июнь 2026 план" sheetId="3" r:id="rId7"/>
    <sheet state="visible" name="Май 2026 факт" sheetId="4" r:id="rId8"/>
    <sheet state="visible" name="Май 2026" sheetId="5" r:id="rId9"/>
    <sheet state="visible" name="Лист2" sheetId="6" r:id="rId10"/>
    <sheet state="visible" name="Апрель факт" sheetId="7" r:id="rId11"/>
    <sheet state="visible" name="Апрель 2026" sheetId="8" r:id="rId12"/>
    <sheet state="visible" name="Лист1" sheetId="9" r:id="rId13"/>
    <sheet state="visible" name="Март 2026" sheetId="10" r:id="rId14"/>
    <sheet state="visible" name="Февраль факт 2026" sheetId="11" r:id="rId15"/>
    <sheet state="visible" name="Февраль 2026" sheetId="12" r:id="rId16"/>
    <sheet state="visible" name="Январь Факт 26" sheetId="13" r:id="rId17"/>
    <sheet state="visible" name="Январь план 2026" sheetId="14" r:id="rId18"/>
    <sheet state="visible" name="Декабрь Пл" sheetId="15" r:id="rId19"/>
    <sheet state="visible" name="Ноябрь Пл" sheetId="16" r:id="rId20"/>
    <sheet state="visible" name="Октябрь Пл" sheetId="17" r:id="rId21"/>
    <sheet state="visible" name="Сентябрь ПЛ" sheetId="18" r:id="rId22"/>
    <sheet state="visible" name="Август ПЛ" sheetId="19" r:id="rId23"/>
    <sheet state="visible" name="Август Фк" sheetId="20" r:id="rId24"/>
    <sheet state="visible" name="Сентябрь Фк" sheetId="21" r:id="rId25"/>
    <sheet state="visible" name="Октябрь Фк" sheetId="22" r:id="rId26"/>
    <sheet state="visible" name="Ноябрь Факт" sheetId="23" r:id="rId27"/>
  </sheets>
  <definedNames>
    <definedName name="А4">'Август ПЛ'!$1:$1048576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7">
      <text>
        <t xml:space="preserve">Автор:
Жангельды 15 к</t>
      </text>
    </comment>
    <comment authorId="0" ref="K33">
      <text>
        <t xml:space="preserve">Автор:
нет смены</t>
      </text>
    </comment>
    <comment authorId="0" ref="M15">
      <text>
        <t xml:space="preserve">Автор:
стажировка выход 10к без %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6">
      <text>
        <t xml:space="preserve">Автор:
Депозит день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0">
      <text>
        <t xml:space="preserve">Автор:
Депозит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5">
      <text>
        <t xml:space="preserve">Автор:
Депозит день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48">
      <text>
        <t xml:space="preserve">Автор:
Депозит день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53">
      <text>
        <t xml:space="preserve">Автор:
5000 Гафур, 5000 Слава</t>
      </text>
    </comment>
    <comment authorId="0" ref="S46">
      <text>
        <t xml:space="preserve">Автор:
Депозит день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J36">
      <text>
        <t xml:space="preserve">Автор:
2,5 %</t>
      </text>
    </comment>
    <comment authorId="0" ref="P30">
      <text>
        <t xml:space="preserve">Начисление 50% выход и процент</t>
      </text>
    </comment>
    <comment authorId="0" ref="P26">
      <text>
        <t xml:space="preserve"> начисление 50% выход и процент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2">
      <text>
        <t xml:space="preserve">AАгенство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Автор:
Дамир</t>
      </text>
    </comment>
    <comment authorId="0" ref="H38">
      <text>
        <t xml:space="preserve">Автор:
Дамир</t>
      </text>
    </comment>
    <comment authorId="0" ref="N44">
      <text>
        <t xml:space="preserve">Автор:
Айдана ЗП</t>
      </text>
    </comment>
    <comment authorId="0" ref="K40">
      <text>
        <t xml:space="preserve">Автор:
Ночный смена</t>
      </text>
    </comment>
    <comment authorId="0" ref="O44">
      <text>
        <t xml:space="preserve">Автор:
Айдана ЗП</t>
      </text>
    </comment>
    <comment authorId="0" ref="L40">
      <text>
        <t xml:space="preserve">Автор:
Ночная смена</t>
      </text>
    </comment>
    <comment authorId="0" ref="AK44">
      <text>
        <t xml:space="preserve">Автор:
прачка</t>
      </text>
    </comment>
    <comment authorId="0" ref="V28">
      <text>
        <t xml:space="preserve">ASUS:Вызывной админ Сания</t>
      </text>
    </comment>
    <comment authorId="0" ref="G45">
      <text>
        <t xml:space="preserve">Автор:
Алия 10 000тг</t>
      </text>
    </comment>
    <comment authorId="0" ref="H45">
      <text>
        <t xml:space="preserve">Автор:
Алия 10 000</t>
      </text>
    </comment>
    <comment authorId="0" ref="U20">
      <text>
        <t xml:space="preserve">Автор:
день</t>
      </text>
    </comment>
    <comment authorId="0" ref="G37">
      <text>
        <t xml:space="preserve">Автор:
Бекназ 10000</t>
      </text>
    </comment>
    <comment authorId="0" ref="H37">
      <text>
        <t xml:space="preserve">Автор:
Бекназ выз 10000</t>
      </text>
    </comment>
    <comment authorId="0" ref="I37">
      <text>
        <t xml:space="preserve">Автор:
</t>
      </text>
    </comment>
    <comment authorId="0" ref="G33">
      <text>
        <t xml:space="preserve">Автор:
Вызывной</t>
      </text>
    </comment>
    <comment authorId="0" ref="H33">
      <text>
        <t xml:space="preserve">Автор:
Стажировка вызывной</t>
      </text>
    </comment>
    <comment authorId="0" ref="I33">
      <text>
        <t xml:space="preserve">Автор:
Вызывной стажировка</t>
      </text>
    </comment>
    <comment authorId="0" ref="AC20">
      <text>
        <t xml:space="preserve">Автор:
ночной</t>
      </text>
    </comment>
    <comment authorId="0" ref="K33">
      <text>
        <t xml:space="preserve">Автор:
Стажер вызывной</t>
      </text>
    </comment>
    <comment authorId="0" ref="L33">
      <text>
        <t xml:space="preserve">Автор:
Стажер Вызвной</t>
      </text>
    </comment>
    <comment authorId="0" ref="M33">
      <text>
        <t xml:space="preserve">Автор:
Стажировка вызывной</t>
      </text>
    </comment>
    <comment authorId="0" ref="Q37">
      <text>
        <t xml:space="preserve">Автор:
Мади выз 15к</t>
      </text>
    </comment>
    <comment authorId="0" ref="AG20">
      <text>
        <t xml:space="preserve">AS ночной</t>
      </text>
    </comment>
    <comment authorId="0" ref="N33">
      <text>
        <t xml:space="preserve">Автор:
</t>
      </text>
    </comment>
    <comment authorId="0" ref="X43">
      <text>
        <t xml:space="preserve">Автор:
день и ночь смена</t>
      </text>
    </comment>
    <comment authorId="0" ref="O33">
      <text>
        <t xml:space="preserve">Автор:
Стажировка вызывной</t>
      </text>
    </comment>
    <comment authorId="0" ref="H25">
      <text>
        <t xml:space="preserve">Автор:
Акгулим</t>
      </text>
    </comment>
    <comment authorId="0" ref="K25">
      <text>
        <t xml:space="preserve">Автор:
Акгулим</t>
      </text>
    </comment>
    <comment authorId="0" ref="T33">
      <text>
        <t xml:space="preserve">Автор:
Вызывной</t>
      </text>
    </comment>
    <comment authorId="0" ref="AA33">
      <text>
        <t xml:space="preserve">Автор:
Вызывной </t>
      </text>
    </comment>
    <comment authorId="0" ref="AI37">
      <text>
        <t xml:space="preserve">Автор:
Матвей вызывной 13 к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5">
      <text>
        <t xml:space="preserve">Автор:
Суточная смена</t>
      </text>
    </comment>
    <comment authorId="0" ref="T35">
      <text>
        <t xml:space="preserve">Автор:
Ночная смена</t>
      </text>
    </comment>
    <comment authorId="0" ref="U35">
      <text>
        <t xml:space="preserve">Автор:
Ночная смена</t>
      </text>
    </comment>
    <comment authorId="0" ref="V35">
      <text>
        <t xml:space="preserve">Автор:
Ночная смена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32">
      <text>
        <t xml:space="preserve">Автор:
В день</t>
      </text>
    </comment>
    <comment authorId="0" ref="AG32">
      <text>
        <t xml:space="preserve">Автор:
в день</t>
      </text>
    </comment>
    <comment authorId="0" ref="AJ32">
      <text>
        <t xml:space="preserve">Автор:
Ночная</t>
      </text>
    </comment>
    <comment authorId="0" ref="AK32">
      <text>
        <t xml:space="preserve">Автор:
Ночная</t>
      </text>
    </comment>
    <comment authorId="0" ref="W17">
      <text>
        <t xml:space="preserve">Автор:
ночной</t>
      </text>
    </comment>
    <comment authorId="0" ref="M32">
      <text>
        <t xml:space="preserve">Автор:
Нигина смена </t>
      </text>
    </comment>
    <comment authorId="0" ref="T37">
      <text>
        <t xml:space="preserve">Автор:
день</t>
      </text>
    </comment>
    <comment authorId="0" ref="U37">
      <text>
        <t xml:space="preserve">Автор:
день</t>
      </text>
    </comment>
    <comment authorId="0" ref="V37">
      <text>
        <t xml:space="preserve">Автор:
день</t>
      </text>
    </comment>
    <comment authorId="0" ref="W37">
      <text>
        <t xml:space="preserve">Автор:
день</t>
      </text>
    </comment>
    <comment authorId="0" ref="X37">
      <text>
        <t xml:space="preserve">Автор:
день</t>
      </text>
    </comment>
    <comment authorId="0" ref="Y37">
      <text>
        <t xml:space="preserve">Автор:
день</t>
      </text>
    </comment>
    <comment authorId="0" ref="AG41">
      <text>
        <t xml:space="preserve">Вызывной 7500</t>
      </text>
    </comment>
    <comment authorId="0" ref="AF37">
      <text>
        <t xml:space="preserve">Автор:
в день ПРАЧКА</t>
      </text>
    </comment>
  </commentList>
</comments>
</file>

<file path=xl/sharedStrings.xml><?xml version="1.0" encoding="utf-8"?>
<sst xmlns="http://schemas.openxmlformats.org/spreadsheetml/2006/main" count="5846" uniqueCount="382">
  <si>
    <t>Утверждаю</t>
  </si>
  <si>
    <t>Директор</t>
  </si>
  <si>
    <t>________________________</t>
  </si>
  <si>
    <t>подпись/дата</t>
  </si>
  <si>
    <t>Табель учета рабочего времени Май 2026</t>
  </si>
  <si>
    <t>Табель учета рабочего времени  Июль 2026</t>
  </si>
  <si>
    <t>№</t>
  </si>
  <si>
    <t>Табель учета рабочего времени Июнь 2026</t>
  </si>
  <si>
    <t>Наименование</t>
  </si>
  <si>
    <t>Кол. чел.</t>
  </si>
  <si>
    <t>Ф.И.О.</t>
  </si>
  <si>
    <t>График работы</t>
  </si>
  <si>
    <t>Режим работы</t>
  </si>
  <si>
    <t xml:space="preserve">Выход работы </t>
  </si>
  <si>
    <t>Всего дней в месяц</t>
  </si>
  <si>
    <t>Всего часов в месяц</t>
  </si>
  <si>
    <t>Ср</t>
  </si>
  <si>
    <t>Чт</t>
  </si>
  <si>
    <t>Пт</t>
  </si>
  <si>
    <t>Сб</t>
  </si>
  <si>
    <t>Вс</t>
  </si>
  <si>
    <t>Пн</t>
  </si>
  <si>
    <t>Вт</t>
  </si>
  <si>
    <t>АУП</t>
  </si>
  <si>
    <t>Урсаров Данияр</t>
  </si>
  <si>
    <t xml:space="preserve">с 09:00 до 21:00 </t>
  </si>
  <si>
    <t xml:space="preserve"> 6/1</t>
  </si>
  <si>
    <t xml:space="preserve">Директор </t>
  </si>
  <si>
    <t>Найманбаев Айдар</t>
  </si>
  <si>
    <t xml:space="preserve">с 10:00 до 19:00 </t>
  </si>
  <si>
    <t xml:space="preserve"> 5/2</t>
  </si>
  <si>
    <t>Гл.Бухгалтер</t>
  </si>
  <si>
    <t>Татымтаева Амина</t>
  </si>
  <si>
    <t>с 09:00 до 18:00</t>
  </si>
  <si>
    <t>Бухгалтер</t>
  </si>
  <si>
    <t>Усманова Гульнара</t>
  </si>
  <si>
    <t>Бухгалтер калькулятор</t>
  </si>
  <si>
    <t>Александра</t>
  </si>
  <si>
    <t>МГ</t>
  </si>
  <si>
    <t>Зейнуллинова Асема</t>
  </si>
  <si>
    <t>с 10:00 до 22:00</t>
  </si>
  <si>
    <t>Кухня</t>
  </si>
  <si>
    <t xml:space="preserve">Молдабаева Диляра </t>
  </si>
  <si>
    <t>Шеф повар</t>
  </si>
  <si>
    <t xml:space="preserve">Куксаус Ира </t>
  </si>
  <si>
    <t>с 10:00 до 20:00</t>
  </si>
  <si>
    <t>6/1</t>
  </si>
  <si>
    <t>Айымгуль</t>
  </si>
  <si>
    <t>4,5,6 стажировка без %  только 10к</t>
  </si>
  <si>
    <t>Суточный повар</t>
  </si>
  <si>
    <t>Сейткалиев Арман</t>
  </si>
  <si>
    <t>с 09:00 до 09:00</t>
  </si>
  <si>
    <t>1/1</t>
  </si>
  <si>
    <t>Су шеф</t>
  </si>
  <si>
    <t xml:space="preserve">Сеиткали Арман </t>
  </si>
  <si>
    <t>с 9:00 до 21:00</t>
  </si>
  <si>
    <t>Сидор Юля</t>
  </si>
  <si>
    <t>с 9:00 до 09:00</t>
  </si>
  <si>
    <t>Асем</t>
  </si>
  <si>
    <t>Ким Сергей</t>
  </si>
  <si>
    <t>Оганесян Армен</t>
  </si>
  <si>
    <t>Темирлан</t>
  </si>
  <si>
    <t xml:space="preserve">Ночной повар </t>
  </si>
  <si>
    <t xml:space="preserve">Вакансия </t>
  </si>
  <si>
    <t>с 18:00 до 06:00</t>
  </si>
  <si>
    <t>5/2</t>
  </si>
  <si>
    <t>Ерсултан</t>
  </si>
  <si>
    <t>Повар холодного цеха</t>
  </si>
  <si>
    <t>Кодырова Умида</t>
  </si>
  <si>
    <t>с 11:00 до 23:00 (Пт-Сб до 2:00)</t>
  </si>
  <si>
    <t>с 11:00 до 23:00</t>
  </si>
  <si>
    <t>Посудница кух рабоч</t>
  </si>
  <si>
    <t>Амангуль</t>
  </si>
  <si>
    <t>с 08:00 до 20:00</t>
  </si>
  <si>
    <t>Дурдана</t>
  </si>
  <si>
    <t>наличка 10к</t>
  </si>
  <si>
    <t>Алиева Урият</t>
  </si>
  <si>
    <t>Фатима</t>
  </si>
  <si>
    <t>Сервис</t>
  </si>
  <si>
    <t>оплачено</t>
  </si>
  <si>
    <t>Аджаиым</t>
  </si>
  <si>
    <t>Старший Администратор</t>
  </si>
  <si>
    <t xml:space="preserve">Хайпханова Назира </t>
  </si>
  <si>
    <t>с 10:00 до 11:00</t>
  </si>
  <si>
    <t>Сандугаш</t>
  </si>
  <si>
    <t xml:space="preserve"> 1/2</t>
  </si>
  <si>
    <t>Администратор</t>
  </si>
  <si>
    <t>Омарова Бота</t>
  </si>
  <si>
    <t xml:space="preserve">Администратор </t>
  </si>
  <si>
    <t>Администратор вызывной</t>
  </si>
  <si>
    <t>Вызывной Ризабек</t>
  </si>
  <si>
    <t>Горончаровский Вячеслав</t>
  </si>
  <si>
    <t xml:space="preserve">Казбек Гафуржан </t>
  </si>
  <si>
    <t>Абибуллаева Нурсая</t>
  </si>
  <si>
    <t>с 10:00 до 11:01</t>
  </si>
  <si>
    <t>Официант</t>
  </si>
  <si>
    <t>Жандос</t>
  </si>
  <si>
    <t>Сагынбай Бекнур</t>
  </si>
  <si>
    <t xml:space="preserve">Тураева Анель Руслановна </t>
  </si>
  <si>
    <t>Дос</t>
  </si>
  <si>
    <t>Галым Абат</t>
  </si>
  <si>
    <t xml:space="preserve">Администратор вызывной </t>
  </si>
  <si>
    <t>с 10:30 до 11:00</t>
  </si>
  <si>
    <t xml:space="preserve">Ризабек </t>
  </si>
  <si>
    <t>Вызывной Официант</t>
  </si>
  <si>
    <t xml:space="preserve">с 15:00 до 05:00              </t>
  </si>
  <si>
    <t>Нариманов Жандос</t>
  </si>
  <si>
    <t>Никитенко Данила</t>
  </si>
  <si>
    <t xml:space="preserve">Рафиков Болат </t>
  </si>
  <si>
    <t>Прачка</t>
  </si>
  <si>
    <t>Уриат</t>
  </si>
  <si>
    <t>с 08.00 до 20.00</t>
  </si>
  <si>
    <t>Техперсонал (Дневной)</t>
  </si>
  <si>
    <t>Жумырбаева Асем</t>
  </si>
  <si>
    <t>Кулманбетов Жангелди</t>
  </si>
  <si>
    <t>Вкансия</t>
  </si>
  <si>
    <t>Вызывная Айнура</t>
  </si>
  <si>
    <t>День посуда</t>
  </si>
  <si>
    <t>Алиева Уриат</t>
  </si>
  <si>
    <t>за 9 смен оплата, удержать 2 000тг итого 88000 к оплате.</t>
  </si>
  <si>
    <t>с 08:00 до 20:01</t>
  </si>
  <si>
    <t xml:space="preserve">Официант Вызывной </t>
  </si>
  <si>
    <t>Рафиков Болат</t>
  </si>
  <si>
    <t>Вызывной техперсонал</t>
  </si>
  <si>
    <t>Вакансия</t>
  </si>
  <si>
    <t xml:space="preserve">(Пн,Вт,Ср) с 08:00 до 20:00  </t>
  </si>
  <si>
    <t>Айнур</t>
  </si>
  <si>
    <t>(Чт,Пт,Сб) с 20:00 до 08:00</t>
  </si>
  <si>
    <t>наличка</t>
  </si>
  <si>
    <t xml:space="preserve">Прачка </t>
  </si>
  <si>
    <t>Техперсонал (Ночной)</t>
  </si>
  <si>
    <t>Караматдинова Гульнар</t>
  </si>
  <si>
    <t>Техничка (Ночной) Вызывной</t>
  </si>
  <si>
    <t>с 20:00 до 08:00</t>
  </si>
  <si>
    <t>6 / 1</t>
  </si>
  <si>
    <t>Техничка (Дневной)</t>
  </si>
  <si>
    <t>Адм.-хоз. работник</t>
  </si>
  <si>
    <t>Рымбаве Кайрат</t>
  </si>
  <si>
    <t>с 08:00 до 19:00</t>
  </si>
  <si>
    <t>Ярашива Енешь</t>
  </si>
  <si>
    <t>Охрана</t>
  </si>
  <si>
    <t>за 30 апреля депозит</t>
  </si>
  <si>
    <t>Техничка (Универсал)</t>
  </si>
  <si>
    <t>Жангельды</t>
  </si>
  <si>
    <t>Техничка (Ночной)</t>
  </si>
  <si>
    <t>Рымбаев Кайрат</t>
  </si>
  <si>
    <t>Техничка (Ночной)Жаннет</t>
  </si>
  <si>
    <t>наличка 15к</t>
  </si>
  <si>
    <t>4/3</t>
  </si>
  <si>
    <t>Техничка (Ночной) Индира</t>
  </si>
  <si>
    <t xml:space="preserve">Марат Бейсекеев </t>
  </si>
  <si>
    <t>ВСЕГО</t>
  </si>
  <si>
    <t>Всего</t>
  </si>
  <si>
    <t>Абдрашитов Рашид</t>
  </si>
  <si>
    <t>Кол-во чел. на развозку 24-00</t>
  </si>
  <si>
    <t>=</t>
  </si>
  <si>
    <t>Кол-во чел. на развозку 02-00</t>
  </si>
  <si>
    <t>Кол-во чел. на развозку 05-00</t>
  </si>
  <si>
    <t>Вакансия /ЛОЛА</t>
  </si>
  <si>
    <t>Питание №1 13-00</t>
  </si>
  <si>
    <t>Питание №2 18:00</t>
  </si>
  <si>
    <t>Питание №3 24:00</t>
  </si>
  <si>
    <t>Питание №4 07:00</t>
  </si>
  <si>
    <t>Итого питание</t>
  </si>
  <si>
    <t>График работы заведения: 24 ч.</t>
  </si>
  <si>
    <t xml:space="preserve">Развозка ежедневно в 24:00/ 02:00/ 05:00 </t>
  </si>
  <si>
    <t>Питание 13:00/ 18:00/ 24:00/ 07:00</t>
  </si>
  <si>
    <t>Составил:</t>
  </si>
  <si>
    <t xml:space="preserve">________________________Директор </t>
  </si>
  <si>
    <t>Бухгалтер:</t>
  </si>
  <si>
    <t>_______________________________</t>
  </si>
  <si>
    <t>Ознакомлен:</t>
  </si>
  <si>
    <t xml:space="preserve">Шеф -повар :      </t>
  </si>
  <si>
    <t>Табель учета рабочего времени Апрель 2026</t>
  </si>
  <si>
    <t>Инжу</t>
  </si>
  <si>
    <r>
      <rPr>
        <rFont val="Calibri"/>
        <b/>
        <color theme="1"/>
        <sz val="11.0"/>
      </rPr>
      <t>Всего часов в месяц</t>
    </r>
    <r>
      <rPr>
        <rFont val="Calibri"/>
        <color theme="1"/>
        <sz val="11.0"/>
      </rPr>
      <t xml:space="preserve">  = Сумма (количество) -Выделить клетки-Закрыть скобку )= Ентер</t>
    </r>
  </si>
  <si>
    <t xml:space="preserve">Умита </t>
  </si>
  <si>
    <r>
      <rPr>
        <rFont val="Calibri"/>
        <b/>
        <color theme="1"/>
        <sz val="11.0"/>
      </rPr>
      <t>Всего часов в месяц</t>
    </r>
    <r>
      <rPr>
        <rFont val="Calibri"/>
        <color theme="1"/>
        <sz val="11.0"/>
      </rPr>
      <t xml:space="preserve">  = Сумма (количество) -Выделить клетки-Закрыть скобку )= Ентер</t>
    </r>
  </si>
  <si>
    <t>с 15:00 до 5:00</t>
  </si>
  <si>
    <t>Мухамеджанова Жазира</t>
  </si>
  <si>
    <t>Болих Салтанат</t>
  </si>
  <si>
    <t>ШП</t>
  </si>
  <si>
    <t>с 12:00 до 21:00</t>
  </si>
  <si>
    <t>Кунадилова Айымгуль</t>
  </si>
  <si>
    <t>Вызывной официант</t>
  </si>
  <si>
    <t>Макарова Адель</t>
  </si>
  <si>
    <t>Ахметжан Сабина</t>
  </si>
  <si>
    <t xml:space="preserve">Каримова Мадина </t>
  </si>
  <si>
    <t>Вызывной</t>
  </si>
  <si>
    <t>выход 10 000+4%</t>
  </si>
  <si>
    <t>выход 10 000+ 1%</t>
  </si>
  <si>
    <t>с 10:30 до 19:00</t>
  </si>
  <si>
    <t>Админ</t>
  </si>
  <si>
    <t>с 18:00 до 11:00</t>
  </si>
  <si>
    <t>ХЦ</t>
  </si>
  <si>
    <t>Бекешев Ерсултан</t>
  </si>
  <si>
    <t>Умида</t>
  </si>
  <si>
    <t xml:space="preserve">Булатбаев Арман </t>
  </si>
  <si>
    <t>Нишан Темирлан</t>
  </si>
  <si>
    <t>Казбек Гафур</t>
  </si>
  <si>
    <t>удержать за 6 вип долг</t>
  </si>
  <si>
    <t>Сайфулла Сайрангуль</t>
  </si>
  <si>
    <t>Удержать 80к</t>
  </si>
  <si>
    <t>Официант Вызывной</t>
  </si>
  <si>
    <t>вызывной по 12к 60 000тг</t>
  </si>
  <si>
    <t>12</t>
  </si>
  <si>
    <t>14.05.26 оплатат 5000тг Гафур, 5000тг Слава</t>
  </si>
  <si>
    <t>Санкнижка ?</t>
  </si>
  <si>
    <t>Дауылбай Ерасыл Б.</t>
  </si>
  <si>
    <t>Гафур/Айжан</t>
  </si>
  <si>
    <t xml:space="preserve">Арман </t>
  </si>
  <si>
    <t>Табель учета рабочего времени Март 2026</t>
  </si>
  <si>
    <t>Аханов Ролан</t>
  </si>
  <si>
    <t>Техничка(ночной)</t>
  </si>
  <si>
    <t>БШ</t>
  </si>
  <si>
    <t>Халходжаев Бекмурат</t>
  </si>
  <si>
    <t>с 09:00 до 09:01</t>
  </si>
  <si>
    <t>Дауылбай Ерасыл</t>
  </si>
  <si>
    <t>Управляющий директор</t>
  </si>
  <si>
    <t>Казбек Гафуржан</t>
  </si>
  <si>
    <t>Амангелдиева Назира</t>
  </si>
  <si>
    <t>Горончеровский Вячеслав</t>
  </si>
  <si>
    <t>Булатбаев Арман</t>
  </si>
  <si>
    <t>Кайпбеков Берик</t>
  </si>
  <si>
    <t xml:space="preserve">Официант </t>
  </si>
  <si>
    <t>Вызывной либо начисление ???</t>
  </si>
  <si>
    <t xml:space="preserve">Аванс 100к полчил </t>
  </si>
  <si>
    <t xml:space="preserve">на 72000 тг отработано </t>
  </si>
  <si>
    <t>Жамыртаева Асем</t>
  </si>
  <si>
    <t>Теничка ( ночной)</t>
  </si>
  <si>
    <t>Султанова Гульзат</t>
  </si>
  <si>
    <t xml:space="preserve">Сайфулла Сайрангуль </t>
  </si>
  <si>
    <t>Ролан</t>
  </si>
  <si>
    <t>Овезова Ежегуль</t>
  </si>
  <si>
    <t>Кулмамбетов Жангелди</t>
  </si>
  <si>
    <t>Табель учета рабочего времени Февраль 2026</t>
  </si>
  <si>
    <t>Амангельдиева Назира</t>
  </si>
  <si>
    <t>с 13:00 до 01:00</t>
  </si>
  <si>
    <t>с 19:00 до 11:00</t>
  </si>
  <si>
    <t>Аймгуль</t>
  </si>
  <si>
    <t>с 19:00 до 11:01</t>
  </si>
  <si>
    <t xml:space="preserve"> 1/1</t>
  </si>
  <si>
    <t>Омиргалы Аян</t>
  </si>
  <si>
    <t>Дуйсенова Ерке</t>
  </si>
  <si>
    <t>Найзабек Нурсултан</t>
  </si>
  <si>
    <t xml:space="preserve">неоплачивать на удержания </t>
  </si>
  <si>
    <t>Табель учета рабочего времени Январь 2026</t>
  </si>
  <si>
    <t>чт</t>
  </si>
  <si>
    <t>пт</t>
  </si>
  <si>
    <t>сб</t>
  </si>
  <si>
    <t>вс</t>
  </si>
  <si>
    <t>пн</t>
  </si>
  <si>
    <t>вт</t>
  </si>
  <si>
    <t>ср</t>
  </si>
  <si>
    <t>Алдабергенова Гульзада</t>
  </si>
  <si>
    <t>оплаченный</t>
  </si>
  <si>
    <t>Малика</t>
  </si>
  <si>
    <t>Муцаева Ашат</t>
  </si>
  <si>
    <t>с 09:00 до 22:00</t>
  </si>
  <si>
    <t>Искакова Ширин</t>
  </si>
  <si>
    <t>Севинчай</t>
  </si>
  <si>
    <t>Рашид</t>
  </si>
  <si>
    <t>Повар х.ц</t>
  </si>
  <si>
    <t xml:space="preserve">Оганесян Армен </t>
  </si>
  <si>
    <t>Сейлхан</t>
  </si>
  <si>
    <t>Оплаченно</t>
  </si>
  <si>
    <t>Ст Администратор</t>
  </si>
  <si>
    <t>Сагынбек Бекнур</t>
  </si>
  <si>
    <t>Маматов Тимур</t>
  </si>
  <si>
    <t>с 11:30 до 11:00</t>
  </si>
  <si>
    <t xml:space="preserve"> Каримова Мадина</t>
  </si>
  <si>
    <t>Кадыр Ернар</t>
  </si>
  <si>
    <t>Шестаев Сергей</t>
  </si>
  <si>
    <t>Табель учета рабочего времени Декабрь 2025</t>
  </si>
  <si>
    <t>Упр Директор</t>
  </si>
  <si>
    <t xml:space="preserve">с 10:00 до 20:00 </t>
  </si>
  <si>
    <t xml:space="preserve">Маматов Тимур </t>
  </si>
  <si>
    <t xml:space="preserve"> 3/4</t>
  </si>
  <si>
    <t>Кисанова Бинур Ж.</t>
  </si>
  <si>
    <t>Абат Берик</t>
  </si>
  <si>
    <t>Шарбат Саят Кайратулы</t>
  </si>
  <si>
    <t xml:space="preserve">Алкен Ернар </t>
  </si>
  <si>
    <t xml:space="preserve">Маргарита </t>
  </si>
  <si>
    <t>Наталья</t>
  </si>
  <si>
    <t>Жарылкасын Улданай</t>
  </si>
  <si>
    <t>Набидола Жанар</t>
  </si>
  <si>
    <t>Кайдаров Азамат</t>
  </si>
  <si>
    <t>Табель учета рабочего времени Ноябрь 2025</t>
  </si>
  <si>
    <t>Табель учета рабочего времени Октябрь 2025</t>
  </si>
  <si>
    <t xml:space="preserve"> 5/3</t>
  </si>
  <si>
    <t>Нурболат</t>
  </si>
  <si>
    <t>Ахмед Жасулан Бахтиярович</t>
  </si>
  <si>
    <t>с 21:00 до 09:00</t>
  </si>
  <si>
    <t xml:space="preserve">Шварц Ирина </t>
  </si>
  <si>
    <t>с 09:00 до 18:01</t>
  </si>
  <si>
    <t>Калуова Айнур Айдосовна</t>
  </si>
  <si>
    <t>Немченко Матвей</t>
  </si>
  <si>
    <t>Жумыртаева Асем</t>
  </si>
  <si>
    <t xml:space="preserve">Бакытжан Айдана </t>
  </si>
  <si>
    <t xml:space="preserve">Полимова Рахима </t>
  </si>
  <si>
    <t>Таирова Нигина</t>
  </si>
  <si>
    <t>Жалгасова Юлдуз</t>
  </si>
  <si>
    <t>Тургали Жандос</t>
  </si>
  <si>
    <t>Орал</t>
  </si>
  <si>
    <t>Табель учета рабочего времени Сентябрь  2025</t>
  </si>
  <si>
    <t xml:space="preserve">Молдобаева Диляра </t>
  </si>
  <si>
    <t>Су Шеф</t>
  </si>
  <si>
    <t xml:space="preserve">Мерос Умаркулов </t>
  </si>
  <si>
    <t xml:space="preserve">Ботиржонов Жохангир </t>
  </si>
  <si>
    <t>Шарипова Сания</t>
  </si>
  <si>
    <t>Курманов Данияр</t>
  </si>
  <si>
    <t xml:space="preserve">Шериев Бекназ </t>
  </si>
  <si>
    <t>Табель учета рабочего времени Август  2025</t>
  </si>
  <si>
    <t>Садуова Айжан</t>
  </si>
  <si>
    <t>Техничка (Вызывная)</t>
  </si>
  <si>
    <t>( Чт,Пт,Сб ) с 20:00 до 08:00</t>
  </si>
  <si>
    <t>Жанибек/Кайрат</t>
  </si>
  <si>
    <t>0.5</t>
  </si>
  <si>
    <t>Бикташев Жанибек</t>
  </si>
  <si>
    <t>Икимов Сагади</t>
  </si>
  <si>
    <t>Алатаева Акгулим Акаткызы</t>
  </si>
  <si>
    <t>Котельников Константин</t>
  </si>
  <si>
    <t>с 11:00 до 11:00</t>
  </si>
  <si>
    <t xml:space="preserve">Вакансия                </t>
  </si>
  <si>
    <t xml:space="preserve">Каптаева Баглан </t>
  </si>
  <si>
    <t>Билялова Наталья</t>
  </si>
  <si>
    <t>Жанибек Кайрат</t>
  </si>
  <si>
    <t>с 09:00 до 19:00</t>
  </si>
  <si>
    <t>с 13:00 до 1:00</t>
  </si>
  <si>
    <t>Шеф Повар</t>
  </si>
  <si>
    <t xml:space="preserve">Лебединский Сергей </t>
  </si>
  <si>
    <t xml:space="preserve"> с 10:00 до 22:00</t>
  </si>
  <si>
    <t xml:space="preserve"> с 10:00 до 22:01</t>
  </si>
  <si>
    <t xml:space="preserve"> с 10:00 до 22:02</t>
  </si>
  <si>
    <t>сутки</t>
  </si>
  <si>
    <t xml:space="preserve"> с 10:00 до 22:03</t>
  </si>
  <si>
    <t xml:space="preserve"> с 10:00 до 22:04</t>
  </si>
  <si>
    <t xml:space="preserve"> с 10:00 до 22:05</t>
  </si>
  <si>
    <t xml:space="preserve"> с 10:00 до 22:06</t>
  </si>
  <si>
    <t xml:space="preserve">Аккгулим </t>
  </si>
  <si>
    <t>Балыкбаева Асель</t>
  </si>
  <si>
    <t xml:space="preserve">Только смена без процентов </t>
  </si>
  <si>
    <t>по 3% расчет</t>
  </si>
  <si>
    <t>Мерченко Матвей</t>
  </si>
  <si>
    <t>?</t>
  </si>
  <si>
    <t xml:space="preserve">смена  по 11 000к </t>
  </si>
  <si>
    <t>оплатили</t>
  </si>
  <si>
    <t xml:space="preserve">Техничка Вызывная </t>
  </si>
  <si>
    <t>Саудова Айжан</t>
  </si>
  <si>
    <t>Вызывная  оплатили</t>
  </si>
  <si>
    <t xml:space="preserve">Техничка </t>
  </si>
  <si>
    <t>Толкын</t>
  </si>
  <si>
    <t>Смена по 11 000тг</t>
  </si>
  <si>
    <t xml:space="preserve">Молдабаева Диляра/Айнура </t>
  </si>
  <si>
    <t>Уволенные Диляра 8 смен + %, Айнура токлько оклад без %</t>
  </si>
  <si>
    <t>ABDIEVA TUKHTAJON</t>
  </si>
  <si>
    <t>за 12 число депозит</t>
  </si>
  <si>
    <t xml:space="preserve">Жанибек </t>
  </si>
  <si>
    <t>Евгений вызывной</t>
  </si>
  <si>
    <t>Айгуль вызывной</t>
  </si>
  <si>
    <t>Маржан</t>
  </si>
  <si>
    <t>долг ДА</t>
  </si>
  <si>
    <t>МГ/Администратор</t>
  </si>
  <si>
    <t>Макарова Адель Нурлыбековна</t>
  </si>
  <si>
    <t>Уволенный сотрудник</t>
  </si>
  <si>
    <t>за 1 ,5,7 число Аванс 139 500 +50 000тг</t>
  </si>
  <si>
    <t>Агенство</t>
  </si>
  <si>
    <t>Абдрахман Еркебулан</t>
  </si>
  <si>
    <t xml:space="preserve">3% начисления </t>
  </si>
  <si>
    <t>Ежемесячно по 100к Аванс ( на 3 месяца)</t>
  </si>
  <si>
    <t xml:space="preserve">Казбеков Талгат </t>
  </si>
  <si>
    <t>Ставка 17к,</t>
  </si>
  <si>
    <t>выход 11 к</t>
  </si>
  <si>
    <t>Таирова Нигина/ Айдана</t>
  </si>
  <si>
    <t>Жумурбаева Асем</t>
  </si>
  <si>
    <t>Ставка 11к,</t>
  </si>
  <si>
    <t>Ставка 11к, ( 121 000тг удержать  с  ЗП)</t>
  </si>
  <si>
    <t xml:space="preserve">Жанар Ночная </t>
  </si>
  <si>
    <t>75 000тг оплата Агенству за 5 дней</t>
  </si>
  <si>
    <t>45 000тг оплата Агенству за 3 дня</t>
  </si>
  <si>
    <t xml:space="preserve">Азамат </t>
  </si>
  <si>
    <t>Ернар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</si>
</sst>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[$р.-419]#,##0.00"/>
    <numFmt numFmtId="166" formatCode="_-* #,##0\ _₽_-;\-* #,##0\ _₽_-;_-* &quot;-&quot;??\ _₽_-;_-@"/>
  </numFmts>
  <fonts count="34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8.0"/>
      <color theme="1"/>
      <name val="Calibri"/>
    </font>
    <font>
      <b/>
      <u/>
      <sz val="14.0"/>
      <color theme="1"/>
      <name val="Calibri"/>
    </font>
    <font/>
    <font>
      <b/>
      <sz val="12.0"/>
      <color theme="1"/>
      <name val="Calibri"/>
    </font>
    <font>
      <b/>
      <i/>
      <sz val="12.0"/>
      <color theme="1"/>
      <name val="Calibri"/>
    </font>
    <font>
      <b/>
      <i/>
      <sz val="8.0"/>
      <color theme="1"/>
      <name val="Arial"/>
    </font>
    <font>
      <b/>
      <sz val="12.0"/>
      <color rgb="FFFF0000"/>
      <name val="Calibri"/>
    </font>
    <font>
      <sz val="12.0"/>
      <color rgb="FF000000"/>
      <name val="Calibri"/>
    </font>
    <font>
      <sz val="10.0"/>
      <color theme="1"/>
      <name val="Calibri"/>
    </font>
    <font>
      <sz val="12.0"/>
      <color rgb="FFFF0000"/>
      <name val="Calibri"/>
    </font>
    <font>
      <color theme="1"/>
      <name val="Calibri"/>
      <scheme val="minor"/>
    </font>
    <font>
      <sz val="11.0"/>
      <color rgb="FFFF0000"/>
      <name val="Calibri"/>
    </font>
    <font>
      <sz val="12.0"/>
      <color rgb="FFED0000"/>
      <name val="Calibri"/>
    </font>
    <font>
      <b/>
      <sz val="11.0"/>
      <color theme="1"/>
      <name val="Calibri"/>
    </font>
    <font>
      <b/>
      <u/>
      <sz val="11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b/>
      <i/>
      <sz val="11.0"/>
      <color theme="1"/>
      <name val="Times New Roman"/>
    </font>
    <font>
      <b/>
      <sz val="11.0"/>
      <color rgb="FFFF0000"/>
      <name val="Times New Roman"/>
    </font>
    <font>
      <sz val="11.0"/>
      <color rgb="FFFF0000"/>
      <name val="Times New Roman"/>
    </font>
    <font>
      <sz val="11.0"/>
      <color rgb="FFED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FF0000"/>
      <name val="Times New Roman"/>
    </font>
    <font>
      <sz val="16.0"/>
      <color theme="1"/>
      <name val="Calibri"/>
    </font>
    <font>
      <b/>
      <u/>
      <sz val="16.0"/>
      <color theme="1"/>
      <name val="Calibri"/>
    </font>
    <font>
      <b/>
      <sz val="16.0"/>
      <color theme="1"/>
      <name val="Calibri"/>
    </font>
    <font>
      <b/>
      <i/>
      <sz val="16.0"/>
      <color theme="1"/>
      <name val="Calibri"/>
    </font>
    <font>
      <b/>
      <sz val="16.0"/>
      <color rgb="FFFF0000"/>
      <name val="Calibri"/>
    </font>
    <font>
      <sz val="16.0"/>
      <color rgb="FFFF0000"/>
      <name val="Calibri"/>
    </font>
    <font>
      <sz val="16.0"/>
      <color rgb="FFED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rgb="FFFF7474"/>
        <bgColor rgb="FFFF7474"/>
      </patternFill>
    </fill>
  </fills>
  <borders count="2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textRotation="255"/>
    </xf>
    <xf borderId="0" fillId="0" fontId="2" numFmtId="0" xfId="0" applyAlignment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Border="1" applyFont="1"/>
    <xf borderId="1" fillId="0" fontId="3" numFmtId="0" xfId="0" applyAlignment="1" applyBorder="1" applyFont="1">
      <alignment textRotation="255"/>
    </xf>
    <xf borderId="0" fillId="0" fontId="2" numFmtId="0" xfId="0" applyFont="1"/>
    <xf borderId="2" fillId="2" fontId="6" numFmtId="0" xfId="0" applyAlignment="1" applyBorder="1" applyFill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1" vertical="center" wrapText="0"/>
    </xf>
    <xf borderId="4" fillId="2" fontId="7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5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vertical="center"/>
    </xf>
    <xf borderId="4" fillId="3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/>
    </xf>
    <xf borderId="7" fillId="3" fontId="6" numFmtId="0" xfId="0" applyAlignment="1" applyBorder="1" applyFont="1">
      <alignment horizontal="center"/>
    </xf>
    <xf borderId="4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ont="1">
      <alignment horizontal="left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16" xfId="0" applyAlignment="1" applyBorder="1" applyFont="1" applyNumberFormat="1">
      <alignment horizontal="center" shrinkToFit="0" vertical="center" wrapText="1"/>
    </xf>
    <xf borderId="4" fillId="4" fontId="2" numFmtId="3" xfId="0" applyAlignment="1" applyBorder="1" applyFont="1" applyNumberFormat="1">
      <alignment horizontal="center" vertical="center"/>
    </xf>
    <xf borderId="4" fillId="2" fontId="2" numFmtId="3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shrinkToFit="0" vertical="center" wrapText="1"/>
    </xf>
    <xf borderId="8" fillId="0" fontId="2" numFmtId="49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left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vertical="center"/>
    </xf>
    <xf borderId="2" fillId="3" fontId="6" numFmtId="0" xfId="0" applyAlignment="1" applyBorder="1" applyFont="1">
      <alignment horizontal="center" shrinkToFit="0" vertical="center" wrapText="1"/>
    </xf>
    <xf borderId="2" fillId="3" fontId="2" numFmtId="16" xfId="0" applyAlignment="1" applyBorder="1" applyFont="1" applyNumberFormat="1">
      <alignment horizontal="center" shrinkToFit="0" vertical="center" wrapText="1"/>
    </xf>
    <xf borderId="4" fillId="3" fontId="6" numFmtId="3" xfId="0" applyAlignment="1" applyBorder="1" applyFont="1" applyNumberFormat="1">
      <alignment horizontal="center" shrinkToFit="0" vertical="center" wrapText="1"/>
    </xf>
    <xf borderId="4" fillId="3" fontId="9" numFmtId="3" xfId="0" applyAlignment="1" applyBorder="1" applyFont="1" applyNumberFormat="1">
      <alignment horizontal="center" shrinkToFit="0" vertical="center" wrapText="1"/>
    </xf>
    <xf borderId="4" fillId="5" fontId="2" numFmtId="3" xfId="0" applyAlignment="1" applyBorder="1" applyFill="1" applyFont="1" applyNumberFormat="1">
      <alignment vertical="center"/>
    </xf>
    <xf borderId="4" fillId="3" fontId="6" numFmtId="164" xfId="0" applyAlignment="1" applyBorder="1" applyFont="1" applyNumberFormat="1">
      <alignment horizontal="center" shrinkToFit="0" vertical="center" wrapText="1"/>
    </xf>
    <xf borderId="4" fillId="4" fontId="2" numFmtId="3" xfId="0" applyAlignment="1" applyBorder="1" applyFont="1" applyNumberFormat="1">
      <alignment vertical="center"/>
    </xf>
    <xf borderId="7" fillId="3" fontId="2" numFmtId="0" xfId="0" applyAlignment="1" applyBorder="1" applyFont="1">
      <alignment horizontal="center" shrinkToFit="0" vertical="center" wrapText="1"/>
    </xf>
    <xf borderId="4" fillId="2" fontId="2" numFmtId="3" xfId="0" applyAlignment="1" applyBorder="1" applyFont="1" applyNumberFormat="1">
      <alignment vertical="center"/>
    </xf>
    <xf borderId="4" fillId="4" fontId="2" numFmtId="49" xfId="0" applyAlignment="1" applyBorder="1" applyFont="1" applyNumberFormat="1">
      <alignment horizontal="center" shrinkToFit="0" vertical="center" wrapText="1"/>
    </xf>
    <xf borderId="4" fillId="4" fontId="2" numFmtId="3" xfId="0" applyAlignment="1" applyBorder="1" applyFont="1" applyNumberFormat="1">
      <alignment horizontal="center" shrinkToFit="0" vertical="center" wrapText="1"/>
    </xf>
    <xf borderId="4" fillId="2" fontId="2" numFmtId="3" xfId="0" applyAlignment="1" applyBorder="1" applyFont="1" applyNumberFormat="1">
      <alignment horizontal="center" shrinkToFit="0" vertical="center" wrapText="1"/>
    </xf>
    <xf borderId="4" fillId="6" fontId="2" numFmtId="3" xfId="0" applyAlignment="1" applyBorder="1" applyFill="1" applyFont="1" applyNumberFormat="1">
      <alignment horizontal="center" vertical="center"/>
    </xf>
    <xf borderId="8" fillId="0" fontId="2" numFmtId="3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/>
    </xf>
    <xf borderId="4" fillId="2" fontId="2" numFmtId="3" xfId="0" applyAlignment="1" applyBorder="1" applyFont="1" applyNumberFormat="1">
      <alignment horizontal="center" readingOrder="0" vertical="center"/>
    </xf>
    <xf borderId="4" fillId="4" fontId="2" numFmtId="3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7" fontId="2" numFmtId="3" xfId="0" applyAlignment="1" applyBorder="1" applyFill="1" applyFont="1" applyNumberFormat="1">
      <alignment horizontal="center" vertical="center"/>
    </xf>
    <xf borderId="4" fillId="2" fontId="2" numFmtId="3" xfId="0" applyAlignment="1" applyBorder="1" applyFont="1" applyNumberFormat="1">
      <alignment horizontal="center" readingOrder="0" shrinkToFit="0" vertical="center" wrapText="1"/>
    </xf>
    <xf borderId="4" fillId="4" fontId="2" numFmtId="3" xfId="0" applyAlignment="1" applyBorder="1" applyFont="1" applyNumberFormat="1">
      <alignment horizontal="center" readingOrder="0" shrinkToFit="0" vertical="center" wrapText="1"/>
    </xf>
    <xf borderId="4" fillId="4" fontId="11" numFmtId="3" xfId="0" applyAlignment="1" applyBorder="1" applyFont="1" applyNumberFormat="1">
      <alignment horizontal="center" readingOrder="0" shrinkToFit="0" vertical="center" wrapText="1"/>
    </xf>
    <xf borderId="4" fillId="4" fontId="1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2" numFmtId="16" xfId="0" applyAlignment="1" applyBorder="1" applyFont="1" applyNumberFormat="1">
      <alignment horizontal="center" shrinkToFit="0" vertical="center" wrapText="1"/>
    </xf>
    <xf borderId="4" fillId="4" fontId="2" numFmtId="0" xfId="0" applyAlignment="1" applyBorder="1" applyFont="1">
      <alignment horizontal="left" vertical="center"/>
    </xf>
    <xf borderId="4" fillId="8" fontId="2" numFmtId="3" xfId="0" applyAlignment="1" applyBorder="1" applyFill="1" applyFont="1" applyNumberFormat="1">
      <alignment horizontal="center" shrinkToFit="0" vertical="center" wrapText="1"/>
    </xf>
    <xf borderId="4" fillId="4" fontId="12" numFmtId="3" xfId="0" applyAlignment="1" applyBorder="1" applyFont="1" applyNumberFormat="1">
      <alignment horizontal="center" shrinkToFit="0" vertical="center" wrapText="1"/>
    </xf>
    <xf borderId="4" fillId="7" fontId="2" numFmtId="3" xfId="0" applyAlignment="1" applyBorder="1" applyFont="1" applyNumberFormat="1">
      <alignment horizontal="center" shrinkToFit="0" vertical="center" wrapText="1"/>
    </xf>
    <xf borderId="4" fillId="9" fontId="2" numFmtId="3" xfId="0" applyAlignment="1" applyBorder="1" applyFill="1" applyFont="1" applyNumberFormat="1">
      <alignment horizontal="center" vertical="center"/>
    </xf>
    <xf borderId="4" fillId="10" fontId="2" numFmtId="3" xfId="0" applyAlignment="1" applyBorder="1" applyFill="1" applyFont="1" applyNumberFormat="1">
      <alignment horizontal="center" vertical="center"/>
    </xf>
    <xf borderId="0" fillId="0" fontId="13" numFmtId="0" xfId="0" applyFont="1"/>
    <xf borderId="4" fillId="11" fontId="2" numFmtId="0" xfId="0" applyAlignment="1" applyBorder="1" applyFill="1" applyFont="1">
      <alignment horizontal="left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left" vertical="center"/>
    </xf>
    <xf borderId="2" fillId="3" fontId="2" numFmtId="16" xfId="0" applyAlignment="1" applyBorder="1" applyFont="1" applyNumberFormat="1">
      <alignment shrinkToFit="0" vertical="center" wrapText="1"/>
    </xf>
    <xf borderId="7" fillId="3" fontId="2" numFmtId="3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readingOrder="0" vertical="center"/>
    </xf>
    <xf borderId="4" fillId="4" fontId="1" numFmtId="3" xfId="0" applyAlignment="1" applyBorder="1" applyFont="1" applyNumberFormat="1">
      <alignment horizontal="center" vertical="center"/>
    </xf>
    <xf borderId="4" fillId="2" fontId="1" numFmtId="3" xfId="0" applyAlignment="1" applyBorder="1" applyFont="1" applyNumberFormat="1">
      <alignment horizontal="center" vertical="center"/>
    </xf>
    <xf borderId="4" fillId="2" fontId="1" numFmtId="3" xfId="0" applyAlignment="1" applyBorder="1" applyFont="1" applyNumberFormat="1">
      <alignment horizontal="center" readingOrder="0" vertical="center"/>
    </xf>
    <xf borderId="4" fillId="4" fontId="1" numFmtId="3" xfId="0" applyAlignment="1" applyBorder="1" applyFont="1" applyNumberFormat="1">
      <alignment horizontal="center" readingOrder="0" vertical="center"/>
    </xf>
    <xf borderId="4" fillId="2" fontId="1" numFmtId="165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10" fillId="0" fontId="5" numFmtId="0" xfId="0" applyBorder="1" applyFont="1"/>
    <xf borderId="0" fillId="0" fontId="1" numFmtId="0" xfId="0" applyFont="1"/>
    <xf borderId="3" fillId="0" fontId="2" numFmtId="0" xfId="0" applyAlignment="1" applyBorder="1" applyFont="1">
      <alignment horizontal="left" vertical="center"/>
    </xf>
    <xf borderId="4" fillId="4" fontId="14" numFmtId="3" xfId="0" applyAlignment="1" applyBorder="1" applyFont="1" applyNumberFormat="1">
      <alignment horizontal="center" vertical="center"/>
    </xf>
    <xf borderId="4" fillId="2" fontId="14" numFmtId="3" xfId="0" applyAlignment="1" applyBorder="1" applyFont="1" applyNumberFormat="1">
      <alignment horizontal="center" vertical="center"/>
    </xf>
    <xf borderId="4" fillId="4" fontId="14" numFmtId="3" xfId="0" applyAlignment="1" applyBorder="1" applyFont="1" applyNumberFormat="1">
      <alignment horizontal="center" readingOrder="0" vertical="center"/>
    </xf>
    <xf borderId="4" fillId="2" fontId="14" numFmtId="3" xfId="0" applyAlignment="1" applyBorder="1" applyFont="1" applyNumberFormat="1">
      <alignment horizontal="center" readingOrder="0" vertical="center"/>
    </xf>
    <xf borderId="10" fillId="0" fontId="2" numFmtId="16" xfId="0" applyAlignment="1" applyBorder="1" applyFont="1" applyNumberFormat="1">
      <alignment horizontal="center" shrinkToFit="0" vertical="center" wrapText="1"/>
    </xf>
    <xf borderId="0" fillId="0" fontId="1" numFmtId="9" xfId="0" applyAlignment="1" applyFont="1" applyNumberFormat="1">
      <alignment horizontal="left"/>
    </xf>
    <xf borderId="4" fillId="0" fontId="2" numFmtId="0" xfId="0" applyAlignment="1" applyBorder="1" applyFont="1">
      <alignment shrinkToFit="0" vertical="center" wrapText="1"/>
    </xf>
    <xf borderId="4" fillId="5" fontId="1" numFmtId="3" xfId="0" applyAlignment="1" applyBorder="1" applyFont="1" applyNumberFormat="1">
      <alignment horizontal="center" vertical="center"/>
    </xf>
    <xf borderId="4" fillId="5" fontId="2" numFmtId="3" xfId="0" applyAlignment="1" applyBorder="1" applyFont="1" applyNumberFormat="1">
      <alignment horizontal="center" vertical="center"/>
    </xf>
    <xf borderId="2" fillId="4" fontId="2" numFmtId="0" xfId="0" applyAlignment="1" applyBorder="1" applyFont="1">
      <alignment horizontal="left" vertical="center"/>
    </xf>
    <xf borderId="4" fillId="4" fontId="12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left" vertical="center"/>
    </xf>
    <xf borderId="4" fillId="4" fontId="2" numFmtId="12" xfId="0" applyAlignment="1" applyBorder="1" applyFont="1" applyNumberFormat="1">
      <alignment horizontal="center" shrinkToFit="0" vertical="center" wrapText="1"/>
    </xf>
    <xf borderId="4" fillId="4" fontId="12" numFmtId="3" xfId="0" applyAlignment="1" applyBorder="1" applyFont="1" applyNumberFormat="1">
      <alignment horizontal="center" vertical="center"/>
    </xf>
    <xf borderId="4" fillId="2" fontId="12" numFmtId="3" xfId="0" applyAlignment="1" applyBorder="1" applyFont="1" applyNumberFormat="1">
      <alignment horizontal="center" vertical="center"/>
    </xf>
    <xf borderId="4" fillId="4" fontId="12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shrinkToFit="0" vertical="center" wrapText="1"/>
    </xf>
    <xf borderId="4" fillId="2" fontId="2" numFmtId="0" xfId="0" applyAlignment="1" applyBorder="1" applyFont="1">
      <alignment horizontal="center" vertical="center"/>
    </xf>
    <xf borderId="4" fillId="4" fontId="6" numFmtId="164" xfId="0" applyAlignment="1" applyBorder="1" applyFont="1" applyNumberFormat="1">
      <alignment horizontal="center" shrinkToFit="0" vertical="center" wrapText="1"/>
    </xf>
    <xf borderId="4" fillId="2" fontId="2" numFmtId="0" xfId="0" applyAlignment="1" applyBorder="1" applyFont="1">
      <alignment horizontal="center" readingOrder="0" vertical="center"/>
    </xf>
    <xf borderId="7" fillId="4" fontId="2" numFmtId="3" xfId="0" applyAlignment="1" applyBorder="1" applyFont="1" applyNumberFormat="1">
      <alignment horizontal="center" shrinkToFit="0" vertical="center" wrapText="1"/>
    </xf>
    <xf borderId="4" fillId="12" fontId="2" numFmtId="3" xfId="0" applyAlignment="1" applyBorder="1" applyFill="1" applyFont="1" applyNumberFormat="1">
      <alignment horizontal="center" vertical="center"/>
    </xf>
    <xf borderId="11" fillId="4" fontId="1" numFmtId="0" xfId="0" applyBorder="1" applyFont="1"/>
    <xf borderId="4" fillId="4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vertical="center"/>
    </xf>
    <xf borderId="2" fillId="4" fontId="2" numFmtId="16" xfId="0" applyAlignment="1" applyBorder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vertical="center"/>
    </xf>
    <xf borderId="4" fillId="4" fontId="2" numFmtId="16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2" fillId="11" fontId="2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left" vertical="center"/>
    </xf>
    <xf borderId="0" fillId="0" fontId="14" numFmtId="0" xfId="0" applyAlignment="1" applyFont="1">
      <alignment horizontal="left"/>
    </xf>
    <xf borderId="3" fillId="0" fontId="12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left" vertical="center"/>
    </xf>
    <xf borderId="4" fillId="4" fontId="2" numFmtId="16" xfId="0" applyAlignment="1" applyBorder="1" applyFont="1" applyNumberFormat="1">
      <alignment shrinkToFit="0" vertical="center" wrapText="1"/>
    </xf>
    <xf borderId="4" fillId="2" fontId="1" numFmtId="0" xfId="0" applyBorder="1" applyFont="1"/>
    <xf borderId="9" fillId="0" fontId="14" numFmtId="0" xfId="0" applyAlignment="1" applyBorder="1" applyFont="1">
      <alignment horizontal="left"/>
    </xf>
    <xf borderId="3" fillId="0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left" vertical="center"/>
    </xf>
    <xf borderId="4" fillId="4" fontId="1" numFmtId="0" xfId="0" applyBorder="1" applyFont="1"/>
    <xf borderId="4" fillId="0" fontId="2" numFmtId="0" xfId="0" applyAlignment="1" applyBorder="1" applyFont="1">
      <alignment horizontal="center"/>
    </xf>
    <xf borderId="4" fillId="4" fontId="2" numFmtId="0" xfId="0" applyAlignment="1" applyBorder="1" applyFont="1">
      <alignment readingOrder="0" vertical="center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3" fontId="2" numFmtId="3" xfId="0" applyAlignment="1" applyBorder="1" applyFont="1" applyNumberFormat="1">
      <alignment horizontal="center" shrinkToFit="0" vertical="center" wrapText="1"/>
    </xf>
    <xf borderId="12" fillId="3" fontId="2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8" fillId="0" fontId="5" numFmtId="0" xfId="0" applyBorder="1" applyFont="1"/>
    <xf borderId="4" fillId="3" fontId="2" numFmtId="0" xfId="0" applyAlignment="1" applyBorder="1" applyFon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4" fillId="0" fontId="6" numFmtId="3" xfId="0" applyBorder="1" applyFont="1" applyNumberFormat="1"/>
    <xf borderId="14" fillId="2" fontId="2" numFmtId="0" xfId="0" applyAlignment="1" applyBorder="1" applyFont="1">
      <alignment horizontal="right" vertical="center"/>
    </xf>
    <xf borderId="15" fillId="2" fontId="2" numFmtId="0" xfId="0" applyAlignment="1" applyBorder="1" applyFont="1">
      <alignment horizontal="left" vertical="center"/>
    </xf>
    <xf borderId="15" fillId="2" fontId="2" numFmtId="0" xfId="0" applyAlignment="1" applyBorder="1" applyFont="1">
      <alignment horizontal="right" vertical="center"/>
    </xf>
    <xf borderId="15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4" fillId="2" fontId="6" numFmtId="3" xfId="0" applyAlignment="1" applyBorder="1" applyFont="1" applyNumberForma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1"/>
    </xf>
    <xf borderId="14" fillId="9" fontId="2" numFmtId="0" xfId="0" applyAlignment="1" applyBorder="1" applyFont="1">
      <alignment horizontal="right" vertical="center"/>
    </xf>
    <xf borderId="15" fillId="9" fontId="2" numFmtId="0" xfId="0" applyAlignment="1" applyBorder="1" applyFont="1">
      <alignment horizontal="left" vertical="center"/>
    </xf>
    <xf borderId="15" fillId="9" fontId="2" numFmtId="0" xfId="0" applyAlignment="1" applyBorder="1" applyFont="1">
      <alignment horizontal="right" vertical="center"/>
    </xf>
    <xf borderId="15" fillId="9" fontId="2" numFmtId="0" xfId="0" applyAlignment="1" applyBorder="1" applyFont="1">
      <alignment horizontal="center" vertical="center"/>
    </xf>
    <xf borderId="7" fillId="9" fontId="2" numFmtId="0" xfId="0" applyAlignment="1" applyBorder="1" applyFont="1">
      <alignment horizontal="center" shrinkToFit="0" vertical="center" wrapText="1"/>
    </xf>
    <xf borderId="4" fillId="9" fontId="2" numFmtId="3" xfId="0" applyAlignment="1" applyBorder="1" applyFont="1" applyNumberFormat="1">
      <alignment horizontal="center" shrinkToFit="0" vertical="center" wrapText="1"/>
    </xf>
    <xf borderId="4" fillId="9" fontId="6" numFmtId="3" xfId="0" applyAlignment="1" applyBorder="1" applyFont="1" applyNumberFormat="1">
      <alignment horizontal="center" shrinkToFit="0" vertical="center" wrapText="1"/>
    </xf>
    <xf borderId="14" fillId="13" fontId="2" numFmtId="0" xfId="0" applyAlignment="1" applyBorder="1" applyFill="1" applyFont="1">
      <alignment horizontal="right" vertical="center"/>
    </xf>
    <xf borderId="15" fillId="13" fontId="2" numFmtId="0" xfId="0" applyAlignment="1" applyBorder="1" applyFont="1">
      <alignment horizontal="left" vertical="center"/>
    </xf>
    <xf borderId="15" fillId="13" fontId="2" numFmtId="0" xfId="0" applyAlignment="1" applyBorder="1" applyFont="1">
      <alignment horizontal="right" vertical="center"/>
    </xf>
    <xf borderId="15" fillId="13" fontId="2" numFmtId="0" xfId="0" applyAlignment="1" applyBorder="1" applyFont="1">
      <alignment horizontal="center" vertical="center"/>
    </xf>
    <xf borderId="7" fillId="13" fontId="2" numFmtId="0" xfId="0" applyAlignment="1" applyBorder="1" applyFont="1">
      <alignment horizontal="center" shrinkToFit="0" vertical="center" wrapText="1"/>
    </xf>
    <xf borderId="4" fillId="13" fontId="2" numFmtId="3" xfId="0" applyAlignment="1" applyBorder="1" applyFont="1" applyNumberFormat="1">
      <alignment horizontal="center" shrinkToFit="0" vertical="center" wrapText="1"/>
    </xf>
    <xf borderId="4" fillId="13" fontId="6" numFmtId="3" xfId="0" applyAlignment="1" applyBorder="1" applyFont="1" applyNumberFormat="1">
      <alignment horizontal="center" shrinkToFit="0" vertical="center" wrapText="1"/>
    </xf>
    <xf borderId="16" fillId="3" fontId="12" numFmtId="166" xfId="0" applyAlignment="1" applyBorder="1" applyFont="1" applyNumberFormat="1">
      <alignment horizontal="center" shrinkToFit="0" vertical="center" wrapText="1"/>
    </xf>
    <xf borderId="14" fillId="5" fontId="2" numFmtId="0" xfId="0" applyAlignment="1" applyBorder="1" applyFont="1">
      <alignment horizontal="right" vertical="center"/>
    </xf>
    <xf borderId="15" fillId="5" fontId="2" numFmtId="0" xfId="0" applyAlignment="1" applyBorder="1" applyFont="1">
      <alignment horizontal="left" vertical="center"/>
    </xf>
    <xf borderId="15" fillId="5" fontId="2" numFmtId="0" xfId="0" applyAlignment="1" applyBorder="1" applyFont="1">
      <alignment horizontal="right" vertical="center"/>
    </xf>
    <xf borderId="15" fillId="5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shrinkToFit="0" vertical="center" wrapText="1"/>
    </xf>
    <xf borderId="4" fillId="5" fontId="2" numFmtId="3" xfId="0" applyAlignment="1" applyBorder="1" applyFont="1" applyNumberFormat="1">
      <alignment horizontal="center" shrinkToFit="0" vertical="center" wrapText="1"/>
    </xf>
    <xf borderId="17" fillId="3" fontId="12" numFmtId="166" xfId="0" applyAlignment="1" applyBorder="1" applyFont="1" applyNumberFormat="1">
      <alignment horizontal="center" shrinkToFit="0" vertical="center" wrapText="1"/>
    </xf>
    <xf borderId="18" fillId="3" fontId="12" numFmtId="166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12" numFmtId="0" xfId="0" applyAlignment="1" applyFont="1">
      <alignment horizontal="righ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4" fillId="2" fontId="8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19" fillId="4" fontId="2" numFmtId="3" xfId="0" applyAlignment="1" applyBorder="1" applyFont="1" applyNumberFormat="1">
      <alignment horizontal="center" shrinkToFit="0" vertical="center" wrapText="1"/>
    </xf>
    <xf borderId="19" fillId="2" fontId="2" numFmtId="3" xfId="0" applyAlignment="1" applyBorder="1" applyFont="1" applyNumberFormat="1">
      <alignment horizontal="center" shrinkToFit="0" vertical="center" wrapText="1"/>
    </xf>
    <xf borderId="4" fillId="14" fontId="2" numFmtId="3" xfId="0" applyAlignment="1" applyBorder="1" applyFill="1" applyFont="1" applyNumberFormat="1">
      <alignment horizontal="center" vertical="center"/>
    </xf>
    <xf borderId="4" fillId="2" fontId="16" numFmtId="0" xfId="0" applyBorder="1" applyFont="1"/>
    <xf borderId="12" fillId="2" fontId="16" numFmtId="0" xfId="0" applyAlignment="1" applyBorder="1" applyFont="1">
      <alignment horizontal="center"/>
    </xf>
    <xf borderId="3" fillId="0" fontId="2" numFmtId="0" xfId="0" applyAlignment="1" applyBorder="1" applyFont="1">
      <alignment shrinkToFit="0" vertical="center" wrapText="1"/>
    </xf>
    <xf borderId="4" fillId="2" fontId="16" numFmtId="0" xfId="0" applyAlignment="1" applyBorder="1" applyFont="1">
      <alignment horizontal="center"/>
    </xf>
    <xf borderId="4" fillId="2" fontId="16" numFmtId="164" xfId="0" applyAlignment="1" applyBorder="1" applyFont="1" applyNumberFormat="1">
      <alignment horizontal="center"/>
    </xf>
    <xf borderId="12" fillId="2" fontId="16" numFmtId="164" xfId="0" applyAlignment="1" applyBorder="1" applyFont="1" applyNumberFormat="1">
      <alignment horizontal="center"/>
    </xf>
    <xf borderId="4" fillId="0" fontId="1" numFmtId="3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left" shrinkToFit="0" vertical="center" wrapText="1"/>
    </xf>
    <xf borderId="4" fillId="15" fontId="1" numFmtId="3" xfId="0" applyAlignment="1" applyBorder="1" applyFill="1" applyFont="1" applyNumberFormat="1">
      <alignment horizontal="center" vertical="center"/>
    </xf>
    <xf borderId="4" fillId="15" fontId="2" numFmtId="3" xfId="0" applyAlignment="1" applyBorder="1" applyFont="1" applyNumberFormat="1">
      <alignment horizontal="center" vertical="center"/>
    </xf>
    <xf borderId="4" fillId="0" fontId="1" numFmtId="0" xfId="0" applyBorder="1" applyFont="1"/>
    <xf borderId="6" fillId="0" fontId="12" numFmtId="0" xfId="0" applyAlignment="1" applyBorder="1" applyFont="1">
      <alignment horizontal="center" shrinkToFit="0" vertical="center" wrapText="1"/>
    </xf>
    <xf borderId="5" fillId="4" fontId="2" numFmtId="16" xfId="0" applyAlignment="1" applyBorder="1" applyFont="1" applyNumberFormat="1">
      <alignment horizontal="center" shrinkToFit="0" vertical="center" wrapText="1"/>
    </xf>
    <xf borderId="12" fillId="4" fontId="1" numFmtId="0" xfId="0" applyAlignment="1" applyBorder="1" applyFont="1">
      <alignment horizontal="center"/>
    </xf>
    <xf borderId="6" fillId="0" fontId="2" numFmtId="16" xfId="0" applyAlignment="1" applyBorder="1" applyFont="1" applyNumberFormat="1">
      <alignment horizontal="center" shrinkToFit="0" vertical="center" wrapText="1"/>
    </xf>
    <xf borderId="4" fillId="4" fontId="2" numFmtId="164" xfId="0" applyAlignment="1" applyBorder="1" applyFont="1" applyNumberFormat="1">
      <alignment horizontal="center" vertical="center"/>
    </xf>
    <xf borderId="4" fillId="4" fontId="2" numFmtId="49" xfId="0" applyAlignment="1" applyBorder="1" applyFont="1" applyNumberFormat="1">
      <alignment horizontal="center" vertical="center"/>
    </xf>
    <xf borderId="4" fillId="2" fontId="2" numFmtId="49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19" fillId="2" fontId="2" numFmtId="0" xfId="0" applyAlignment="1" applyBorder="1" applyFont="1">
      <alignment horizontal="center" shrinkToFit="0" vertical="center" wrapText="1"/>
    </xf>
    <xf borderId="19" fillId="4" fontId="2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1" fillId="0" fontId="18" numFmtId="0" xfId="0" applyAlignment="1" applyBorder="1" applyFont="1">
      <alignment horizontal="center" textRotation="255" vertical="center"/>
    </xf>
    <xf borderId="0" fillId="0" fontId="18" numFmtId="0" xfId="0" applyFont="1"/>
    <xf borderId="2" fillId="2" fontId="19" numFmtId="0" xfId="0" applyAlignment="1" applyBorder="1" applyFont="1">
      <alignment horizontal="center" vertical="center"/>
    </xf>
    <xf borderId="3" fillId="2" fontId="19" numFmtId="0" xfId="0" applyAlignment="1" applyBorder="1" applyFont="1">
      <alignment horizontal="center" shrinkToFit="0" vertical="center" wrapText="1"/>
    </xf>
    <xf borderId="3" fillId="2" fontId="19" numFmtId="0" xfId="0" applyAlignment="1" applyBorder="1" applyFont="1">
      <alignment horizontal="center" shrinkToFit="1" vertical="center" wrapText="0"/>
    </xf>
    <xf borderId="4" fillId="2" fontId="20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center" vertical="center"/>
    </xf>
    <xf borderId="2" fillId="2" fontId="20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vertical="center"/>
    </xf>
    <xf borderId="4" fillId="3" fontId="19" numFmtId="0" xfId="0" applyAlignment="1" applyBorder="1" applyFont="1">
      <alignment horizontal="left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7" fillId="3" fontId="19" numFmtId="0" xfId="0" applyAlignment="1" applyBorder="1" applyFont="1">
      <alignment horizontal="center" vertical="center"/>
    </xf>
    <xf borderId="4" fillId="4" fontId="18" numFmtId="0" xfId="0" applyAlignment="1" applyBorder="1" applyFont="1">
      <alignment horizontal="center" vertical="center"/>
    </xf>
    <xf borderId="4" fillId="4" fontId="18" numFmtId="0" xfId="0" applyAlignment="1" applyBorder="1" applyFont="1">
      <alignment horizontal="left" shrinkToFit="0" vertical="center" wrapText="1"/>
    </xf>
    <xf borderId="4" fillId="4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8" numFmtId="16" xfId="0" applyAlignment="1" applyBorder="1" applyFont="1" applyNumberFormat="1">
      <alignment horizontal="center" shrinkToFit="0" vertical="center" wrapText="1"/>
    </xf>
    <xf borderId="4" fillId="4" fontId="18" numFmtId="49" xfId="0" applyAlignment="1" applyBorder="1" applyFont="1" applyNumberFormat="1">
      <alignment horizontal="center" vertical="center"/>
    </xf>
    <xf borderId="4" fillId="2" fontId="18" numFmtId="49" xfId="0" applyAlignment="1" applyBorder="1" applyFont="1" applyNumberFormat="1">
      <alignment horizontal="center" vertical="center"/>
    </xf>
    <xf borderId="4" fillId="0" fontId="19" numFmtId="0" xfId="0" applyAlignment="1" applyBorder="1" applyFont="1">
      <alignment horizontal="center" shrinkToFit="0" vertical="center" wrapText="1"/>
    </xf>
    <xf borderId="8" fillId="0" fontId="18" numFmtId="49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left" vertical="center"/>
    </xf>
    <xf borderId="4" fillId="2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shrinkToFit="0" vertical="center" wrapText="1"/>
    </xf>
    <xf borderId="3" fillId="4" fontId="2" numFmtId="16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vertical="center"/>
    </xf>
    <xf borderId="6" fillId="0" fontId="12" numFmtId="0" xfId="0" applyAlignment="1" applyBorder="1" applyFont="1">
      <alignment horizontal="left" vertical="center"/>
    </xf>
    <xf borderId="2" fillId="3" fontId="18" numFmtId="16" xfId="0" applyAlignment="1" applyBorder="1" applyFont="1" applyNumberFormat="1">
      <alignment horizontal="center" shrinkToFit="0" vertical="center" wrapText="1"/>
    </xf>
    <xf borderId="4" fillId="3" fontId="21" numFmtId="0" xfId="0" applyAlignment="1" applyBorder="1" applyFont="1">
      <alignment horizontal="center" shrinkToFit="0" vertical="center" wrapText="1"/>
    </xf>
    <xf borderId="7" fillId="3" fontId="18" numFmtId="0" xfId="0" applyAlignment="1" applyBorder="1" applyFont="1">
      <alignment horizontal="center" shrinkToFit="0" vertical="center" wrapText="1"/>
    </xf>
    <xf borderId="4" fillId="4" fontId="18" numFmtId="49" xfId="0" applyAlignment="1" applyBorder="1" applyFont="1" applyNumberFormat="1">
      <alignment horizontal="center" shrinkToFit="0" vertical="center" wrapText="1"/>
    </xf>
    <xf borderId="4" fillId="2" fontId="18" numFmtId="0" xfId="0" applyAlignment="1" applyBorder="1" applyFont="1">
      <alignment horizontal="center" shrinkToFit="0" vertical="center" wrapText="1"/>
    </xf>
    <xf borderId="19" fillId="2" fontId="18" numFmtId="0" xfId="0" applyAlignment="1" applyBorder="1" applyFont="1">
      <alignment horizontal="center" shrinkToFit="0" vertical="center" wrapText="1"/>
    </xf>
    <xf borderId="19" fillId="4" fontId="18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vertical="center"/>
    </xf>
    <xf borderId="4" fillId="4" fontId="18" numFmtId="0" xfId="0" applyAlignment="1" applyBorder="1" applyFont="1">
      <alignment horizontal="left" vertical="center"/>
    </xf>
    <xf borderId="4" fillId="3" fontId="19" numFmtId="0" xfId="0" applyAlignment="1" applyBorder="1" applyFont="1">
      <alignment horizontal="left" vertical="center"/>
    </xf>
    <xf borderId="3" fillId="0" fontId="18" numFmtId="0" xfId="0" applyAlignment="1" applyBorder="1" applyFont="1">
      <alignment horizontal="left" vertical="center"/>
    </xf>
    <xf borderId="4" fillId="0" fontId="22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shrinkToFit="0" vertical="center" wrapText="1"/>
    </xf>
    <xf borderId="2" fillId="4" fontId="18" numFmtId="0" xfId="0" applyAlignment="1" applyBorder="1" applyFont="1">
      <alignment horizontal="center" vertical="center"/>
    </xf>
    <xf borderId="3" fillId="0" fontId="18" numFmtId="16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3" fontId="2" numFmtId="1" xfId="0" applyAlignment="1" applyBorder="1" applyFont="1" applyNumberFormat="1">
      <alignment horizontal="center" shrinkToFit="0" vertical="center" wrapText="1"/>
    </xf>
    <xf borderId="12" fillId="4" fontId="18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/>
    </xf>
    <xf borderId="4" fillId="4" fontId="22" numFmtId="0" xfId="0" applyAlignment="1" applyBorder="1" applyFont="1">
      <alignment horizontal="left" vertical="center"/>
    </xf>
    <xf borderId="4" fillId="4" fontId="22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left" vertical="center"/>
    </xf>
    <xf borderId="5" fillId="4" fontId="22" numFmtId="0" xfId="0" applyAlignment="1" applyBorder="1" applyFont="1">
      <alignment horizontal="center" shrinkToFit="0" vertical="center" wrapText="1"/>
    </xf>
    <xf borderId="5" fillId="4" fontId="18" numFmtId="12" xfId="0" applyAlignment="1" applyBorder="1" applyFont="1" applyNumberFormat="1">
      <alignment horizontal="center" shrinkToFit="0" vertical="center" wrapText="1"/>
    </xf>
    <xf borderId="5" fillId="4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vertical="center"/>
    </xf>
    <xf borderId="4" fillId="2" fontId="22" numFmtId="0" xfId="0" applyAlignment="1" applyBorder="1" applyFont="1">
      <alignment horizontal="center" vertical="center"/>
    </xf>
    <xf borderId="4" fillId="0" fontId="6" numFmtId="0" xfId="0" applyBorder="1" applyFont="1"/>
    <xf borderId="4" fillId="0" fontId="22" numFmtId="0" xfId="0" applyAlignment="1" applyBorder="1" applyFont="1">
      <alignment horizontal="left" vertical="center"/>
    </xf>
    <xf borderId="3" fillId="0" fontId="22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4" fillId="4" fontId="18" numFmtId="12" xfId="0" applyAlignment="1" applyBorder="1" applyFont="1" applyNumberFormat="1">
      <alignment horizontal="center" shrinkToFit="0" vertical="center" wrapText="1"/>
    </xf>
    <xf borderId="4" fillId="4" fontId="18" numFmtId="0" xfId="0" applyAlignment="1" applyBorder="1" applyFont="1">
      <alignment vertical="center"/>
    </xf>
    <xf borderId="2" fillId="4" fontId="18" numFmtId="16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4" fontId="18" numFmtId="16" xfId="0" applyAlignment="1" applyBorder="1" applyFont="1" applyNumberFormat="1">
      <alignment horizontal="center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vertical="center"/>
    </xf>
    <xf borderId="3" fillId="0" fontId="22" numFmtId="0" xfId="0" applyAlignment="1" applyBorder="1" applyFont="1">
      <alignment horizontal="left" shrinkToFit="0" vertical="center" wrapText="1"/>
    </xf>
    <xf borderId="3" fillId="0" fontId="22" numFmtId="0" xfId="0" applyAlignment="1" applyBorder="1" applyFont="1">
      <alignment horizontal="left" vertical="center"/>
    </xf>
    <xf borderId="3" fillId="4" fontId="18" numFmtId="16" xfId="0" applyAlignment="1" applyBorder="1" applyFont="1" applyNumberFormat="1">
      <alignment horizontal="center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left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5" fillId="4" fontId="18" numFmtId="16" xfId="0" applyAlignment="1" applyBorder="1" applyFont="1" applyNumberFormat="1">
      <alignment horizontal="center" shrinkToFit="0" vertical="center" wrapText="1"/>
    </xf>
    <xf borderId="6" fillId="0" fontId="18" numFmtId="0" xfId="0" applyAlignment="1" applyBorder="1" applyFont="1">
      <alignment horizontal="left" vertical="center"/>
    </xf>
    <xf borderId="4" fillId="13" fontId="6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/>
    </xf>
    <xf borderId="4" fillId="3" fontId="18" numFmtId="0" xfId="0" applyAlignment="1" applyBorder="1" applyFont="1">
      <alignment horizontal="center" vertical="center"/>
    </xf>
    <xf borderId="4" fillId="3" fontId="18" numFmtId="0" xfId="0" applyAlignment="1" applyBorder="1" applyFont="1">
      <alignment horizontal="left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12" fillId="3" fontId="18" numFmtId="0" xfId="0" applyAlignment="1" applyBorder="1" applyFont="1">
      <alignment horizontal="center" shrinkToFit="0" vertical="center" wrapText="1"/>
    </xf>
    <xf borderId="4" fillId="3" fontId="18" numFmtId="1" xfId="0" applyAlignment="1" applyBorder="1" applyFont="1" applyNumberFormat="1">
      <alignment horizontal="center" shrinkToFit="0" vertical="center" wrapText="1"/>
    </xf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left" shrinkToFit="0" wrapText="1"/>
    </xf>
    <xf borderId="0" fillId="0" fontId="24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0" fillId="0" fontId="18" numFmtId="0" xfId="0" applyAlignment="1" applyFont="1">
      <alignment horizontal="left" shrinkToFit="0" wrapText="1"/>
    </xf>
    <xf borderId="4" fillId="0" fontId="25" numFmtId="0" xfId="0" applyAlignment="1" applyBorder="1" applyFont="1">
      <alignment horizontal="center" vertical="center"/>
    </xf>
    <xf borderId="14" fillId="2" fontId="24" numFmtId="0" xfId="0" applyAlignment="1" applyBorder="1" applyFont="1">
      <alignment horizontal="right" vertical="center"/>
    </xf>
    <xf borderId="15" fillId="2" fontId="24" numFmtId="0" xfId="0" applyAlignment="1" applyBorder="1" applyFont="1">
      <alignment horizontal="left" vertical="center"/>
    </xf>
    <xf borderId="15" fillId="2" fontId="24" numFmtId="0" xfId="0" applyAlignment="1" applyBorder="1" applyFont="1">
      <alignment horizontal="right" vertical="center"/>
    </xf>
    <xf borderId="15" fillId="2" fontId="24" numFmtId="0" xfId="0" applyAlignment="1" applyBorder="1" applyFont="1">
      <alignment horizontal="center" vertical="center"/>
    </xf>
    <xf borderId="7" fillId="2" fontId="2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textRotation="255"/>
    </xf>
    <xf borderId="4" fillId="2" fontId="2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right" vertical="center"/>
    </xf>
    <xf borderId="0" fillId="0" fontId="22" numFmtId="0" xfId="0" applyFont="1"/>
    <xf borderId="4" fillId="2" fontId="25" numFmtId="0" xfId="0" applyAlignment="1" applyBorder="1" applyFont="1">
      <alignment horizontal="center" shrinkToFit="0" vertical="center" wrapText="1"/>
    </xf>
    <xf borderId="7" fillId="3" fontId="26" numFmtId="0" xfId="0" applyAlignment="1" applyBorder="1" applyFont="1">
      <alignment horizontal="center" shrinkToFit="0" vertical="center" wrapText="1"/>
    </xf>
    <xf borderId="14" fillId="9" fontId="24" numFmtId="0" xfId="0" applyAlignment="1" applyBorder="1" applyFont="1">
      <alignment horizontal="right" vertical="center"/>
    </xf>
    <xf borderId="15" fillId="9" fontId="24" numFmtId="0" xfId="0" applyAlignment="1" applyBorder="1" applyFont="1">
      <alignment horizontal="left" vertical="center"/>
    </xf>
    <xf borderId="15" fillId="9" fontId="24" numFmtId="0" xfId="0" applyAlignment="1" applyBorder="1" applyFont="1">
      <alignment horizontal="right" vertical="center"/>
    </xf>
    <xf borderId="15" fillId="9" fontId="24" numFmtId="0" xfId="0" applyAlignment="1" applyBorder="1" applyFont="1">
      <alignment horizontal="center" vertical="center"/>
    </xf>
    <xf borderId="7" fillId="9" fontId="24" numFmtId="0" xfId="0" applyAlignment="1" applyBorder="1" applyFont="1">
      <alignment horizontal="center" shrinkToFit="0" vertical="center" wrapText="1"/>
    </xf>
    <xf borderId="4" fillId="9" fontId="24" numFmtId="0" xfId="0" applyAlignment="1" applyBorder="1" applyFont="1">
      <alignment horizontal="center" shrinkToFit="0" vertical="center" wrapText="1"/>
    </xf>
    <xf borderId="4" fillId="9" fontId="25" numFmtId="0" xfId="0" applyAlignment="1" applyBorder="1" applyFont="1">
      <alignment horizontal="center" shrinkToFit="0" vertical="center" wrapText="1"/>
    </xf>
    <xf borderId="14" fillId="13" fontId="24" numFmtId="0" xfId="0" applyAlignment="1" applyBorder="1" applyFont="1">
      <alignment horizontal="right" vertical="center"/>
    </xf>
    <xf borderId="15" fillId="13" fontId="24" numFmtId="0" xfId="0" applyAlignment="1" applyBorder="1" applyFont="1">
      <alignment horizontal="left" vertical="center"/>
    </xf>
    <xf borderId="15" fillId="13" fontId="24" numFmtId="0" xfId="0" applyAlignment="1" applyBorder="1" applyFont="1">
      <alignment horizontal="right" vertical="center"/>
    </xf>
    <xf borderId="15" fillId="13" fontId="24" numFmtId="0" xfId="0" applyAlignment="1" applyBorder="1" applyFont="1">
      <alignment horizontal="center" vertical="center"/>
    </xf>
    <xf borderId="1" fillId="0" fontId="18" numFmtId="0" xfId="0" applyAlignment="1" applyBorder="1" applyFont="1">
      <alignment textRotation="255"/>
    </xf>
    <xf borderId="7" fillId="13" fontId="24" numFmtId="0" xfId="0" applyAlignment="1" applyBorder="1" applyFont="1">
      <alignment horizontal="center" shrinkToFit="0" vertical="center" wrapText="1"/>
    </xf>
    <xf borderId="4" fillId="13" fontId="24" numFmtId="0" xfId="0" applyAlignment="1" applyBorder="1" applyFont="1">
      <alignment horizontal="center" shrinkToFit="0" vertical="center" wrapText="1"/>
    </xf>
    <xf borderId="4" fillId="13" fontId="25" numFmtId="0" xfId="0" applyAlignment="1" applyBorder="1" applyFont="1">
      <alignment horizontal="center" shrinkToFit="0" vertical="center" wrapText="1"/>
    </xf>
    <xf borderId="16" fillId="3" fontId="26" numFmtId="166" xfId="0" applyAlignment="1" applyBorder="1" applyFont="1" applyNumberFormat="1">
      <alignment horizontal="center" shrinkToFit="0" vertical="center" wrapText="1"/>
    </xf>
    <xf borderId="14" fillId="5" fontId="24" numFmtId="0" xfId="0" applyAlignment="1" applyBorder="1" applyFont="1">
      <alignment horizontal="right" vertical="center"/>
    </xf>
    <xf borderId="15" fillId="5" fontId="24" numFmtId="0" xfId="0" applyAlignment="1" applyBorder="1" applyFont="1">
      <alignment horizontal="left" vertical="center"/>
    </xf>
    <xf borderId="15" fillId="5" fontId="24" numFmtId="0" xfId="0" applyAlignment="1" applyBorder="1" applyFont="1">
      <alignment horizontal="right" vertical="center"/>
    </xf>
    <xf borderId="15" fillId="5" fontId="24" numFmtId="0" xfId="0" applyAlignment="1" applyBorder="1" applyFont="1">
      <alignment horizontal="center" vertical="center"/>
    </xf>
    <xf borderId="7" fillId="5" fontId="24" numFmtId="0" xfId="0" applyAlignment="1" applyBorder="1" applyFont="1">
      <alignment horizontal="center" shrinkToFit="0" vertical="center" wrapText="1"/>
    </xf>
    <xf borderId="4" fillId="5" fontId="24" numFmtId="0" xfId="0" applyAlignment="1" applyBorder="1" applyFont="1">
      <alignment horizontal="center" shrinkToFit="0" vertical="center" wrapText="1"/>
    </xf>
    <xf borderId="17" fillId="3" fontId="26" numFmtId="166" xfId="0" applyAlignment="1" applyBorder="1" applyFont="1" applyNumberFormat="1">
      <alignment horizontal="center" shrinkToFit="0" vertical="center" wrapText="1"/>
    </xf>
    <xf borderId="12" fillId="3" fontId="24" numFmtId="0" xfId="0" applyAlignment="1" applyBorder="1" applyFon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18" fillId="3" fontId="26" numFmtId="166" xfId="0" applyAlignment="1" applyBorder="1" applyFont="1" applyNumberFormat="1">
      <alignment horizontal="center" shrinkToFit="0" vertical="center" wrapText="1"/>
    </xf>
    <xf borderId="0" fillId="0" fontId="24" numFmtId="0" xfId="0" applyAlignment="1" applyFont="1">
      <alignment horizontal="left" vertical="center"/>
    </xf>
    <xf borderId="0" fillId="0" fontId="26" numFmtId="0" xfId="0" applyAlignment="1" applyFont="1">
      <alignment horizontal="center" vertical="center"/>
    </xf>
    <xf borderId="0" fillId="0" fontId="24" numFmtId="0" xfId="0" applyAlignment="1" applyFont="1">
      <alignment shrinkToFit="0" wrapText="1"/>
    </xf>
    <xf borderId="0" fillId="0" fontId="24" numFmtId="0" xfId="0" applyAlignment="1" applyFont="1">
      <alignment horizontal="center" shrinkToFit="0" wrapText="1"/>
    </xf>
    <xf borderId="4" fillId="3" fontId="19" numFmtId="0" xfId="0" applyAlignment="1" applyBorder="1" applyFont="1">
      <alignment horizontal="center"/>
    </xf>
    <xf borderId="7" fillId="3" fontId="19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4" fillId="4" fontId="22" numFmtId="49" xfId="0" applyAlignment="1" applyBorder="1" applyFont="1" applyNumberFormat="1">
      <alignment horizontal="center" shrinkToFit="0" vertical="center" wrapText="1"/>
    </xf>
    <xf borderId="4" fillId="2" fontId="22" numFmtId="0" xfId="0" applyAlignment="1" applyBorder="1" applyFont="1">
      <alignment horizontal="center" shrinkToFit="0" vertical="center" wrapText="1"/>
    </xf>
    <xf borderId="19" fillId="2" fontId="22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8" fillId="0" fontId="22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/>
    </xf>
    <xf borderId="0" fillId="0" fontId="27" numFmtId="0" xfId="0" applyAlignment="1" applyFont="1">
      <alignment horizontal="left" shrinkToFit="0" wrapText="1"/>
    </xf>
    <xf borderId="0" fillId="0" fontId="27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vertical="center"/>
    </xf>
    <xf borderId="9" fillId="0" fontId="22" numFmtId="0" xfId="0" applyAlignment="1" applyBorder="1" applyFont="1">
      <alignment horizontal="left"/>
    </xf>
    <xf borderId="0" fillId="0" fontId="27" numFmtId="0" xfId="0" applyAlignment="1" applyFont="1">
      <alignment textRotation="255"/>
    </xf>
    <xf borderId="5" fillId="4" fontId="18" numFmtId="0" xfId="0" applyAlignment="1" applyBorder="1" applyFont="1">
      <alignment horizontal="center" vertical="center"/>
    </xf>
    <xf borderId="0" fillId="0" fontId="27" numFmtId="0" xfId="0" applyAlignment="1" applyFont="1">
      <alignment horizontal="right" vertical="center"/>
    </xf>
    <xf borderId="0" fillId="0" fontId="27" numFmtId="0" xfId="0" applyFont="1"/>
    <xf borderId="1" fillId="0" fontId="28" numFmtId="0" xfId="0" applyAlignment="1" applyBorder="1" applyFont="1">
      <alignment horizontal="center" vertical="center"/>
    </xf>
    <xf borderId="1" fillId="0" fontId="27" numFmtId="0" xfId="0" applyAlignment="1" applyBorder="1" applyFont="1">
      <alignment textRotation="255"/>
    </xf>
    <xf borderId="2" fillId="2" fontId="29" numFmtId="0" xfId="0" applyAlignment="1" applyBorder="1" applyFont="1">
      <alignment horizontal="center" vertical="center"/>
    </xf>
    <xf borderId="3" fillId="2" fontId="29" numFmtId="0" xfId="0" applyAlignment="1" applyBorder="1" applyFont="1">
      <alignment horizontal="center" shrinkToFit="0" vertical="center" wrapText="1"/>
    </xf>
    <xf borderId="3" fillId="2" fontId="29" numFmtId="0" xfId="0" applyAlignment="1" applyBorder="1" applyFont="1">
      <alignment horizontal="center" shrinkToFit="1" vertical="center" wrapText="0"/>
    </xf>
    <xf borderId="4" fillId="2" fontId="30" numFmtId="0" xfId="0" applyAlignment="1" applyBorder="1" applyFont="1">
      <alignment horizontal="center" vertical="center"/>
    </xf>
    <xf borderId="5" fillId="2" fontId="29" numFmtId="0" xfId="0" applyAlignment="1" applyBorder="1" applyFont="1">
      <alignment horizontal="center" vertical="center"/>
    </xf>
    <xf borderId="4" fillId="2" fontId="30" numFmtId="0" xfId="0" applyAlignment="1" applyBorder="1" applyFont="1">
      <alignment horizontal="center" shrinkToFit="0" vertical="center" wrapText="1"/>
    </xf>
    <xf borderId="4" fillId="3" fontId="29" numFmtId="0" xfId="0" applyAlignment="1" applyBorder="1" applyFont="1">
      <alignment horizontal="center" vertical="center"/>
    </xf>
    <xf borderId="4" fillId="3" fontId="29" numFmtId="0" xfId="0" applyAlignment="1" applyBorder="1" applyFont="1">
      <alignment horizontal="left" shrinkToFit="0" vertical="center" wrapText="1"/>
    </xf>
    <xf borderId="4" fillId="3" fontId="29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4" fillId="3" fontId="29" numFmtId="0" xfId="0" applyAlignment="1" applyBorder="1" applyFont="1">
      <alignment horizontal="center"/>
    </xf>
    <xf borderId="7" fillId="3" fontId="29" numFmtId="0" xfId="0" applyAlignment="1" applyBorder="1" applyFont="1">
      <alignment horizontal="center"/>
    </xf>
    <xf borderId="4" fillId="4" fontId="27" numFmtId="0" xfId="0" applyAlignment="1" applyBorder="1" applyFont="1">
      <alignment horizontal="center" vertical="center"/>
    </xf>
    <xf borderId="4" fillId="4" fontId="27" numFmtId="0" xfId="0" applyAlignment="1" applyBorder="1" applyFont="1">
      <alignment horizontal="left" shrinkToFit="0" vertical="center" wrapText="1"/>
    </xf>
    <xf borderId="4" fillId="4" fontId="27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center" shrinkToFit="0" vertical="center" wrapText="1"/>
    </xf>
    <xf borderId="4" fillId="0" fontId="27" numFmtId="16" xfId="0" applyAlignment="1" applyBorder="1" applyFont="1" applyNumberFormat="1">
      <alignment horizontal="center" shrinkToFit="0" vertical="center" wrapText="1"/>
    </xf>
    <xf borderId="4" fillId="4" fontId="27" numFmtId="49" xfId="0" applyAlignment="1" applyBorder="1" applyFont="1" applyNumberFormat="1">
      <alignment horizontal="center" vertical="center"/>
    </xf>
    <xf borderId="4" fillId="2" fontId="27" numFmtId="49" xfId="0" applyAlignment="1" applyBorder="1" applyFont="1" applyNumberFormat="1">
      <alignment horizontal="center" vertical="center"/>
    </xf>
    <xf borderId="4" fillId="3" fontId="27" numFmtId="49" xfId="0" applyAlignment="1" applyBorder="1" applyFont="1" applyNumberFormat="1">
      <alignment horizontal="center" vertical="center"/>
    </xf>
    <xf borderId="4" fillId="2" fontId="27" numFmtId="0" xfId="0" applyAlignment="1" applyBorder="1" applyFont="1">
      <alignment horizontal="center" vertical="center"/>
    </xf>
    <xf borderId="4" fillId="0" fontId="29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left" shrinkToFit="0" vertical="center" wrapText="1"/>
    </xf>
    <xf borderId="4" fillId="0" fontId="27" numFmtId="0" xfId="0" applyAlignment="1" applyBorder="1" applyFont="1">
      <alignment horizontal="left" vertical="center"/>
    </xf>
    <xf borderId="4" fillId="4" fontId="12" numFmtId="0" xfId="0" applyAlignment="1" applyBorder="1" applyFont="1">
      <alignment vertical="center"/>
    </xf>
    <xf borderId="4" fillId="3" fontId="27" numFmtId="0" xfId="0" applyAlignment="1" applyBorder="1" applyFont="1">
      <alignment horizontal="center" vertical="center"/>
    </xf>
    <xf borderId="4" fillId="0" fontId="27" numFmtId="0" xfId="0" applyAlignment="1" applyBorder="1" applyFont="1">
      <alignment vertical="center"/>
    </xf>
    <xf borderId="4" fillId="2" fontId="27" numFmtId="0" xfId="0" applyAlignment="1" applyBorder="1" applyFont="1">
      <alignment vertical="center"/>
    </xf>
    <xf borderId="2" fillId="3" fontId="27" numFmtId="16" xfId="0" applyAlignment="1" applyBorder="1" applyFont="1" applyNumberFormat="1">
      <alignment horizontal="center" shrinkToFit="0" vertical="center" wrapText="1"/>
    </xf>
    <xf borderId="4" fillId="3" fontId="31" numFmtId="0" xfId="0" applyAlignment="1" applyBorder="1" applyFont="1">
      <alignment horizontal="center" shrinkToFit="0" vertical="center" wrapText="1"/>
    </xf>
    <xf borderId="7" fillId="3" fontId="27" numFmtId="0" xfId="0" applyAlignment="1" applyBorder="1" applyFont="1">
      <alignment horizontal="center" shrinkToFit="0" vertical="center" wrapText="1"/>
    </xf>
    <xf borderId="4" fillId="4" fontId="27" numFmtId="49" xfId="0" applyAlignment="1" applyBorder="1" applyFont="1" applyNumberFormat="1">
      <alignment horizontal="center" shrinkToFit="0" vertical="center" wrapText="1"/>
    </xf>
    <xf borderId="4" fillId="2" fontId="27" numFmtId="0" xfId="0" applyAlignment="1" applyBorder="1" applyFont="1">
      <alignment horizontal="center" shrinkToFit="0" vertical="center" wrapText="1"/>
    </xf>
    <xf borderId="4" fillId="3" fontId="27" numFmtId="0" xfId="0" applyAlignment="1" applyBorder="1" applyFont="1">
      <alignment horizontal="center" shrinkToFit="0" vertical="center" wrapText="1"/>
    </xf>
    <xf borderId="19" fillId="4" fontId="27" numFmtId="0" xfId="0" applyAlignment="1" applyBorder="1" applyFont="1">
      <alignment horizontal="center" shrinkToFit="0" vertical="center" wrapText="1"/>
    </xf>
    <xf borderId="19" fillId="2" fontId="27" numFmtId="0" xfId="0" applyAlignment="1" applyBorder="1" applyFont="1">
      <alignment horizontal="center" shrinkToFit="0" vertical="center" wrapText="1"/>
    </xf>
    <xf borderId="4" fillId="4" fontId="27" numFmtId="0" xfId="0" applyAlignment="1" applyBorder="1" applyFont="1">
      <alignment horizontal="left" vertical="center"/>
    </xf>
    <xf borderId="4" fillId="3" fontId="29" numFmtId="0" xfId="0" applyAlignment="1" applyBorder="1" applyFont="1">
      <alignment horizontal="left" vertical="center"/>
    </xf>
    <xf borderId="4" fillId="16" fontId="30" numFmtId="0" xfId="0" applyAlignment="1" applyBorder="1" applyFill="1" applyFont="1">
      <alignment horizontal="center" shrinkToFit="0" vertical="center" wrapText="1"/>
    </xf>
    <xf borderId="4" fillId="0" fontId="27" numFmtId="0" xfId="0" applyAlignment="1" applyBorder="1" applyFont="1">
      <alignment horizontal="center" vertical="center"/>
    </xf>
    <xf borderId="3" fillId="4" fontId="27" numFmtId="16" xfId="0" applyAlignment="1" applyBorder="1" applyFont="1" applyNumberFormat="1">
      <alignment horizontal="center" shrinkToFit="0" vertical="center" wrapText="1"/>
    </xf>
    <xf borderId="4" fillId="2" fontId="32" numFmtId="0" xfId="0" applyAlignment="1" applyBorder="1" applyFont="1">
      <alignment horizontal="center" vertical="center"/>
    </xf>
    <xf borderId="3" fillId="0" fontId="27" numFmtId="0" xfId="0" applyAlignment="1" applyBorder="1" applyFont="1">
      <alignment horizontal="left" vertical="center"/>
    </xf>
    <xf borderId="3" fillId="0" fontId="27" numFmtId="0" xfId="0" applyAlignment="1" applyBorder="1" applyFont="1">
      <alignment horizontal="center" shrinkToFit="0" vertical="center" wrapText="1"/>
    </xf>
    <xf borderId="4" fillId="0" fontId="32" numFmtId="0" xfId="0" applyAlignment="1" applyBorder="1" applyFont="1">
      <alignment horizontal="left" shrinkToFit="0" vertical="center" wrapText="1"/>
    </xf>
    <xf borderId="3" fillId="0" fontId="32" numFmtId="0" xfId="0" applyAlignment="1" applyBorder="1" applyFont="1">
      <alignment horizontal="center" shrinkToFit="0" vertical="center" wrapText="1"/>
    </xf>
    <xf borderId="3" fillId="0" fontId="32" numFmtId="0" xfId="0" applyAlignment="1" applyBorder="1" applyFont="1">
      <alignment horizontal="left" vertical="center"/>
    </xf>
    <xf borderId="4" fillId="0" fontId="32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shrinkToFit="0" vertical="center" wrapText="1"/>
    </xf>
    <xf borderId="4" fillId="0" fontId="25" numFmtId="0" xfId="0" applyBorder="1" applyFont="1"/>
    <xf borderId="0" fillId="0" fontId="24" numFmtId="0" xfId="0" applyFont="1"/>
    <xf borderId="4" fillId="4" fontId="32" numFmtId="0" xfId="0" applyAlignment="1" applyBorder="1" applyFont="1">
      <alignment horizontal="left" vertical="center"/>
    </xf>
    <xf borderId="3" fillId="0" fontId="33" numFmtId="0" xfId="0" applyAlignment="1" applyBorder="1" applyFont="1">
      <alignment horizontal="left" vertical="center"/>
    </xf>
    <xf borderId="4" fillId="4" fontId="32" numFmtId="0" xfId="0" applyAlignment="1" applyBorder="1" applyFont="1">
      <alignment horizontal="center" shrinkToFit="0" vertical="center" wrapText="1"/>
    </xf>
    <xf borderId="4" fillId="4" fontId="27" numFmtId="12" xfId="0" applyAlignment="1" applyBorder="1" applyFont="1" applyNumberFormat="1">
      <alignment horizontal="center" shrinkToFit="0" vertical="center" wrapText="1"/>
    </xf>
    <xf borderId="4" fillId="4" fontId="32" numFmtId="0" xfId="0" applyAlignment="1" applyBorder="1" applyFont="1">
      <alignment horizontal="center" vertical="center"/>
    </xf>
    <xf borderId="4" fillId="3" fontId="32" numFmtId="0" xfId="0" applyAlignment="1" applyBorder="1" applyFont="1">
      <alignment horizontal="center" vertical="center"/>
    </xf>
    <xf borderId="4" fillId="0" fontId="32" numFmtId="0" xfId="0" applyAlignment="1" applyBorder="1" applyFont="1">
      <alignment horizontal="left" vertical="center"/>
    </xf>
    <xf borderId="4" fillId="4" fontId="27" numFmtId="0" xfId="0" applyAlignment="1" applyBorder="1" applyFont="1">
      <alignment vertical="center"/>
    </xf>
    <xf borderId="2" fillId="4" fontId="27" numFmtId="16" xfId="0" applyAlignment="1" applyBorder="1" applyFont="1" applyNumberFormat="1">
      <alignment horizontal="center" shrinkToFit="0" vertical="center" wrapText="1"/>
    </xf>
    <xf borderId="4" fillId="4" fontId="27" numFmtId="16" xfId="0" applyAlignment="1" applyBorder="1" applyFont="1" applyNumberFormat="1">
      <alignment horizontal="center" shrinkToFit="0" vertical="center" wrapText="1"/>
    </xf>
    <xf borderId="3" fillId="0" fontId="27" numFmtId="0" xfId="0" applyAlignment="1" applyBorder="1" applyFont="1">
      <alignment horizontal="center" vertical="center"/>
    </xf>
    <xf borderId="3" fillId="0" fontId="32" numFmtId="0" xfId="0" applyAlignment="1" applyBorder="1" applyFont="1">
      <alignment horizontal="left" shrinkToFit="0" vertical="center" wrapText="1"/>
    </xf>
    <xf borderId="4" fillId="0" fontId="27" numFmtId="0" xfId="0" applyAlignment="1" applyBorder="1" applyFont="1">
      <alignment horizontal="center"/>
    </xf>
    <xf borderId="4" fillId="3" fontId="27" numFmtId="0" xfId="0" applyAlignment="1" applyBorder="1" applyFont="1">
      <alignment horizontal="left" shrinkToFit="0" vertical="center" wrapText="1"/>
    </xf>
    <xf borderId="0" fillId="0" fontId="26" numFmtId="0" xfId="0" applyAlignment="1" applyFont="1">
      <alignment horizontal="right"/>
    </xf>
    <xf borderId="12" fillId="3" fontId="27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left"/>
    </xf>
    <xf borderId="4" fillId="3" fontId="27" numFmtId="1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wrapText="1"/>
    </xf>
    <xf borderId="4" fillId="2" fontId="7" numFmtId="0" xfId="0" applyAlignment="1" applyBorder="1" applyFont="1">
      <alignment horizontal="center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4" fillId="17" fontId="2" numFmtId="0" xfId="0" applyAlignment="1" applyBorder="1" applyFill="1" applyFont="1">
      <alignment horizontal="center" vertical="center"/>
    </xf>
    <xf borderId="21" fillId="0" fontId="5" numFmtId="0" xfId="0" applyBorder="1" applyFont="1"/>
    <xf borderId="22" fillId="0" fontId="5" numFmtId="0" xfId="0" applyBorder="1" applyFont="1"/>
    <xf borderId="7" fillId="4" fontId="2" numFmtId="0" xfId="0" applyAlignment="1" applyBorder="1" applyFont="1">
      <alignment horizontal="center" shrinkToFit="0" vertical="center" wrapText="1"/>
    </xf>
    <xf borderId="8" fillId="0" fontId="1" numFmtId="3" xfId="0" applyAlignment="1" applyBorder="1" applyFont="1" applyNumberFormat="1">
      <alignment horizontal="center" vertical="center"/>
    </xf>
    <xf borderId="4" fillId="14" fontId="2" numFmtId="0" xfId="0" applyAlignment="1" applyBorder="1" applyFont="1">
      <alignment horizontal="center" vertical="center"/>
    </xf>
    <xf borderId="4" fillId="12" fontId="2" numFmtId="0" xfId="0" applyAlignment="1" applyBorder="1" applyFont="1">
      <alignment horizontal="center" vertical="center"/>
    </xf>
    <xf borderId="7" fillId="3" fontId="1" numFmtId="3" xfId="0" applyAlignment="1" applyBorder="1" applyFont="1" applyNumberFormat="1">
      <alignment horizontal="center" vertical="center"/>
    </xf>
    <xf borderId="4" fillId="6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shrinkToFit="0" vertical="center" wrapText="1"/>
    </xf>
    <xf borderId="16" fillId="4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6" fillId="4" fontId="12" numFmtId="12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19" fillId="4" fontId="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shrinkToFit="0" vertical="center" wrapText="1"/>
    </xf>
    <xf borderId="19" fillId="2" fontId="2" numFmtId="0" xfId="0" applyAlignment="1" applyBorder="1" applyFont="1">
      <alignment horizontal="center" vertical="center"/>
    </xf>
    <xf borderId="4" fillId="18" fontId="2" numFmtId="0" xfId="0" applyAlignment="1" applyBorder="1" applyFill="1" applyFont="1">
      <alignment horizontal="center" vertical="center"/>
    </xf>
    <xf borderId="4" fillId="18" fontId="2" numFmtId="0" xfId="0" applyAlignment="1" applyBorder="1" applyFont="1">
      <alignment horizontal="left" shrinkToFit="0" vertical="center" wrapText="1"/>
    </xf>
    <xf borderId="4" fillId="18" fontId="2" numFmtId="0" xfId="0" applyAlignment="1" applyBorder="1" applyFont="1">
      <alignment horizontal="center" shrinkToFit="0" vertical="center" wrapText="1"/>
    </xf>
    <xf borderId="4" fillId="18" fontId="2" numFmtId="0" xfId="0" applyAlignment="1" applyBorder="1" applyFont="1">
      <alignment horizontal="left" vertical="center"/>
    </xf>
    <xf borderId="4" fillId="18" fontId="2" numFmtId="49" xfId="0" applyAlignment="1" applyBorder="1" applyFont="1" applyNumberFormat="1">
      <alignment horizontal="center" shrinkToFit="0" vertical="center" wrapText="1"/>
    </xf>
    <xf borderId="4" fillId="18" fontId="6" numFmtId="0" xfId="0" applyAlignment="1" applyBorder="1" applyFont="1">
      <alignment horizontal="center" shrinkToFit="0" vertical="center" wrapText="1"/>
    </xf>
    <xf borderId="7" fillId="18" fontId="1" numFmtId="3" xfId="0" applyAlignment="1" applyBorder="1" applyFont="1" applyNumberFormat="1">
      <alignment horizontal="center" vertical="center"/>
    </xf>
    <xf borderId="11" fillId="18" fontId="1" numFmtId="0" xfId="0" applyBorder="1" applyFont="1"/>
    <xf borderId="4" fillId="5" fontId="2" numFmtId="0" xfId="0" applyAlignment="1" applyBorder="1" applyFont="1">
      <alignment horizontal="center" vertical="center"/>
    </xf>
    <xf borderId="2" fillId="18" fontId="2" numFmtId="0" xfId="0" applyAlignment="1" applyBorder="1" applyFont="1">
      <alignment horizontal="center" shrinkToFit="0" vertical="center" wrapText="1"/>
    </xf>
    <xf borderId="2" fillId="18" fontId="2" numFmtId="0" xfId="0" applyAlignment="1" applyBorder="1" applyFont="1">
      <alignment vertical="center"/>
    </xf>
    <xf borderId="16" fillId="18" fontId="1" numFmtId="3" xfId="0" applyAlignment="1" applyBorder="1" applyFont="1" applyNumberFormat="1">
      <alignment horizontal="center" vertical="center"/>
    </xf>
    <xf borderId="23" fillId="0" fontId="1" numFmtId="3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2" fillId="4" fontId="2" numFmtId="0" xfId="0" applyAlignment="1" applyBorder="1" applyFont="1">
      <alignment vertical="center"/>
    </xf>
    <xf borderId="4" fillId="9" fontId="2" numFmtId="0" xfId="0" applyAlignment="1" applyBorder="1" applyFont="1">
      <alignment horizontal="center" vertical="center"/>
    </xf>
    <xf borderId="4" fillId="9" fontId="2" numFmtId="0" xfId="0" applyAlignment="1" applyBorder="1" applyFont="1">
      <alignment horizontal="left" vertical="center"/>
    </xf>
    <xf borderId="2" fillId="9" fontId="2" numFmtId="0" xfId="0" applyAlignment="1" applyBorder="1" applyFont="1">
      <alignment horizontal="center" shrinkToFit="0" vertical="center" wrapText="1"/>
    </xf>
    <xf borderId="2" fillId="9" fontId="2" numFmtId="0" xfId="0" applyAlignment="1" applyBorder="1" applyFont="1">
      <alignment horizontal="left" vertical="center"/>
    </xf>
    <xf borderId="2" fillId="9" fontId="2" numFmtId="16" xfId="0" applyAlignment="1" applyBorder="1" applyFont="1" applyNumberFormat="1">
      <alignment horizontal="center" shrinkToFit="0" vertical="center" wrapText="1"/>
    </xf>
    <xf borderId="11" fillId="9" fontId="1" numFmtId="0" xfId="0" applyBorder="1" applyFont="1"/>
    <xf borderId="4" fillId="19" fontId="2" numFmtId="0" xfId="0" applyAlignment="1" applyBorder="1" applyFill="1" applyFont="1">
      <alignment horizontal="center" vertical="center"/>
    </xf>
    <xf borderId="4" fillId="4" fontId="15" numFmtId="0" xfId="0" applyAlignment="1" applyBorder="1" applyFont="1">
      <alignment horizontal="center" vertical="center"/>
    </xf>
    <xf borderId="11" fillId="6" fontId="1" numFmtId="0" xfId="0" applyBorder="1" applyFont="1"/>
    <xf borderId="19" fillId="4" fontId="2" numFmtId="1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8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10.14"/>
    <col customWidth="1" min="4" max="4" width="30.43"/>
    <col customWidth="1" min="5" max="5" width="25.57"/>
    <col customWidth="1" min="6" max="6" width="9.29"/>
    <col customWidth="1" min="7" max="7" width="8.43"/>
    <col customWidth="1" min="8" max="8" width="5.14"/>
    <col customWidth="1" min="9" max="9" width="4.71"/>
    <col customWidth="1" min="10" max="10" width="4.43"/>
    <col customWidth="1" min="11" max="11" width="4.71"/>
    <col customWidth="1" min="12" max="14" width="5.29"/>
    <col customWidth="1" min="15" max="15" width="5.14"/>
    <col customWidth="1" min="16" max="16" width="5.29"/>
    <col customWidth="1" min="17" max="17" width="5.14"/>
    <col customWidth="1" min="18" max="18" width="5.29"/>
    <col customWidth="1" min="19" max="19" width="5.0"/>
    <col customWidth="1" min="20" max="20" width="5.29"/>
    <col customWidth="1" min="21" max="21" width="5.0"/>
    <col customWidth="1" min="22" max="23" width="5.29"/>
    <col customWidth="1" min="24" max="24" width="5.14"/>
    <col customWidth="1" min="25" max="25" width="4.71"/>
    <col customWidth="1" min="26" max="26" width="5.0"/>
    <col customWidth="1" min="27" max="27" width="4.86"/>
    <col customWidth="1" min="28" max="30" width="5.0"/>
    <col customWidth="1" min="31" max="31" width="4.43"/>
    <col customWidth="1" min="32" max="32" width="4.86"/>
    <col customWidth="1" min="33" max="33" width="4.71"/>
    <col customWidth="1" min="34" max="37" width="4.57"/>
    <col customWidth="1" min="38" max="38" width="5.29"/>
    <col customWidth="1" min="39" max="39" width="12.71"/>
    <col customWidth="1" min="40" max="40" width="17.43"/>
    <col customWidth="1" min="41" max="41" width="17.57"/>
    <col customWidth="1" min="42" max="42" width="11.71"/>
    <col customWidth="1" min="43" max="49" width="8.71"/>
  </cols>
  <sheetData>
    <row r="1" ht="14.25" customHeight="1">
      <c r="A1" s="1"/>
      <c r="B1" s="3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 t="s">
        <v>0</v>
      </c>
    </row>
    <row r="2" ht="14.25" customHeight="1">
      <c r="A2" s="2"/>
      <c r="B2" s="3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</v>
      </c>
    </row>
    <row r="3" ht="14.25" customHeight="1">
      <c r="A3" s="2"/>
      <c r="B3" s="3"/>
      <c r="C3" s="2"/>
      <c r="D3" s="2"/>
      <c r="E3" s="2"/>
      <c r="F3" s="2"/>
      <c r="G3" s="4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2</v>
      </c>
    </row>
    <row r="4" ht="14.25" customHeight="1">
      <c r="A4" s="2"/>
      <c r="B4" s="3"/>
      <c r="C4" s="2"/>
      <c r="D4" s="2"/>
      <c r="E4" s="2"/>
      <c r="F4" s="2"/>
      <c r="G4" s="4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7" t="s">
        <v>3</v>
      </c>
    </row>
    <row r="5" ht="14.25" customHeight="1">
      <c r="A5" s="8" t="s">
        <v>5</v>
      </c>
      <c r="B5" s="9"/>
      <c r="C5" s="9"/>
      <c r="D5" s="9"/>
      <c r="E5" s="2"/>
      <c r="F5" s="2"/>
      <c r="G5" s="4"/>
      <c r="H5" s="5"/>
      <c r="I5" s="5"/>
      <c r="J5" s="5"/>
      <c r="K5" s="5"/>
      <c r="L5" s="5"/>
      <c r="M5" s="5"/>
      <c r="N5" s="5"/>
      <c r="O5" s="5"/>
      <c r="P5" s="5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 t="s">
        <v>12</v>
      </c>
      <c r="G6" s="13" t="s">
        <v>13</v>
      </c>
      <c r="H6" s="15">
        <v>1.0</v>
      </c>
      <c r="I6" s="15">
        <f t="shared" ref="I6:AB6" si="1">H6+1</f>
        <v>2</v>
      </c>
      <c r="J6" s="15">
        <f t="shared" si="1"/>
        <v>3</v>
      </c>
      <c r="K6" s="15">
        <f t="shared" si="1"/>
        <v>4</v>
      </c>
      <c r="L6" s="15">
        <f t="shared" si="1"/>
        <v>5</v>
      </c>
      <c r="M6" s="15">
        <f t="shared" si="1"/>
        <v>6</v>
      </c>
      <c r="N6" s="15">
        <f t="shared" si="1"/>
        <v>7</v>
      </c>
      <c r="O6" s="15">
        <f t="shared" si="1"/>
        <v>8</v>
      </c>
      <c r="P6" s="15">
        <f t="shared" si="1"/>
        <v>9</v>
      </c>
      <c r="Q6" s="15">
        <f t="shared" si="1"/>
        <v>10</v>
      </c>
      <c r="R6" s="15">
        <f t="shared" si="1"/>
        <v>11</v>
      </c>
      <c r="S6" s="15">
        <f t="shared" si="1"/>
        <v>12</v>
      </c>
      <c r="T6" s="15">
        <f t="shared" si="1"/>
        <v>13</v>
      </c>
      <c r="U6" s="15">
        <f t="shared" si="1"/>
        <v>14</v>
      </c>
      <c r="V6" s="15">
        <f t="shared" si="1"/>
        <v>15</v>
      </c>
      <c r="W6" s="15">
        <f t="shared" si="1"/>
        <v>16</v>
      </c>
      <c r="X6" s="15">
        <f t="shared" si="1"/>
        <v>17</v>
      </c>
      <c r="Y6" s="15">
        <f t="shared" si="1"/>
        <v>18</v>
      </c>
      <c r="Z6" s="15">
        <f t="shared" si="1"/>
        <v>19</v>
      </c>
      <c r="AA6" s="15">
        <f t="shared" si="1"/>
        <v>20</v>
      </c>
      <c r="AB6" s="15">
        <f t="shared" si="1"/>
        <v>21</v>
      </c>
      <c r="AC6" s="15">
        <v>22.0</v>
      </c>
      <c r="AD6" s="15">
        <v>23.0</v>
      </c>
      <c r="AE6" s="15">
        <v>24.0</v>
      </c>
      <c r="AF6" s="15">
        <v>25.0</v>
      </c>
      <c r="AG6" s="15">
        <v>26.0</v>
      </c>
      <c r="AH6" s="15">
        <v>27.0</v>
      </c>
      <c r="AI6" s="15">
        <v>28.0</v>
      </c>
      <c r="AJ6" s="15">
        <v>29.0</v>
      </c>
      <c r="AK6" s="15">
        <v>30.0</v>
      </c>
      <c r="AL6" s="15">
        <v>31.0</v>
      </c>
      <c r="AM6" s="13" t="s">
        <v>14</v>
      </c>
      <c r="AN6" s="13" t="s">
        <v>15</v>
      </c>
    </row>
    <row r="7" ht="14.25" customHeight="1">
      <c r="A7" s="16"/>
      <c r="B7" s="17"/>
      <c r="C7" s="17"/>
      <c r="D7" s="17"/>
      <c r="E7" s="17"/>
      <c r="F7" s="17"/>
      <c r="G7" s="17"/>
      <c r="H7" s="18" t="s">
        <v>16</v>
      </c>
      <c r="I7" s="18" t="s">
        <v>17</v>
      </c>
      <c r="J7" s="18" t="s">
        <v>18</v>
      </c>
      <c r="K7" s="18" t="s">
        <v>19</v>
      </c>
      <c r="L7" s="18" t="s">
        <v>20</v>
      </c>
      <c r="M7" s="18" t="s">
        <v>21</v>
      </c>
      <c r="N7" s="18" t="s">
        <v>22</v>
      </c>
      <c r="O7" s="18" t="s">
        <v>16</v>
      </c>
      <c r="P7" s="18" t="s">
        <v>17</v>
      </c>
      <c r="Q7" s="18" t="s">
        <v>18</v>
      </c>
      <c r="R7" s="18" t="s">
        <v>19</v>
      </c>
      <c r="S7" s="18" t="s">
        <v>20</v>
      </c>
      <c r="T7" s="18" t="s">
        <v>21</v>
      </c>
      <c r="U7" s="18" t="s">
        <v>22</v>
      </c>
      <c r="V7" s="18" t="s">
        <v>16</v>
      </c>
      <c r="W7" s="18" t="s">
        <v>17</v>
      </c>
      <c r="X7" s="18" t="s">
        <v>18</v>
      </c>
      <c r="Y7" s="18" t="s">
        <v>19</v>
      </c>
      <c r="Z7" s="18" t="s">
        <v>20</v>
      </c>
      <c r="AA7" s="18" t="s">
        <v>21</v>
      </c>
      <c r="AB7" s="18" t="s">
        <v>22</v>
      </c>
      <c r="AC7" s="18" t="s">
        <v>16</v>
      </c>
      <c r="AD7" s="18" t="s">
        <v>17</v>
      </c>
      <c r="AE7" s="18" t="s">
        <v>18</v>
      </c>
      <c r="AF7" s="18" t="s">
        <v>19</v>
      </c>
      <c r="AG7" s="18" t="s">
        <v>20</v>
      </c>
      <c r="AH7" s="18" t="s">
        <v>21</v>
      </c>
      <c r="AI7" s="18" t="s">
        <v>22</v>
      </c>
      <c r="AJ7" s="18" t="s">
        <v>16</v>
      </c>
      <c r="AK7" s="18" t="s">
        <v>17</v>
      </c>
      <c r="AL7" s="18" t="s">
        <v>18</v>
      </c>
      <c r="AM7" s="17"/>
      <c r="AN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2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2"/>
      <c r="AN8" s="23"/>
    </row>
    <row r="9" ht="14.25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7">
        <v>12.0</v>
      </c>
      <c r="G9" s="28" t="s">
        <v>26</v>
      </c>
      <c r="H9" s="29">
        <v>12.0</v>
      </c>
      <c r="I9" s="29">
        <v>12.0</v>
      </c>
      <c r="J9" s="30">
        <v>12.0</v>
      </c>
      <c r="K9" s="30">
        <v>12.0</v>
      </c>
      <c r="L9" s="29"/>
      <c r="M9" s="29">
        <v>12.0</v>
      </c>
      <c r="N9" s="29">
        <v>12.0</v>
      </c>
      <c r="O9" s="29">
        <v>12.0</v>
      </c>
      <c r="P9" s="29">
        <v>12.0</v>
      </c>
      <c r="Q9" s="30">
        <v>12.0</v>
      </c>
      <c r="R9" s="30">
        <v>12.0</v>
      </c>
      <c r="S9" s="29"/>
      <c r="T9" s="29">
        <v>12.0</v>
      </c>
      <c r="U9" s="29">
        <v>12.0</v>
      </c>
      <c r="V9" s="29">
        <v>12.0</v>
      </c>
      <c r="W9" s="29">
        <v>12.0</v>
      </c>
      <c r="X9" s="30">
        <v>12.0</v>
      </c>
      <c r="Y9" s="30">
        <v>12.0</v>
      </c>
      <c r="Z9" s="29"/>
      <c r="AA9" s="29">
        <v>12.0</v>
      </c>
      <c r="AB9" s="29">
        <v>12.0</v>
      </c>
      <c r="AC9" s="29">
        <v>12.0</v>
      </c>
      <c r="AD9" s="29">
        <v>12.0</v>
      </c>
      <c r="AE9" s="30">
        <v>12.0</v>
      </c>
      <c r="AF9" s="30">
        <v>12.0</v>
      </c>
      <c r="AG9" s="29"/>
      <c r="AH9" s="29">
        <v>12.0</v>
      </c>
      <c r="AI9" s="29">
        <v>12.0</v>
      </c>
      <c r="AJ9" s="29">
        <v>12.0</v>
      </c>
      <c r="AK9" s="29">
        <v>12.0</v>
      </c>
      <c r="AL9" s="30">
        <v>12.0</v>
      </c>
      <c r="AM9" s="31">
        <f t="shared" ref="AM9:AM10" si="2">COUNTA(H9:AL9)</f>
        <v>27</v>
      </c>
      <c r="AN9" s="32">
        <f t="shared" ref="AN9:AN10" si="3">SUM(H9:AL9)</f>
        <v>324</v>
      </c>
      <c r="AO9" s="33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7">
        <v>9.0</v>
      </c>
      <c r="G10" s="28" t="s">
        <v>30</v>
      </c>
      <c r="H10" s="29">
        <v>9.0</v>
      </c>
      <c r="I10" s="29">
        <v>9.0</v>
      </c>
      <c r="J10" s="30">
        <v>9.0</v>
      </c>
      <c r="K10" s="30"/>
      <c r="L10" s="29"/>
      <c r="M10" s="29">
        <v>9.0</v>
      </c>
      <c r="N10" s="29">
        <v>9.0</v>
      </c>
      <c r="O10" s="29">
        <v>9.0</v>
      </c>
      <c r="P10" s="29">
        <v>9.0</v>
      </c>
      <c r="Q10" s="30">
        <v>9.0</v>
      </c>
      <c r="R10" s="30"/>
      <c r="S10" s="29"/>
      <c r="T10" s="29">
        <v>9.0</v>
      </c>
      <c r="U10" s="29">
        <v>9.0</v>
      </c>
      <c r="V10" s="29">
        <v>9.0</v>
      </c>
      <c r="W10" s="29">
        <v>9.0</v>
      </c>
      <c r="X10" s="30">
        <v>9.0</v>
      </c>
      <c r="Y10" s="30"/>
      <c r="Z10" s="29"/>
      <c r="AA10" s="29">
        <v>9.0</v>
      </c>
      <c r="AB10" s="29">
        <v>9.0</v>
      </c>
      <c r="AC10" s="29">
        <v>9.0</v>
      </c>
      <c r="AD10" s="29">
        <v>9.0</v>
      </c>
      <c r="AE10" s="30">
        <v>9.0</v>
      </c>
      <c r="AF10" s="30"/>
      <c r="AG10" s="29"/>
      <c r="AH10" s="29">
        <v>9.0</v>
      </c>
      <c r="AI10" s="29">
        <v>9.0</v>
      </c>
      <c r="AJ10" s="29">
        <v>9.0</v>
      </c>
      <c r="AK10" s="29">
        <v>9.0</v>
      </c>
      <c r="AL10" s="30">
        <v>9.0</v>
      </c>
      <c r="AM10" s="31">
        <f t="shared" si="2"/>
        <v>23</v>
      </c>
      <c r="AN10" s="32">
        <f t="shared" si="3"/>
        <v>207</v>
      </c>
    </row>
    <row r="11" ht="14.25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6">
        <v>9.0</v>
      </c>
      <c r="G11" s="28" t="s">
        <v>30</v>
      </c>
      <c r="H11" s="29">
        <v>9.0</v>
      </c>
      <c r="I11" s="29">
        <v>9.0</v>
      </c>
      <c r="J11" s="30">
        <v>9.0</v>
      </c>
      <c r="K11" s="30"/>
      <c r="L11" s="29"/>
      <c r="M11" s="29">
        <v>9.0</v>
      </c>
      <c r="N11" s="29">
        <v>9.0</v>
      </c>
      <c r="O11" s="29">
        <v>9.0</v>
      </c>
      <c r="P11" s="29">
        <v>9.0</v>
      </c>
      <c r="Q11" s="30">
        <v>9.0</v>
      </c>
      <c r="R11" s="30"/>
      <c r="S11" s="29"/>
      <c r="T11" s="29">
        <v>9.0</v>
      </c>
      <c r="U11" s="29">
        <v>9.0</v>
      </c>
      <c r="V11" s="29">
        <v>9.0</v>
      </c>
      <c r="W11" s="29">
        <v>9.0</v>
      </c>
      <c r="X11" s="30">
        <v>9.0</v>
      </c>
      <c r="Y11" s="30"/>
      <c r="Z11" s="29"/>
      <c r="AA11" s="29">
        <v>9.0</v>
      </c>
      <c r="AB11" s="29">
        <v>9.0</v>
      </c>
      <c r="AC11" s="29">
        <v>9.0</v>
      </c>
      <c r="AD11" s="29">
        <v>9.0</v>
      </c>
      <c r="AE11" s="30">
        <v>9.0</v>
      </c>
      <c r="AF11" s="30"/>
      <c r="AG11" s="29"/>
      <c r="AH11" s="29">
        <v>9.0</v>
      </c>
      <c r="AI11" s="29">
        <v>9.0</v>
      </c>
      <c r="AJ11" s="29">
        <v>9.0</v>
      </c>
      <c r="AK11" s="29">
        <v>9.0</v>
      </c>
      <c r="AL11" s="30">
        <v>9.0</v>
      </c>
      <c r="AM11" s="31">
        <f t="shared" ref="AM11:AM13" si="4">COUNTA(H11:AK11)</f>
        <v>22</v>
      </c>
      <c r="AN11" s="32">
        <f t="shared" ref="AN11:AN13" si="5">SUM(H11:AK11)</f>
        <v>198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7">
        <v>9.0</v>
      </c>
      <c r="G12" s="28" t="s">
        <v>30</v>
      </c>
      <c r="H12" s="29">
        <v>9.0</v>
      </c>
      <c r="I12" s="29">
        <v>9.0</v>
      </c>
      <c r="J12" s="30">
        <v>9.0</v>
      </c>
      <c r="K12" s="30"/>
      <c r="L12" s="29"/>
      <c r="M12" s="29">
        <v>9.0</v>
      </c>
      <c r="N12" s="29">
        <v>9.0</v>
      </c>
      <c r="O12" s="29">
        <v>9.0</v>
      </c>
      <c r="P12" s="29">
        <v>9.0</v>
      </c>
      <c r="Q12" s="30">
        <v>9.0</v>
      </c>
      <c r="R12" s="30"/>
      <c r="S12" s="29"/>
      <c r="T12" s="29">
        <v>9.0</v>
      </c>
      <c r="U12" s="29">
        <v>9.0</v>
      </c>
      <c r="V12" s="29">
        <v>9.0</v>
      </c>
      <c r="W12" s="29">
        <v>9.0</v>
      </c>
      <c r="X12" s="30">
        <v>9.0</v>
      </c>
      <c r="Y12" s="30"/>
      <c r="Z12" s="29"/>
      <c r="AA12" s="29">
        <v>9.0</v>
      </c>
      <c r="AB12" s="29">
        <v>9.0</v>
      </c>
      <c r="AC12" s="29">
        <v>9.0</v>
      </c>
      <c r="AD12" s="29">
        <v>9.0</v>
      </c>
      <c r="AE12" s="30">
        <v>9.0</v>
      </c>
      <c r="AF12" s="30"/>
      <c r="AG12" s="29"/>
      <c r="AH12" s="29">
        <v>9.0</v>
      </c>
      <c r="AI12" s="29">
        <v>9.0</v>
      </c>
      <c r="AJ12" s="29">
        <v>9.0</v>
      </c>
      <c r="AK12" s="29">
        <v>9.0</v>
      </c>
      <c r="AL12" s="30">
        <v>9.0</v>
      </c>
      <c r="AM12" s="31">
        <f t="shared" si="4"/>
        <v>22</v>
      </c>
      <c r="AN12" s="32">
        <f t="shared" si="5"/>
        <v>198</v>
      </c>
    </row>
    <row r="13" ht="14.25" customHeight="1">
      <c r="A13" s="24">
        <v>5.0</v>
      </c>
      <c r="B13" s="35" t="s">
        <v>36</v>
      </c>
      <c r="C13" s="27">
        <v>1.0</v>
      </c>
      <c r="D13" s="36" t="s">
        <v>37</v>
      </c>
      <c r="E13" s="27" t="s">
        <v>33</v>
      </c>
      <c r="F13" s="27">
        <v>9.0</v>
      </c>
      <c r="G13" s="28" t="s">
        <v>30</v>
      </c>
      <c r="H13" s="29">
        <v>9.0</v>
      </c>
      <c r="I13" s="29">
        <v>9.0</v>
      </c>
      <c r="J13" s="30">
        <v>9.0</v>
      </c>
      <c r="K13" s="30"/>
      <c r="L13" s="29"/>
      <c r="M13" s="29">
        <v>9.0</v>
      </c>
      <c r="N13" s="29">
        <v>9.0</v>
      </c>
      <c r="O13" s="29">
        <v>9.0</v>
      </c>
      <c r="P13" s="29">
        <v>9.0</v>
      </c>
      <c r="Q13" s="30">
        <v>9.0</v>
      </c>
      <c r="R13" s="30"/>
      <c r="S13" s="29"/>
      <c r="T13" s="29">
        <v>9.0</v>
      </c>
      <c r="U13" s="29">
        <v>9.0</v>
      </c>
      <c r="V13" s="29">
        <v>9.0</v>
      </c>
      <c r="W13" s="29">
        <v>9.0</v>
      </c>
      <c r="X13" s="30">
        <v>9.0</v>
      </c>
      <c r="Y13" s="30"/>
      <c r="Z13" s="29"/>
      <c r="AA13" s="29">
        <v>9.0</v>
      </c>
      <c r="AB13" s="29">
        <v>9.0</v>
      </c>
      <c r="AC13" s="29">
        <v>9.0</v>
      </c>
      <c r="AD13" s="29">
        <v>9.0</v>
      </c>
      <c r="AE13" s="30">
        <v>9.0</v>
      </c>
      <c r="AF13" s="30"/>
      <c r="AG13" s="29"/>
      <c r="AH13" s="29">
        <v>9.0</v>
      </c>
      <c r="AI13" s="29">
        <v>9.0</v>
      </c>
      <c r="AJ13" s="29">
        <v>9.0</v>
      </c>
      <c r="AK13" s="29">
        <v>9.0</v>
      </c>
      <c r="AL13" s="30">
        <v>9.0</v>
      </c>
      <c r="AM13" s="31">
        <f t="shared" si="4"/>
        <v>22</v>
      </c>
      <c r="AN13" s="32">
        <f t="shared" si="5"/>
        <v>198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39</v>
      </c>
      <c r="E14" s="27" t="s">
        <v>40</v>
      </c>
      <c r="F14" s="27">
        <v>12.0</v>
      </c>
      <c r="G14" s="28" t="s">
        <v>30</v>
      </c>
      <c r="H14" s="29"/>
      <c r="I14" s="29">
        <v>12.0</v>
      </c>
      <c r="J14" s="30">
        <v>12.0</v>
      </c>
      <c r="K14" s="30">
        <v>12.0</v>
      </c>
      <c r="L14" s="29">
        <v>12.0</v>
      </c>
      <c r="M14" s="29">
        <v>12.0</v>
      </c>
      <c r="N14" s="29"/>
      <c r="O14" s="29"/>
      <c r="P14" s="29">
        <v>12.0</v>
      </c>
      <c r="Q14" s="30">
        <v>12.0</v>
      </c>
      <c r="R14" s="30">
        <v>12.0</v>
      </c>
      <c r="S14" s="29">
        <v>12.0</v>
      </c>
      <c r="T14" s="29">
        <v>12.0</v>
      </c>
      <c r="U14" s="29"/>
      <c r="V14" s="29"/>
      <c r="W14" s="29">
        <v>12.0</v>
      </c>
      <c r="X14" s="30">
        <v>12.0</v>
      </c>
      <c r="Y14" s="30">
        <v>12.0</v>
      </c>
      <c r="Z14" s="29">
        <v>12.0</v>
      </c>
      <c r="AA14" s="29">
        <v>12.0</v>
      </c>
      <c r="AB14" s="29"/>
      <c r="AC14" s="29"/>
      <c r="AD14" s="29">
        <v>12.0</v>
      </c>
      <c r="AE14" s="30">
        <v>12.0</v>
      </c>
      <c r="AF14" s="30">
        <v>12.0</v>
      </c>
      <c r="AG14" s="29">
        <v>12.0</v>
      </c>
      <c r="AH14" s="29">
        <v>12.0</v>
      </c>
      <c r="AI14" s="29"/>
      <c r="AJ14" s="29"/>
      <c r="AK14" s="29">
        <v>12.0</v>
      </c>
      <c r="AL14" s="30">
        <v>12.0</v>
      </c>
      <c r="AM14" s="31">
        <f>COUNTA(H14:AL14)</f>
        <v>22</v>
      </c>
      <c r="AN14" s="32">
        <f>SUM(H14:AL14)</f>
        <v>264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8"/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3"/>
      <c r="AN15" s="45"/>
    </row>
    <row r="16" ht="18.0" customHeight="1">
      <c r="A16" s="24">
        <v>7.0</v>
      </c>
      <c r="B16" s="35" t="s">
        <v>43</v>
      </c>
      <c r="C16" s="27">
        <v>1.0</v>
      </c>
      <c r="D16" s="36" t="s">
        <v>44</v>
      </c>
      <c r="E16" s="27" t="s">
        <v>45</v>
      </c>
      <c r="F16" s="27">
        <v>12.0</v>
      </c>
      <c r="G16" s="47" t="s">
        <v>46</v>
      </c>
      <c r="H16" s="29"/>
      <c r="I16" s="48"/>
      <c r="J16" s="49"/>
      <c r="K16" s="49"/>
      <c r="L16" s="48"/>
      <c r="M16" s="48"/>
      <c r="N16" s="48"/>
      <c r="O16" s="29"/>
      <c r="P16" s="48"/>
      <c r="Q16" s="49"/>
      <c r="R16" s="49"/>
      <c r="S16" s="48"/>
      <c r="T16" s="48"/>
      <c r="U16" s="48"/>
      <c r="V16" s="29"/>
      <c r="W16" s="48"/>
      <c r="X16" s="49"/>
      <c r="Y16" s="49"/>
      <c r="Z16" s="48"/>
      <c r="AA16" s="48"/>
      <c r="AB16" s="48"/>
      <c r="AC16" s="29"/>
      <c r="AD16" s="48"/>
      <c r="AE16" s="49"/>
      <c r="AF16" s="49"/>
      <c r="AG16" s="48"/>
      <c r="AH16" s="48"/>
      <c r="AI16" s="48"/>
      <c r="AJ16" s="48"/>
      <c r="AK16" s="48"/>
      <c r="AL16" s="49"/>
      <c r="AM16" s="31">
        <f>COUNTA(H16:AL16)</f>
        <v>0</v>
      </c>
      <c r="AN16" s="51">
        <f>SUM(H16:AL16)</f>
        <v>0</v>
      </c>
    </row>
    <row r="17" ht="18.0" customHeight="1">
      <c r="A17" s="24">
        <v>8.0</v>
      </c>
      <c r="B17" s="35" t="s">
        <v>49</v>
      </c>
      <c r="C17" s="27">
        <v>1.0</v>
      </c>
      <c r="D17" s="36" t="s">
        <v>50</v>
      </c>
      <c r="E17" s="27" t="s">
        <v>51</v>
      </c>
      <c r="F17" s="27">
        <v>24.0</v>
      </c>
      <c r="G17" s="47" t="s">
        <v>52</v>
      </c>
      <c r="H17" s="29"/>
      <c r="I17" s="29"/>
      <c r="J17" s="53">
        <v>24.0</v>
      </c>
      <c r="K17" s="30"/>
      <c r="L17" s="54">
        <v>24.0</v>
      </c>
      <c r="M17" s="29"/>
      <c r="N17" s="54">
        <v>24.0</v>
      </c>
      <c r="O17" s="29"/>
      <c r="P17" s="54">
        <v>12.0</v>
      </c>
      <c r="Q17" s="53">
        <v>12.0</v>
      </c>
      <c r="R17" s="53">
        <v>12.0</v>
      </c>
      <c r="S17" s="29"/>
      <c r="T17" s="29"/>
      <c r="U17" s="29"/>
      <c r="V17" s="29"/>
      <c r="W17" s="29"/>
      <c r="X17" s="53">
        <v>12.0</v>
      </c>
      <c r="Y17" s="53">
        <v>12.0</v>
      </c>
      <c r="Z17" s="54">
        <v>12.0</v>
      </c>
      <c r="AA17" s="29"/>
      <c r="AB17" s="54">
        <v>12.0</v>
      </c>
      <c r="AC17" s="54">
        <v>12.0</v>
      </c>
      <c r="AD17" s="54">
        <v>12.0</v>
      </c>
      <c r="AE17" s="30"/>
      <c r="AF17" s="53">
        <v>12.0</v>
      </c>
      <c r="AG17" s="29"/>
      <c r="AH17" s="29"/>
      <c r="AI17" s="29"/>
      <c r="AJ17" s="29"/>
      <c r="AK17" s="29"/>
      <c r="AL17" s="30"/>
      <c r="AM17" s="31">
        <f t="shared" ref="AM17:AM18" si="6">COUNTA(H17:AK17)</f>
        <v>13</v>
      </c>
      <c r="AN17" s="51">
        <f t="shared" ref="AN17:AN18" si="7">SUM(H17:AK17)</f>
        <v>192</v>
      </c>
    </row>
    <row r="18" ht="18.75" customHeight="1">
      <c r="A18" s="24">
        <v>9.0</v>
      </c>
      <c r="B18" s="35" t="s">
        <v>49</v>
      </c>
      <c r="C18" s="27">
        <v>1.0</v>
      </c>
      <c r="D18" s="36" t="s">
        <v>56</v>
      </c>
      <c r="E18" s="27" t="s">
        <v>51</v>
      </c>
      <c r="F18" s="27">
        <v>24.0</v>
      </c>
      <c r="G18" s="47" t="s">
        <v>52</v>
      </c>
      <c r="H18" s="29"/>
      <c r="I18" s="29">
        <v>24.0</v>
      </c>
      <c r="J18" s="30"/>
      <c r="K18" s="53">
        <v>24.0</v>
      </c>
      <c r="L18" s="29"/>
      <c r="M18" s="29"/>
      <c r="N18" s="29"/>
      <c r="O18" s="29"/>
      <c r="P18" s="29"/>
      <c r="Q18" s="30"/>
      <c r="R18" s="30"/>
      <c r="S18" s="29"/>
      <c r="T18" s="29"/>
      <c r="U18" s="29"/>
      <c r="V18" s="29"/>
      <c r="W18" s="29"/>
      <c r="X18" s="30"/>
      <c r="Y18" s="30"/>
      <c r="Z18" s="29"/>
      <c r="AA18" s="29"/>
      <c r="AB18" s="29"/>
      <c r="AC18" s="29"/>
      <c r="AD18" s="29"/>
      <c r="AE18" s="30"/>
      <c r="AF18" s="30"/>
      <c r="AG18" s="29"/>
      <c r="AH18" s="29"/>
      <c r="AI18" s="29"/>
      <c r="AJ18" s="29"/>
      <c r="AK18" s="29"/>
      <c r="AL18" s="30"/>
      <c r="AM18" s="31">
        <f t="shared" si="6"/>
        <v>2</v>
      </c>
      <c r="AN18" s="51">
        <f t="shared" si="7"/>
        <v>48</v>
      </c>
    </row>
    <row r="19" ht="18.75" customHeight="1">
      <c r="A19" s="24">
        <v>10.0</v>
      </c>
      <c r="B19" s="55" t="s">
        <v>49</v>
      </c>
      <c r="C19" s="27"/>
      <c r="D19" s="56" t="s">
        <v>58</v>
      </c>
      <c r="E19" s="27"/>
      <c r="F19" s="27"/>
      <c r="G19" s="47"/>
      <c r="H19" s="29"/>
      <c r="I19" s="29"/>
      <c r="J19" s="30"/>
      <c r="K19" s="53"/>
      <c r="L19" s="29"/>
      <c r="M19" s="29"/>
      <c r="N19" s="29"/>
      <c r="O19" s="54">
        <v>24.0</v>
      </c>
      <c r="P19" s="29"/>
      <c r="Q19" s="53">
        <v>24.0</v>
      </c>
      <c r="R19" s="30"/>
      <c r="S19" s="54">
        <v>24.0</v>
      </c>
      <c r="T19" s="29"/>
      <c r="U19" s="54">
        <v>24.0</v>
      </c>
      <c r="V19" s="29"/>
      <c r="W19" s="29"/>
      <c r="X19" s="30"/>
      <c r="Y19" s="53">
        <v>24.0</v>
      </c>
      <c r="Z19" s="54"/>
      <c r="AA19" s="29"/>
      <c r="AB19" s="54">
        <v>24.0</v>
      </c>
      <c r="AC19" s="29"/>
      <c r="AD19" s="54">
        <v>24.0</v>
      </c>
      <c r="AE19" s="30"/>
      <c r="AF19" s="53">
        <v>24.0</v>
      </c>
      <c r="AG19" s="29"/>
      <c r="AH19" s="29"/>
      <c r="AI19" s="29"/>
      <c r="AJ19" s="29"/>
      <c r="AK19" s="29"/>
      <c r="AL19" s="30"/>
      <c r="AM19" s="31"/>
      <c r="AN19" s="57"/>
    </row>
    <row r="20" ht="19.5" customHeight="1">
      <c r="A20" s="24">
        <v>11.0</v>
      </c>
      <c r="B20" s="55" t="s">
        <v>49</v>
      </c>
      <c r="C20" s="27"/>
      <c r="D20" s="58" t="s">
        <v>61</v>
      </c>
      <c r="E20" s="27" t="s">
        <v>51</v>
      </c>
      <c r="F20" s="59">
        <v>24.0</v>
      </c>
      <c r="G20" s="47"/>
      <c r="H20" s="48"/>
      <c r="I20" s="48"/>
      <c r="J20" s="49"/>
      <c r="K20" s="61"/>
      <c r="L20" s="48"/>
      <c r="M20" s="48"/>
      <c r="N20" s="62"/>
      <c r="O20" s="48"/>
      <c r="P20" s="48"/>
      <c r="Q20" s="49"/>
      <c r="R20" s="49"/>
      <c r="S20" s="48"/>
      <c r="T20" s="48"/>
      <c r="U20" s="48"/>
      <c r="V20" s="62">
        <v>24.0</v>
      </c>
      <c r="W20" s="48"/>
      <c r="X20" s="61">
        <v>24.0</v>
      </c>
      <c r="Y20" s="49"/>
      <c r="Z20" s="63">
        <v>24.0</v>
      </c>
      <c r="AA20" s="62">
        <v>24.0</v>
      </c>
      <c r="AB20" s="48"/>
      <c r="AC20" s="62">
        <v>24.0</v>
      </c>
      <c r="AD20" s="48"/>
      <c r="AE20" s="49"/>
      <c r="AF20" s="49"/>
      <c r="AG20" s="62">
        <v>24.0</v>
      </c>
      <c r="AH20" s="62">
        <v>24.0</v>
      </c>
      <c r="AI20" s="48"/>
      <c r="AJ20" s="62">
        <v>24.0</v>
      </c>
      <c r="AK20" s="48"/>
      <c r="AL20" s="49"/>
      <c r="AM20" s="31"/>
      <c r="AN20" s="57"/>
    </row>
    <row r="21" ht="19.5" customHeight="1">
      <c r="A21" s="24">
        <v>12.0</v>
      </c>
      <c r="B21" s="35" t="s">
        <v>62</v>
      </c>
      <c r="C21" s="27">
        <v>1.0</v>
      </c>
      <c r="D21" s="64" t="s">
        <v>63</v>
      </c>
      <c r="E21" s="27" t="s">
        <v>64</v>
      </c>
      <c r="F21" s="27">
        <v>12.0</v>
      </c>
      <c r="G21" s="47" t="s">
        <v>65</v>
      </c>
      <c r="H21" s="48"/>
      <c r="I21" s="48"/>
      <c r="J21" s="49"/>
      <c r="K21" s="61">
        <v>12.0</v>
      </c>
      <c r="L21" s="48"/>
      <c r="M21" s="48"/>
      <c r="N21" s="62">
        <v>17.0</v>
      </c>
      <c r="O21" s="48"/>
      <c r="P21" s="48"/>
      <c r="Q21" s="49"/>
      <c r="R21" s="49"/>
      <c r="S21" s="48"/>
      <c r="T21" s="48"/>
      <c r="U21" s="48"/>
      <c r="V21" s="48"/>
      <c r="W21" s="48"/>
      <c r="X21" s="49"/>
      <c r="Y21" s="49"/>
      <c r="Z21" s="48"/>
      <c r="AA21" s="48"/>
      <c r="AB21" s="48"/>
      <c r="AC21" s="48"/>
      <c r="AD21" s="48"/>
      <c r="AE21" s="49"/>
      <c r="AF21" s="49"/>
      <c r="AG21" s="48"/>
      <c r="AH21" s="48"/>
      <c r="AI21" s="48"/>
      <c r="AJ21" s="48"/>
      <c r="AK21" s="48"/>
      <c r="AL21" s="49"/>
      <c r="AM21" s="31">
        <f t="shared" ref="AM21:AM23" si="8">COUNTA(H21:AL21)</f>
        <v>2</v>
      </c>
      <c r="AN21" s="51">
        <f t="shared" ref="AN21:AN25" si="9">SUM(H21:AL21)</f>
        <v>29</v>
      </c>
    </row>
    <row r="22" ht="33.0" customHeight="1">
      <c r="A22" s="24">
        <v>13.0</v>
      </c>
      <c r="B22" s="35" t="s">
        <v>67</v>
      </c>
      <c r="C22" s="27">
        <v>1.0</v>
      </c>
      <c r="D22" s="36" t="s">
        <v>68</v>
      </c>
      <c r="E22" s="27" t="s">
        <v>69</v>
      </c>
      <c r="F22" s="27">
        <v>12.0</v>
      </c>
      <c r="G22" s="28" t="s">
        <v>30</v>
      </c>
      <c r="H22" s="29"/>
      <c r="I22" s="29">
        <v>12.0</v>
      </c>
      <c r="J22" s="30"/>
      <c r="K22" s="53">
        <v>12.0</v>
      </c>
      <c r="L22" s="54">
        <v>12.0</v>
      </c>
      <c r="M22" s="54">
        <v>12.0</v>
      </c>
      <c r="N22" s="29"/>
      <c r="O22" s="54">
        <v>12.0</v>
      </c>
      <c r="P22" s="54">
        <v>12.0</v>
      </c>
      <c r="Q22" s="53">
        <v>12.0</v>
      </c>
      <c r="R22" s="53">
        <v>12.0</v>
      </c>
      <c r="S22" s="54">
        <v>12.0</v>
      </c>
      <c r="T22" s="54">
        <v>12.0</v>
      </c>
      <c r="U22" s="29"/>
      <c r="V22" s="29"/>
      <c r="W22" s="29"/>
      <c r="X22" s="53">
        <v>12.0</v>
      </c>
      <c r="Y22" s="53">
        <v>12.0</v>
      </c>
      <c r="Z22" s="29"/>
      <c r="AA22" s="54">
        <v>12.0</v>
      </c>
      <c r="AB22" s="29"/>
      <c r="AC22" s="29"/>
      <c r="AD22" s="54">
        <v>12.0</v>
      </c>
      <c r="AE22" s="53">
        <v>12.0</v>
      </c>
      <c r="AF22" s="53">
        <v>12.0</v>
      </c>
      <c r="AG22" s="54">
        <v>12.0</v>
      </c>
      <c r="AH22" s="54">
        <v>12.0</v>
      </c>
      <c r="AI22" s="29"/>
      <c r="AJ22" s="29"/>
      <c r="AK22" s="29"/>
      <c r="AL22" s="30"/>
      <c r="AM22" s="31">
        <f t="shared" si="8"/>
        <v>18</v>
      </c>
      <c r="AN22" s="51">
        <f t="shared" si="9"/>
        <v>216</v>
      </c>
    </row>
    <row r="23" ht="24.75" customHeight="1">
      <c r="A23" s="24">
        <v>14.0</v>
      </c>
      <c r="B23" s="35" t="s">
        <v>71</v>
      </c>
      <c r="C23" s="27">
        <v>1.0</v>
      </c>
      <c r="D23" s="56" t="s">
        <v>72</v>
      </c>
      <c r="E23" s="27" t="s">
        <v>73</v>
      </c>
      <c r="F23" s="27">
        <v>12.0</v>
      </c>
      <c r="G23" s="28" t="s">
        <v>26</v>
      </c>
      <c r="H23" s="29"/>
      <c r="I23" s="29"/>
      <c r="J23" s="30"/>
      <c r="K23" s="30"/>
      <c r="L23" s="29"/>
      <c r="M23" s="29"/>
      <c r="N23" s="29"/>
      <c r="O23" s="29"/>
      <c r="P23" s="29"/>
      <c r="Q23" s="30"/>
      <c r="R23" s="30"/>
      <c r="S23" s="29"/>
      <c r="T23" s="29"/>
      <c r="U23" s="29"/>
      <c r="V23" s="29"/>
      <c r="W23" s="29"/>
      <c r="X23" s="30"/>
      <c r="Y23" s="30"/>
      <c r="Z23" s="29"/>
      <c r="AA23" s="29"/>
      <c r="AB23" s="29"/>
      <c r="AC23" s="29"/>
      <c r="AD23" s="29"/>
      <c r="AE23" s="30"/>
      <c r="AF23" s="30"/>
      <c r="AG23" s="29"/>
      <c r="AH23" s="29"/>
      <c r="AI23" s="29"/>
      <c r="AJ23" s="29"/>
      <c r="AK23" s="29"/>
      <c r="AL23" s="30"/>
      <c r="AM23" s="31">
        <f t="shared" si="8"/>
        <v>0</v>
      </c>
      <c r="AN23" s="51">
        <f t="shared" si="9"/>
        <v>0</v>
      </c>
      <c r="AO23" s="73" t="s">
        <v>75</v>
      </c>
    </row>
    <row r="24" ht="14.25" customHeight="1">
      <c r="A24" s="19"/>
      <c r="B24" s="20" t="s">
        <v>78</v>
      </c>
      <c r="C24" s="21"/>
      <c r="D24" s="77" t="s">
        <v>78</v>
      </c>
      <c r="E24" s="21"/>
      <c r="F24" s="38"/>
      <c r="G24" s="78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3"/>
      <c r="AN24" s="79">
        <f t="shared" si="9"/>
        <v>0</v>
      </c>
    </row>
    <row r="25" ht="14.25" customHeight="1">
      <c r="A25" s="80">
        <v>15.0</v>
      </c>
      <c r="B25" s="35" t="s">
        <v>81</v>
      </c>
      <c r="C25" s="27">
        <v>1.0</v>
      </c>
      <c r="D25" s="37" t="s">
        <v>82</v>
      </c>
      <c r="E25" s="27" t="s">
        <v>83</v>
      </c>
      <c r="F25" s="65">
        <v>24.0</v>
      </c>
      <c r="G25" s="66" t="s">
        <v>85</v>
      </c>
      <c r="H25" s="81">
        <v>24.0</v>
      </c>
      <c r="I25" s="81"/>
      <c r="J25" s="82"/>
      <c r="K25" s="83">
        <v>24.0</v>
      </c>
      <c r="L25" s="81"/>
      <c r="M25" s="81"/>
      <c r="N25" s="84">
        <v>24.0</v>
      </c>
      <c r="O25" s="81"/>
      <c r="P25" s="81"/>
      <c r="Q25" s="83">
        <v>24.0</v>
      </c>
      <c r="R25" s="82"/>
      <c r="S25" s="81"/>
      <c r="T25" s="84">
        <v>24.0</v>
      </c>
      <c r="U25" s="81"/>
      <c r="V25" s="81"/>
      <c r="W25" s="84">
        <v>24.0</v>
      </c>
      <c r="X25" s="82"/>
      <c r="Y25" s="83">
        <v>24.0</v>
      </c>
      <c r="Z25" s="81"/>
      <c r="AA25" s="81"/>
      <c r="AB25" s="81"/>
      <c r="AC25" s="81"/>
      <c r="AD25" s="81"/>
      <c r="AE25" s="85"/>
      <c r="AF25" s="82"/>
      <c r="AG25" s="84">
        <v>24.0</v>
      </c>
      <c r="AH25" s="81"/>
      <c r="AI25" s="84">
        <v>24.0</v>
      </c>
      <c r="AJ25" s="81"/>
      <c r="AK25" s="84"/>
      <c r="AL25" s="82"/>
      <c r="AM25" s="31"/>
      <c r="AN25" s="51">
        <f t="shared" si="9"/>
        <v>216</v>
      </c>
    </row>
    <row r="26" ht="14.25" customHeight="1">
      <c r="A26" s="80">
        <v>16.0</v>
      </c>
      <c r="B26" s="55" t="s">
        <v>86</v>
      </c>
      <c r="C26" s="59">
        <v>1.0</v>
      </c>
      <c r="D26" s="86" t="s">
        <v>87</v>
      </c>
      <c r="E26" s="59" t="s">
        <v>83</v>
      </c>
      <c r="F26" s="87">
        <v>24.0</v>
      </c>
      <c r="G26" s="88"/>
      <c r="H26" s="81"/>
      <c r="I26" s="81"/>
      <c r="J26" s="82"/>
      <c r="K26" s="83"/>
      <c r="L26" s="81"/>
      <c r="M26" s="81"/>
      <c r="N26" s="84"/>
      <c r="O26" s="84">
        <v>24.0</v>
      </c>
      <c r="P26" s="81"/>
      <c r="Q26" s="82"/>
      <c r="R26" s="83">
        <v>24.0</v>
      </c>
      <c r="S26" s="81"/>
      <c r="T26" s="81"/>
      <c r="U26" s="84">
        <v>24.0</v>
      </c>
      <c r="V26" s="81"/>
      <c r="W26" s="81"/>
      <c r="X26" s="83">
        <v>24.0</v>
      </c>
      <c r="Y26" s="82"/>
      <c r="Z26" s="81"/>
      <c r="AA26" s="81"/>
      <c r="AB26" s="81"/>
      <c r="AC26" s="81"/>
      <c r="AD26" s="81"/>
      <c r="AE26" s="82"/>
      <c r="AF26" s="82"/>
      <c r="AG26" s="81"/>
      <c r="AH26" s="81"/>
      <c r="AI26" s="81"/>
      <c r="AJ26" s="81"/>
      <c r="AK26" s="81"/>
      <c r="AL26" s="82"/>
      <c r="AM26" s="31"/>
      <c r="AN26" s="57"/>
    </row>
    <row r="27" ht="14.25" customHeight="1">
      <c r="A27" s="80">
        <v>17.0</v>
      </c>
      <c r="B27" s="35" t="s">
        <v>88</v>
      </c>
      <c r="C27" s="27">
        <v>1.0</v>
      </c>
      <c r="D27" s="37" t="s">
        <v>42</v>
      </c>
      <c r="E27" s="27" t="s">
        <v>83</v>
      </c>
      <c r="F27" s="65">
        <v>24.0</v>
      </c>
      <c r="G27" s="88"/>
      <c r="H27" s="81"/>
      <c r="I27" s="81"/>
      <c r="J27" s="83">
        <v>24.0</v>
      </c>
      <c r="K27" s="82"/>
      <c r="L27" s="81"/>
      <c r="M27" s="84">
        <v>24.0</v>
      </c>
      <c r="N27" s="81"/>
      <c r="O27" s="81"/>
      <c r="P27" s="84">
        <v>24.0</v>
      </c>
      <c r="Q27" s="82"/>
      <c r="R27" s="82"/>
      <c r="S27" s="84">
        <v>24.0</v>
      </c>
      <c r="T27" s="81"/>
      <c r="U27" s="81"/>
      <c r="V27" s="84">
        <v>24.0</v>
      </c>
      <c r="W27" s="81"/>
      <c r="X27" s="82"/>
      <c r="Y27" s="82"/>
      <c r="Z27" s="84">
        <v>24.0</v>
      </c>
      <c r="AA27" s="81"/>
      <c r="AB27" s="84">
        <v>24.0</v>
      </c>
      <c r="AC27" s="81"/>
      <c r="AD27" s="84">
        <v>24.0</v>
      </c>
      <c r="AE27" s="82"/>
      <c r="AF27" s="82"/>
      <c r="AG27" s="81"/>
      <c r="AH27" s="81"/>
      <c r="AI27" s="81"/>
      <c r="AJ27" s="81"/>
      <c r="AK27" s="81"/>
      <c r="AL27" s="82"/>
      <c r="AM27" s="31">
        <f t="shared" ref="AM27:AM28" si="10">COUNTA(H27:AK27)</f>
        <v>8</v>
      </c>
      <c r="AN27" s="51">
        <f t="shared" ref="AN27:AN28" si="11">SUM(H27:AL27)</f>
        <v>192</v>
      </c>
      <c r="AO27" s="89"/>
      <c r="AP27" s="89"/>
      <c r="AQ27" s="89"/>
      <c r="AR27" s="89"/>
      <c r="AS27" s="89"/>
      <c r="AT27" s="89"/>
      <c r="AU27" s="89"/>
      <c r="AV27" s="89"/>
      <c r="AW27" s="89"/>
    </row>
    <row r="28" ht="14.25" customHeight="1">
      <c r="A28" s="80">
        <v>18.0</v>
      </c>
      <c r="B28" s="35" t="s">
        <v>86</v>
      </c>
      <c r="C28" s="65">
        <v>1.0</v>
      </c>
      <c r="D28" s="90" t="s">
        <v>91</v>
      </c>
      <c r="E28" s="27" t="s">
        <v>83</v>
      </c>
      <c r="F28" s="65">
        <v>24.0</v>
      </c>
      <c r="G28" s="88"/>
      <c r="H28" s="91"/>
      <c r="I28" s="81">
        <v>24.0</v>
      </c>
      <c r="J28" s="82"/>
      <c r="K28" s="92"/>
      <c r="L28" s="84">
        <v>24.0</v>
      </c>
      <c r="M28" s="81"/>
      <c r="N28" s="91"/>
      <c r="O28" s="81"/>
      <c r="P28" s="81"/>
      <c r="Q28" s="92"/>
      <c r="R28" s="82"/>
      <c r="S28" s="81"/>
      <c r="T28" s="91"/>
      <c r="U28" s="81"/>
      <c r="V28" s="81"/>
      <c r="W28" s="91"/>
      <c r="X28" s="82"/>
      <c r="Y28" s="82"/>
      <c r="Z28" s="91"/>
      <c r="AA28" s="84">
        <v>24.0</v>
      </c>
      <c r="AB28" s="81"/>
      <c r="AC28" s="93">
        <v>24.0</v>
      </c>
      <c r="AD28" s="81"/>
      <c r="AE28" s="82"/>
      <c r="AF28" s="94">
        <v>24.0</v>
      </c>
      <c r="AG28" s="81"/>
      <c r="AH28" s="84">
        <v>24.0</v>
      </c>
      <c r="AI28" s="91"/>
      <c r="AJ28" s="84">
        <v>24.0</v>
      </c>
      <c r="AK28" s="81"/>
      <c r="AL28" s="82"/>
      <c r="AM28" s="31">
        <f t="shared" si="10"/>
        <v>7</v>
      </c>
      <c r="AN28" s="51">
        <f t="shared" si="11"/>
        <v>168</v>
      </c>
    </row>
    <row r="29" ht="14.25" customHeight="1">
      <c r="A29" s="80">
        <v>19.0</v>
      </c>
      <c r="B29" s="35" t="s">
        <v>86</v>
      </c>
      <c r="C29" s="65">
        <v>1.0</v>
      </c>
      <c r="D29" s="90" t="s">
        <v>93</v>
      </c>
      <c r="E29" s="27" t="s">
        <v>94</v>
      </c>
      <c r="F29" s="65">
        <v>24.0</v>
      </c>
      <c r="G29" s="95"/>
      <c r="H29" s="91"/>
      <c r="I29" s="81"/>
      <c r="J29" s="83"/>
      <c r="K29" s="92"/>
      <c r="L29" s="81"/>
      <c r="M29" s="81"/>
      <c r="N29" s="91"/>
      <c r="O29" s="81"/>
      <c r="P29" s="81"/>
      <c r="Q29" s="92"/>
      <c r="R29" s="82"/>
      <c r="S29" s="81"/>
      <c r="T29" s="91"/>
      <c r="U29" s="81"/>
      <c r="V29" s="81"/>
      <c r="W29" s="91"/>
      <c r="X29" s="82"/>
      <c r="Y29" s="82"/>
      <c r="Z29" s="91"/>
      <c r="AA29" s="81"/>
      <c r="AB29" s="81"/>
      <c r="AC29" s="91"/>
      <c r="AD29" s="81"/>
      <c r="AE29" s="82"/>
      <c r="AF29" s="92"/>
      <c r="AG29" s="81"/>
      <c r="AH29" s="81"/>
      <c r="AI29" s="91"/>
      <c r="AJ29" s="81"/>
      <c r="AK29" s="81"/>
      <c r="AL29" s="82"/>
      <c r="AM29" s="31"/>
      <c r="AN29" s="57"/>
    </row>
    <row r="30" ht="14.25" customHeight="1">
      <c r="A30" s="80">
        <v>20.0</v>
      </c>
      <c r="B30" s="35" t="s">
        <v>95</v>
      </c>
      <c r="C30" s="65">
        <v>1.0</v>
      </c>
      <c r="D30" s="90" t="s">
        <v>63</v>
      </c>
      <c r="E30" s="27" t="s">
        <v>83</v>
      </c>
      <c r="F30" s="97"/>
      <c r="G30" s="66" t="s">
        <v>85</v>
      </c>
      <c r="H30" s="81"/>
      <c r="I30" s="81"/>
      <c r="J30" s="82"/>
      <c r="K30" s="82"/>
      <c r="L30" s="81"/>
      <c r="M30" s="81"/>
      <c r="N30" s="81"/>
      <c r="O30" s="81"/>
      <c r="P30" s="81"/>
      <c r="Q30" s="82"/>
      <c r="R30" s="82"/>
      <c r="S30" s="81"/>
      <c r="T30" s="81"/>
      <c r="U30" s="81"/>
      <c r="V30" s="81"/>
      <c r="W30" s="81"/>
      <c r="X30" s="82"/>
      <c r="Y30" s="82"/>
      <c r="Z30" s="81"/>
      <c r="AA30" s="81"/>
      <c r="AB30" s="81"/>
      <c r="AC30" s="81"/>
      <c r="AD30" s="81"/>
      <c r="AE30" s="82"/>
      <c r="AF30" s="82"/>
      <c r="AG30" s="81"/>
      <c r="AH30" s="81"/>
      <c r="AI30" s="81"/>
      <c r="AJ30" s="81"/>
      <c r="AK30" s="81"/>
      <c r="AL30" s="82"/>
      <c r="AM30" s="31">
        <f t="shared" ref="AM30:AM35" si="12">COUNTA(H30:AK30)</f>
        <v>0</v>
      </c>
      <c r="AN30" s="51">
        <f t="shared" ref="AN30:AN38" si="13">SUM(H30:AL30)</f>
        <v>0</v>
      </c>
      <c r="AO30" s="89"/>
      <c r="AP30" s="89"/>
      <c r="AQ30" s="89"/>
      <c r="AR30" s="89"/>
      <c r="AS30" s="89"/>
      <c r="AT30" s="89"/>
      <c r="AU30" s="89"/>
      <c r="AV30" s="89"/>
      <c r="AW30" s="89"/>
    </row>
    <row r="31" ht="14.25" customHeight="1">
      <c r="A31" s="80">
        <v>21.0</v>
      </c>
      <c r="B31" s="35" t="s">
        <v>95</v>
      </c>
      <c r="C31" s="65">
        <v>1.0</v>
      </c>
      <c r="D31" s="90" t="s">
        <v>97</v>
      </c>
      <c r="E31" s="27" t="s">
        <v>83</v>
      </c>
      <c r="F31" s="97"/>
      <c r="G31" s="88"/>
      <c r="H31" s="29"/>
      <c r="I31" s="29">
        <v>24.0</v>
      </c>
      <c r="J31" s="30"/>
      <c r="K31" s="30"/>
      <c r="L31" s="29"/>
      <c r="M31" s="29"/>
      <c r="N31" s="54">
        <v>24.0</v>
      </c>
      <c r="O31" s="29"/>
      <c r="P31" s="29"/>
      <c r="Q31" s="53">
        <v>24.0</v>
      </c>
      <c r="R31" s="30"/>
      <c r="S31" s="54">
        <v>24.0</v>
      </c>
      <c r="T31" s="29"/>
      <c r="U31" s="29"/>
      <c r="V31" s="54">
        <v>24.0</v>
      </c>
      <c r="W31" s="29"/>
      <c r="X31" s="53">
        <v>6.0</v>
      </c>
      <c r="Y31" s="53">
        <v>24.0</v>
      </c>
      <c r="Z31" s="29"/>
      <c r="AA31" s="29"/>
      <c r="AB31" s="54">
        <v>24.0</v>
      </c>
      <c r="AC31" s="29"/>
      <c r="AD31" s="54">
        <v>24.0</v>
      </c>
      <c r="AE31" s="30"/>
      <c r="AF31" s="53">
        <v>17.0</v>
      </c>
      <c r="AG31" s="54">
        <v>17.0</v>
      </c>
      <c r="AH31" s="29"/>
      <c r="AI31" s="29"/>
      <c r="AJ31" s="29"/>
      <c r="AK31" s="29"/>
      <c r="AL31" s="30"/>
      <c r="AM31" s="31">
        <f t="shared" si="12"/>
        <v>11</v>
      </c>
      <c r="AN31" s="51">
        <f t="shared" si="13"/>
        <v>232</v>
      </c>
      <c r="AO31" s="33"/>
    </row>
    <row r="32" ht="14.25" customHeight="1">
      <c r="A32" s="80">
        <v>22.0</v>
      </c>
      <c r="B32" s="35" t="s">
        <v>95</v>
      </c>
      <c r="C32" s="65">
        <v>1.0</v>
      </c>
      <c r="D32" s="90" t="s">
        <v>100</v>
      </c>
      <c r="E32" s="27" t="s">
        <v>83</v>
      </c>
      <c r="F32" s="97"/>
      <c r="G32" s="88"/>
      <c r="H32" s="29">
        <v>24.0</v>
      </c>
      <c r="I32" s="29"/>
      <c r="J32" s="53">
        <v>24.0</v>
      </c>
      <c r="K32" s="30"/>
      <c r="L32" s="29"/>
      <c r="M32" s="54">
        <v>24.0</v>
      </c>
      <c r="N32" s="29"/>
      <c r="O32" s="29"/>
      <c r="P32" s="54">
        <v>24.0</v>
      </c>
      <c r="Q32" s="30"/>
      <c r="R32" s="53">
        <v>17.0</v>
      </c>
      <c r="S32" s="29"/>
      <c r="T32" s="54">
        <v>24.0</v>
      </c>
      <c r="U32" s="29"/>
      <c r="V32" s="29"/>
      <c r="W32" s="29"/>
      <c r="X32" s="30"/>
      <c r="Y32" s="30"/>
      <c r="Z32" s="54">
        <v>24.0</v>
      </c>
      <c r="AA32" s="29"/>
      <c r="AB32" s="29"/>
      <c r="AC32" s="54">
        <v>24.0</v>
      </c>
      <c r="AD32" s="29"/>
      <c r="AE32" s="30"/>
      <c r="AF32" s="53">
        <v>24.0</v>
      </c>
      <c r="AG32" s="29"/>
      <c r="AH32" s="54">
        <v>24.0</v>
      </c>
      <c r="AI32" s="29"/>
      <c r="AJ32" s="29"/>
      <c r="AK32" s="29"/>
      <c r="AL32" s="30"/>
      <c r="AM32" s="31">
        <f t="shared" si="12"/>
        <v>10</v>
      </c>
      <c r="AN32" s="51">
        <f t="shared" si="13"/>
        <v>233</v>
      </c>
    </row>
    <row r="33" ht="14.25" customHeight="1">
      <c r="A33" s="80">
        <v>23.0</v>
      </c>
      <c r="B33" s="36" t="s">
        <v>95</v>
      </c>
      <c r="C33" s="65">
        <v>1.0</v>
      </c>
      <c r="D33" s="90" t="s">
        <v>91</v>
      </c>
      <c r="E33" s="27" t="s">
        <v>102</v>
      </c>
      <c r="F33" s="97"/>
      <c r="G33" s="88"/>
      <c r="H33" s="29"/>
      <c r="I33" s="29"/>
      <c r="J33" s="30"/>
      <c r="K33" s="30"/>
      <c r="L33" s="54"/>
      <c r="M33" s="29"/>
      <c r="N33" s="29"/>
      <c r="O33" s="54">
        <v>24.0</v>
      </c>
      <c r="P33" s="29"/>
      <c r="Q33" s="30"/>
      <c r="R33" s="53">
        <v>24.0</v>
      </c>
      <c r="S33" s="29"/>
      <c r="T33" s="29"/>
      <c r="U33" s="54">
        <v>24.0</v>
      </c>
      <c r="V33" s="29"/>
      <c r="W33" s="29"/>
      <c r="X33" s="30"/>
      <c r="Y33" s="30"/>
      <c r="Z33" s="29"/>
      <c r="AA33" s="29"/>
      <c r="AB33" s="29"/>
      <c r="AC33" s="29"/>
      <c r="AD33" s="29"/>
      <c r="AE33" s="30"/>
      <c r="AF33" s="30"/>
      <c r="AG33" s="29"/>
      <c r="AH33" s="29"/>
      <c r="AI33" s="29"/>
      <c r="AJ33" s="29"/>
      <c r="AK33" s="29"/>
      <c r="AL33" s="30"/>
      <c r="AM33" s="31">
        <f t="shared" si="12"/>
        <v>3</v>
      </c>
      <c r="AN33" s="51">
        <f t="shared" si="13"/>
        <v>72</v>
      </c>
      <c r="AO33" s="89"/>
      <c r="AP33" s="89"/>
      <c r="AQ33" s="89"/>
      <c r="AR33" s="89"/>
      <c r="AS33" s="89"/>
      <c r="AT33" s="89"/>
      <c r="AU33" s="89"/>
      <c r="AV33" s="89"/>
      <c r="AW33" s="89"/>
    </row>
    <row r="34" ht="14.25" customHeight="1">
      <c r="A34" s="80">
        <v>24.0</v>
      </c>
      <c r="B34" s="67" t="s">
        <v>104</v>
      </c>
      <c r="C34" s="26">
        <v>1.0</v>
      </c>
      <c r="D34" s="90" t="s">
        <v>107</v>
      </c>
      <c r="E34" s="26" t="s">
        <v>105</v>
      </c>
      <c r="F34" s="97"/>
      <c r="G34" s="103">
        <v>0.4</v>
      </c>
      <c r="H34" s="29"/>
      <c r="I34" s="29"/>
      <c r="J34" s="53">
        <v>12.0</v>
      </c>
      <c r="K34" s="53">
        <v>17.0</v>
      </c>
      <c r="L34" s="54">
        <v>17.0</v>
      </c>
      <c r="M34" s="29"/>
      <c r="N34" s="29"/>
      <c r="O34" s="54">
        <v>17.0</v>
      </c>
      <c r="P34" s="54">
        <v>17.0</v>
      </c>
      <c r="Q34" s="53">
        <v>17.0</v>
      </c>
      <c r="R34" s="53">
        <v>12.0</v>
      </c>
      <c r="S34" s="29"/>
      <c r="T34" s="29"/>
      <c r="U34" s="54">
        <v>12.0</v>
      </c>
      <c r="V34" s="29"/>
      <c r="W34" s="29"/>
      <c r="X34" s="53">
        <v>12.0</v>
      </c>
      <c r="Y34" s="53">
        <v>12.0</v>
      </c>
      <c r="Z34" s="54">
        <v>12.0</v>
      </c>
      <c r="AA34" s="54">
        <v>12.0</v>
      </c>
      <c r="AB34" s="29"/>
      <c r="AC34" s="29"/>
      <c r="AD34" s="54">
        <v>12.0</v>
      </c>
      <c r="AE34" s="30"/>
      <c r="AF34" s="112">
        <v>12.0</v>
      </c>
      <c r="AG34" s="116">
        <v>12.0</v>
      </c>
      <c r="AH34" s="24"/>
      <c r="AI34" s="24"/>
      <c r="AJ34" s="116">
        <v>12.0</v>
      </c>
      <c r="AK34" s="24"/>
      <c r="AL34" s="110"/>
      <c r="AM34" s="31">
        <f t="shared" si="12"/>
        <v>16</v>
      </c>
      <c r="AN34" s="51">
        <f t="shared" si="13"/>
        <v>217</v>
      </c>
    </row>
    <row r="35" ht="14.25" customHeight="1">
      <c r="A35" s="80">
        <v>25.0</v>
      </c>
      <c r="B35" s="67" t="s">
        <v>104</v>
      </c>
      <c r="C35" s="108">
        <v>1.0</v>
      </c>
      <c r="D35" s="90" t="s">
        <v>108</v>
      </c>
      <c r="E35" s="26" t="s">
        <v>105</v>
      </c>
      <c r="F35" s="109"/>
      <c r="G35" s="103">
        <v>0.4</v>
      </c>
      <c r="H35" s="29"/>
      <c r="I35" s="29">
        <v>17.0</v>
      </c>
      <c r="J35" s="53">
        <v>12.0</v>
      </c>
      <c r="K35" s="53">
        <v>17.0</v>
      </c>
      <c r="L35" s="54">
        <v>24.0</v>
      </c>
      <c r="M35" s="29"/>
      <c r="N35" s="29"/>
      <c r="O35" s="54">
        <v>17.0</v>
      </c>
      <c r="P35" s="54">
        <v>17.0</v>
      </c>
      <c r="Q35" s="53">
        <v>17.0</v>
      </c>
      <c r="R35" s="53">
        <v>12.0</v>
      </c>
      <c r="S35" s="54">
        <v>12.0</v>
      </c>
      <c r="T35" s="29"/>
      <c r="U35" s="54">
        <v>12.0</v>
      </c>
      <c r="V35" s="29"/>
      <c r="W35" s="29"/>
      <c r="X35" s="53">
        <v>12.0</v>
      </c>
      <c r="Y35" s="53">
        <v>12.0</v>
      </c>
      <c r="Z35" s="54">
        <v>12.0</v>
      </c>
      <c r="AA35" s="29"/>
      <c r="AB35" s="29"/>
      <c r="AC35" s="54">
        <v>12.0</v>
      </c>
      <c r="AD35" s="54">
        <v>12.0</v>
      </c>
      <c r="AE35" s="30"/>
      <c r="AF35" s="112">
        <v>12.0</v>
      </c>
      <c r="AG35" s="24"/>
      <c r="AH35" s="24"/>
      <c r="AI35" s="24"/>
      <c r="AJ35" s="24"/>
      <c r="AK35" s="24"/>
      <c r="AL35" s="110"/>
      <c r="AM35" s="111">
        <f t="shared" si="12"/>
        <v>16</v>
      </c>
      <c r="AN35" s="51">
        <f t="shared" si="13"/>
        <v>229</v>
      </c>
      <c r="AO35" s="115"/>
      <c r="AP35" s="115"/>
      <c r="AQ35" s="115"/>
      <c r="AR35" s="115"/>
      <c r="AS35" s="115"/>
      <c r="AT35" s="115"/>
      <c r="AU35" s="115"/>
      <c r="AV35" s="115"/>
      <c r="AW35" s="115"/>
    </row>
    <row r="36" ht="17.25" customHeight="1">
      <c r="A36" s="80">
        <v>26.0</v>
      </c>
      <c r="B36" s="56" t="s">
        <v>117</v>
      </c>
      <c r="C36" s="65">
        <v>1.0</v>
      </c>
      <c r="D36" s="117" t="s">
        <v>118</v>
      </c>
      <c r="E36" s="27" t="s">
        <v>111</v>
      </c>
      <c r="F36" s="65">
        <v>12.0</v>
      </c>
      <c r="G36" s="118" t="s">
        <v>26</v>
      </c>
      <c r="H36" s="29"/>
      <c r="I36" s="29">
        <v>12.0</v>
      </c>
      <c r="J36" s="53">
        <v>12.0</v>
      </c>
      <c r="K36" s="53">
        <v>12.0</v>
      </c>
      <c r="L36" s="54">
        <v>12.0</v>
      </c>
      <c r="M36" s="54">
        <v>18.0</v>
      </c>
      <c r="N36" s="29"/>
      <c r="O36" s="54">
        <v>12.0</v>
      </c>
      <c r="P36" s="54">
        <v>12.0</v>
      </c>
      <c r="Q36" s="53">
        <v>12.0</v>
      </c>
      <c r="R36" s="53">
        <v>12.0</v>
      </c>
      <c r="S36" s="54">
        <v>12.0</v>
      </c>
      <c r="T36" s="54">
        <v>12.0</v>
      </c>
      <c r="U36" s="54">
        <v>12.0</v>
      </c>
      <c r="V36" s="54">
        <v>12.0</v>
      </c>
      <c r="W36" s="29"/>
      <c r="X36" s="53">
        <v>12.0</v>
      </c>
      <c r="Y36" s="53">
        <v>12.0</v>
      </c>
      <c r="Z36" s="54">
        <v>12.0</v>
      </c>
      <c r="AA36" s="54">
        <v>12.0</v>
      </c>
      <c r="AB36" s="54"/>
      <c r="AC36" s="54">
        <v>12.0</v>
      </c>
      <c r="AD36" s="54">
        <v>12.0</v>
      </c>
      <c r="AE36" s="30"/>
      <c r="AF36" s="53">
        <v>12.0</v>
      </c>
      <c r="AG36" s="54">
        <v>12.0</v>
      </c>
      <c r="AH36" s="54">
        <v>12.0</v>
      </c>
      <c r="AI36" s="29"/>
      <c r="AJ36" s="29"/>
      <c r="AK36" s="29"/>
      <c r="AL36" s="30"/>
      <c r="AM36" s="31">
        <f t="shared" ref="AM36:AM38" si="14">COUNTA(H36:AL36)</f>
        <v>22</v>
      </c>
      <c r="AN36" s="51">
        <f t="shared" si="13"/>
        <v>270</v>
      </c>
    </row>
    <row r="37" ht="17.25" customHeight="1">
      <c r="A37" s="80">
        <v>27.0</v>
      </c>
      <c r="B37" s="35" t="s">
        <v>112</v>
      </c>
      <c r="C37" s="65">
        <v>1.0</v>
      </c>
      <c r="D37" s="90" t="s">
        <v>113</v>
      </c>
      <c r="E37" s="27" t="s">
        <v>111</v>
      </c>
      <c r="F37" s="65">
        <v>12.0</v>
      </c>
      <c r="G37" s="118" t="s">
        <v>26</v>
      </c>
      <c r="H37" s="29"/>
      <c r="I37" s="29">
        <v>12.0</v>
      </c>
      <c r="J37" s="30"/>
      <c r="K37" s="53">
        <v>12.0</v>
      </c>
      <c r="L37" s="29"/>
      <c r="M37" s="29"/>
      <c r="N37" s="29"/>
      <c r="O37" s="29"/>
      <c r="P37" s="54">
        <v>12.0</v>
      </c>
      <c r="Q37" s="53">
        <v>12.0</v>
      </c>
      <c r="R37" s="53">
        <v>12.0</v>
      </c>
      <c r="S37" s="29"/>
      <c r="T37" s="29"/>
      <c r="U37" s="54">
        <v>12.0</v>
      </c>
      <c r="V37" s="54">
        <v>12.0</v>
      </c>
      <c r="W37" s="29"/>
      <c r="X37" s="30"/>
      <c r="Y37" s="30"/>
      <c r="Z37" s="29"/>
      <c r="AA37" s="54">
        <v>12.0</v>
      </c>
      <c r="AB37" s="54">
        <v>12.0</v>
      </c>
      <c r="AC37" s="54">
        <v>12.0</v>
      </c>
      <c r="AD37" s="54">
        <v>12.0</v>
      </c>
      <c r="AE37" s="30"/>
      <c r="AF37" s="30"/>
      <c r="AG37" s="29"/>
      <c r="AH37" s="54">
        <v>12.0</v>
      </c>
      <c r="AI37" s="29"/>
      <c r="AJ37" s="54">
        <v>12.0</v>
      </c>
      <c r="AK37" s="29"/>
      <c r="AL37" s="30"/>
      <c r="AM37" s="31">
        <f t="shared" si="14"/>
        <v>13</v>
      </c>
      <c r="AN37" s="51">
        <f t="shared" si="13"/>
        <v>156</v>
      </c>
    </row>
    <row r="38" ht="20.25" customHeight="1">
      <c r="A38" s="80">
        <v>28.0</v>
      </c>
      <c r="B38" s="35" t="s">
        <v>112</v>
      </c>
      <c r="C38" s="65">
        <v>1.0</v>
      </c>
      <c r="D38" s="90" t="s">
        <v>126</v>
      </c>
      <c r="E38" s="27" t="s">
        <v>73</v>
      </c>
      <c r="F38" s="27">
        <v>12.0</v>
      </c>
      <c r="G38" s="123" t="s">
        <v>26</v>
      </c>
      <c r="H38" s="29"/>
      <c r="I38" s="29">
        <v>12.0</v>
      </c>
      <c r="J38" s="53">
        <v>12.0</v>
      </c>
      <c r="K38" s="53">
        <v>12.0</v>
      </c>
      <c r="L38" s="54">
        <v>12.0</v>
      </c>
      <c r="M38" s="54">
        <v>12.0</v>
      </c>
      <c r="N38" s="54">
        <v>12.0</v>
      </c>
      <c r="O38" s="54">
        <v>12.0</v>
      </c>
      <c r="P38" s="54">
        <v>12.0</v>
      </c>
      <c r="Q38" s="30"/>
      <c r="R38" s="30"/>
      <c r="S38" s="29"/>
      <c r="T38" s="29"/>
      <c r="U38" s="29"/>
      <c r="V38" s="29"/>
      <c r="W38" s="29"/>
      <c r="X38" s="30"/>
      <c r="Y38" s="30"/>
      <c r="Z38" s="29"/>
      <c r="AA38" s="29"/>
      <c r="AB38" s="29"/>
      <c r="AC38" s="29"/>
      <c r="AD38" s="29"/>
      <c r="AE38" s="30"/>
      <c r="AF38" s="30"/>
      <c r="AG38" s="29"/>
      <c r="AH38" s="29"/>
      <c r="AI38" s="29"/>
      <c r="AJ38" s="29"/>
      <c r="AK38" s="29"/>
      <c r="AL38" s="30"/>
      <c r="AM38" s="31">
        <f t="shared" si="14"/>
        <v>8</v>
      </c>
      <c r="AN38" s="51">
        <f t="shared" si="13"/>
        <v>96</v>
      </c>
      <c r="AO38" s="133" t="s">
        <v>128</v>
      </c>
      <c r="AS38" s="89"/>
      <c r="AT38" s="89"/>
      <c r="AU38" s="89"/>
      <c r="AV38" s="89"/>
      <c r="AW38" s="89"/>
    </row>
    <row r="39" ht="20.25" customHeight="1">
      <c r="A39" s="80">
        <v>29.0</v>
      </c>
      <c r="B39" s="55" t="s">
        <v>129</v>
      </c>
      <c r="C39" s="87">
        <v>1.0</v>
      </c>
      <c r="D39" s="134" t="s">
        <v>131</v>
      </c>
      <c r="E39" s="87" t="s">
        <v>73</v>
      </c>
      <c r="F39" s="59">
        <v>12.0</v>
      </c>
      <c r="G39" s="136" t="s">
        <v>134</v>
      </c>
      <c r="H39" s="29"/>
      <c r="I39" s="29"/>
      <c r="J39" s="53">
        <v>12.0</v>
      </c>
      <c r="K39" s="53">
        <v>12.0</v>
      </c>
      <c r="L39" s="54">
        <v>12.0</v>
      </c>
      <c r="M39" s="54">
        <v>12.0</v>
      </c>
      <c r="N39" s="54">
        <v>6.0</v>
      </c>
      <c r="O39" s="54">
        <v>12.0</v>
      </c>
      <c r="P39" s="54">
        <v>12.0</v>
      </c>
      <c r="Q39" s="53">
        <v>12.0</v>
      </c>
      <c r="R39" s="53">
        <v>12.0</v>
      </c>
      <c r="S39" s="54">
        <v>12.0</v>
      </c>
      <c r="T39" s="54">
        <v>12.0</v>
      </c>
      <c r="U39" s="54">
        <v>6.0</v>
      </c>
      <c r="V39" s="54">
        <v>12.0</v>
      </c>
      <c r="W39" s="29"/>
      <c r="X39" s="53">
        <v>12.0</v>
      </c>
      <c r="Y39" s="53">
        <v>12.0</v>
      </c>
      <c r="Z39" s="54">
        <v>12.0</v>
      </c>
      <c r="AA39" s="54">
        <v>12.0</v>
      </c>
      <c r="AB39" s="29"/>
      <c r="AC39" s="54">
        <v>12.0</v>
      </c>
      <c r="AD39" s="29"/>
      <c r="AE39" s="30"/>
      <c r="AF39" s="53">
        <v>12.0</v>
      </c>
      <c r="AG39" s="29"/>
      <c r="AH39" s="54">
        <v>6.0</v>
      </c>
      <c r="AI39" s="29"/>
      <c r="AJ39" s="54">
        <v>12.0</v>
      </c>
      <c r="AK39" s="29"/>
      <c r="AL39" s="30"/>
      <c r="AM39" s="31"/>
      <c r="AN39" s="57"/>
      <c r="AO39" s="127"/>
      <c r="AP39" s="127"/>
      <c r="AQ39" s="127"/>
      <c r="AR39" s="127"/>
      <c r="AS39" s="89"/>
      <c r="AT39" s="89"/>
      <c r="AU39" s="89"/>
      <c r="AV39" s="89"/>
      <c r="AW39" s="89"/>
    </row>
    <row r="40" ht="24.75" customHeight="1">
      <c r="A40" s="80">
        <v>30.0</v>
      </c>
      <c r="B40" s="128" t="s">
        <v>123</v>
      </c>
      <c r="C40" s="129">
        <v>1.0</v>
      </c>
      <c r="D40" s="130" t="s">
        <v>124</v>
      </c>
      <c r="E40" s="129" t="s">
        <v>125</v>
      </c>
      <c r="F40" s="121">
        <v>12.0</v>
      </c>
      <c r="G40" s="131"/>
      <c r="H40" s="29"/>
      <c r="I40" s="29"/>
      <c r="J40" s="30"/>
      <c r="K40" s="30"/>
      <c r="L40" s="29"/>
      <c r="M40" s="29"/>
      <c r="N40" s="29"/>
      <c r="O40" s="29"/>
      <c r="P40" s="29"/>
      <c r="Q40" s="30"/>
      <c r="R40" s="30"/>
      <c r="S40" s="29"/>
      <c r="T40" s="29"/>
      <c r="U40" s="29"/>
      <c r="V40" s="29"/>
      <c r="W40" s="29"/>
      <c r="X40" s="30"/>
      <c r="Y40" s="30"/>
      <c r="Z40" s="138"/>
      <c r="AA40" s="138"/>
      <c r="AB40" s="29"/>
      <c r="AC40" s="29"/>
      <c r="AD40" s="29"/>
      <c r="AE40" s="30"/>
      <c r="AF40" s="30"/>
      <c r="AG40" s="29"/>
      <c r="AH40" s="29"/>
      <c r="AI40" s="29"/>
      <c r="AJ40" s="29"/>
      <c r="AK40" s="29"/>
      <c r="AL40" s="30"/>
      <c r="AM40" s="31">
        <f t="shared" ref="AM40:AM41" si="15">COUNTA(H40:AK40)</f>
        <v>0</v>
      </c>
      <c r="AN40" s="51">
        <f t="shared" ref="AN40:AN44" si="16">SUM(H40:AL40)</f>
        <v>0</v>
      </c>
      <c r="AP40" s="89"/>
      <c r="AQ40" s="89"/>
      <c r="AR40" s="89"/>
      <c r="AS40" s="89"/>
      <c r="AT40" s="89"/>
      <c r="AU40" s="89"/>
      <c r="AV40" s="89"/>
      <c r="AW40" s="89"/>
    </row>
    <row r="41" ht="21.75" customHeight="1">
      <c r="A41" s="80">
        <v>31.0</v>
      </c>
      <c r="B41" s="17"/>
      <c r="C41" s="17"/>
      <c r="D41" s="17"/>
      <c r="E41" s="121" t="s">
        <v>127</v>
      </c>
      <c r="F41" s="121">
        <v>12.0</v>
      </c>
      <c r="G41" s="131"/>
      <c r="H41" s="29"/>
      <c r="I41" s="29"/>
      <c r="J41" s="30"/>
      <c r="K41" s="30"/>
      <c r="L41" s="29"/>
      <c r="M41" s="29"/>
      <c r="N41" s="29"/>
      <c r="O41" s="29"/>
      <c r="P41" s="54"/>
      <c r="Q41" s="30"/>
      <c r="R41" s="30"/>
      <c r="S41" s="29"/>
      <c r="T41" s="29"/>
      <c r="U41" s="29"/>
      <c r="V41" s="29"/>
      <c r="W41" s="29"/>
      <c r="X41" s="30"/>
      <c r="Y41" s="30"/>
      <c r="Z41" s="29"/>
      <c r="AA41" s="29"/>
      <c r="AB41" s="29"/>
      <c r="AC41" s="29"/>
      <c r="AD41" s="29"/>
      <c r="AE41" s="30"/>
      <c r="AF41" s="30"/>
      <c r="AG41" s="29"/>
      <c r="AH41" s="29"/>
      <c r="AI41" s="29"/>
      <c r="AJ41" s="29"/>
      <c r="AK41" s="29"/>
      <c r="AL41" s="30"/>
      <c r="AM41" s="31">
        <f t="shared" si="15"/>
        <v>0</v>
      </c>
      <c r="AN41" s="51">
        <f t="shared" si="16"/>
        <v>0</v>
      </c>
      <c r="AP41" s="89"/>
      <c r="AQ41" s="89"/>
      <c r="AR41" s="89"/>
      <c r="AS41" s="89"/>
      <c r="AT41" s="89"/>
      <c r="AU41" s="89"/>
      <c r="AV41" s="89"/>
      <c r="AW41" s="89"/>
    </row>
    <row r="42" ht="19.5" customHeight="1">
      <c r="A42" s="80">
        <v>32.0</v>
      </c>
      <c r="B42" s="35" t="s">
        <v>130</v>
      </c>
      <c r="C42" s="135">
        <v>1.0</v>
      </c>
      <c r="D42" s="35" t="s">
        <v>132</v>
      </c>
      <c r="E42" s="27" t="s">
        <v>133</v>
      </c>
      <c r="F42" s="135">
        <v>12.0</v>
      </c>
      <c r="G42" s="47" t="s">
        <v>65</v>
      </c>
      <c r="H42" s="29"/>
      <c r="I42" s="29"/>
      <c r="J42" s="30"/>
      <c r="K42" s="30"/>
      <c r="L42" s="29"/>
      <c r="M42" s="29"/>
      <c r="N42" s="29"/>
      <c r="O42" s="29"/>
      <c r="P42" s="29"/>
      <c r="Q42" s="30"/>
      <c r="R42" s="30"/>
      <c r="S42" s="29"/>
      <c r="T42" s="29"/>
      <c r="U42" s="29"/>
      <c r="V42" s="29"/>
      <c r="W42" s="29"/>
      <c r="X42" s="30"/>
      <c r="Y42" s="30"/>
      <c r="Z42" s="29"/>
      <c r="AA42" s="29"/>
      <c r="AB42" s="29"/>
      <c r="AC42" s="29"/>
      <c r="AD42" s="29"/>
      <c r="AE42" s="30"/>
      <c r="AF42" s="30"/>
      <c r="AG42" s="29"/>
      <c r="AH42" s="29"/>
      <c r="AI42" s="29"/>
      <c r="AJ42" s="29"/>
      <c r="AK42" s="29"/>
      <c r="AL42" s="30"/>
      <c r="AM42" s="31">
        <f t="shared" ref="AM42:AM44" si="17">COUNTA(H42:AL42)</f>
        <v>0</v>
      </c>
      <c r="AN42" s="51">
        <f t="shared" si="16"/>
        <v>0</v>
      </c>
      <c r="AP42" s="89"/>
      <c r="AQ42" s="89"/>
      <c r="AR42" s="89"/>
      <c r="AS42" s="89"/>
      <c r="AT42" s="89"/>
      <c r="AU42" s="89"/>
      <c r="AV42" s="89"/>
      <c r="AW42" s="89"/>
    </row>
    <row r="43" ht="18.75" customHeight="1">
      <c r="A43" s="80">
        <v>33.0</v>
      </c>
      <c r="B43" s="35" t="s">
        <v>130</v>
      </c>
      <c r="C43" s="27">
        <v>1.0</v>
      </c>
      <c r="D43" s="35" t="s">
        <v>132</v>
      </c>
      <c r="E43" s="27" t="s">
        <v>133</v>
      </c>
      <c r="F43" s="27">
        <v>12.0</v>
      </c>
      <c r="G43" s="123" t="s">
        <v>26</v>
      </c>
      <c r="H43" s="29"/>
      <c r="I43" s="29"/>
      <c r="J43" s="30"/>
      <c r="K43" s="30"/>
      <c r="L43" s="29"/>
      <c r="M43" s="29"/>
      <c r="N43" s="29"/>
      <c r="O43" s="29"/>
      <c r="P43" s="54">
        <v>12.0</v>
      </c>
      <c r="Q43" s="30"/>
      <c r="R43" s="30"/>
      <c r="S43" s="29"/>
      <c r="T43" s="29"/>
      <c r="U43" s="29"/>
      <c r="V43" s="29"/>
      <c r="W43" s="29"/>
      <c r="X43" s="30"/>
      <c r="Y43" s="30"/>
      <c r="Z43" s="29"/>
      <c r="AA43" s="29"/>
      <c r="AB43" s="29"/>
      <c r="AC43" s="29"/>
      <c r="AD43" s="29"/>
      <c r="AE43" s="30"/>
      <c r="AF43" s="30"/>
      <c r="AG43" s="29"/>
      <c r="AH43" s="29"/>
      <c r="AI43" s="29"/>
      <c r="AJ43" s="29"/>
      <c r="AK43" s="29"/>
      <c r="AL43" s="30"/>
      <c r="AM43" s="31">
        <f t="shared" si="17"/>
        <v>1</v>
      </c>
      <c r="AN43" s="51">
        <f t="shared" si="16"/>
        <v>12</v>
      </c>
    </row>
    <row r="44" ht="19.5" customHeight="1">
      <c r="A44" s="80">
        <v>34.0</v>
      </c>
      <c r="B44" s="35" t="s">
        <v>136</v>
      </c>
      <c r="C44" s="27">
        <v>1.0</v>
      </c>
      <c r="D44" s="140" t="s">
        <v>145</v>
      </c>
      <c r="E44" s="26" t="s">
        <v>138</v>
      </c>
      <c r="F44" s="26">
        <v>12.0</v>
      </c>
      <c r="G44" s="28" t="s">
        <v>26</v>
      </c>
      <c r="H44" s="29"/>
      <c r="I44" s="29">
        <v>12.0</v>
      </c>
      <c r="J44" s="53">
        <v>12.0</v>
      </c>
      <c r="K44" s="30"/>
      <c r="L44" s="29"/>
      <c r="M44" s="29"/>
      <c r="N44" s="29"/>
      <c r="O44" s="29"/>
      <c r="P44" s="29"/>
      <c r="Q44" s="30"/>
      <c r="R44" s="30"/>
      <c r="S44" s="29"/>
      <c r="T44" s="29"/>
      <c r="U44" s="29"/>
      <c r="V44" s="29"/>
      <c r="W44" s="29"/>
      <c r="X44" s="30"/>
      <c r="Y44" s="30"/>
      <c r="Z44" s="29"/>
      <c r="AA44" s="29"/>
      <c r="AB44" s="29"/>
      <c r="AC44" s="29"/>
      <c r="AD44" s="29"/>
      <c r="AE44" s="30"/>
      <c r="AF44" s="30"/>
      <c r="AG44" s="29"/>
      <c r="AH44" s="29"/>
      <c r="AI44" s="29"/>
      <c r="AJ44" s="29"/>
      <c r="AK44" s="29"/>
      <c r="AL44" s="30"/>
      <c r="AM44" s="31">
        <f t="shared" si="17"/>
        <v>2</v>
      </c>
      <c r="AN44" s="51">
        <f t="shared" si="16"/>
        <v>24</v>
      </c>
    </row>
    <row r="45" ht="14.25" customHeight="1">
      <c r="A45" s="141"/>
      <c r="B45" s="20" t="s">
        <v>140</v>
      </c>
      <c r="C45" s="21"/>
      <c r="D45" s="20" t="s">
        <v>140</v>
      </c>
      <c r="E45" s="21"/>
      <c r="F45" s="21"/>
      <c r="G45" s="21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3"/>
      <c r="AN45" s="45"/>
    </row>
    <row r="46" ht="14.25" customHeight="1">
      <c r="A46" s="80">
        <v>35.0</v>
      </c>
      <c r="B46" s="35" t="s">
        <v>140</v>
      </c>
      <c r="C46" s="27">
        <v>1.0</v>
      </c>
      <c r="D46" s="117" t="s">
        <v>143</v>
      </c>
      <c r="E46" s="139" t="s">
        <v>51</v>
      </c>
      <c r="F46" s="139">
        <v>24.0</v>
      </c>
      <c r="G46" s="28" t="s">
        <v>85</v>
      </c>
      <c r="H46" s="29"/>
      <c r="I46" s="29"/>
      <c r="J46" s="30"/>
      <c r="K46" s="53">
        <v>24.0</v>
      </c>
      <c r="L46" s="29"/>
      <c r="M46" s="54">
        <v>24.0</v>
      </c>
      <c r="N46" s="29"/>
      <c r="O46" s="54">
        <v>24.0</v>
      </c>
      <c r="P46" s="29"/>
      <c r="Q46" s="53">
        <v>24.0</v>
      </c>
      <c r="R46" s="30"/>
      <c r="S46" s="54">
        <v>24.0</v>
      </c>
      <c r="T46" s="29"/>
      <c r="U46" s="29"/>
      <c r="V46" s="54">
        <v>24.0</v>
      </c>
      <c r="W46" s="29"/>
      <c r="X46" s="30"/>
      <c r="Y46" s="30"/>
      <c r="Z46" s="29"/>
      <c r="AA46" s="29"/>
      <c r="AB46" s="29"/>
      <c r="AC46" s="54">
        <v>24.0</v>
      </c>
      <c r="AD46" s="29"/>
      <c r="AE46" s="30"/>
      <c r="AF46" s="30"/>
      <c r="AG46" s="29"/>
      <c r="AH46" s="29"/>
      <c r="AI46" s="29"/>
      <c r="AJ46" s="29"/>
      <c r="AK46" s="29"/>
      <c r="AL46" s="30"/>
      <c r="AM46" s="31">
        <f t="shared" ref="AM46:AM48" si="18">COUNTA(H46:AK46)</f>
        <v>7</v>
      </c>
      <c r="AN46" s="51">
        <f t="shared" ref="AN46:AN48" si="19">SUM(H46:AK46)</f>
        <v>168</v>
      </c>
      <c r="AO46" s="73" t="s">
        <v>147</v>
      </c>
    </row>
    <row r="47" ht="14.25" customHeight="1">
      <c r="A47" s="116">
        <v>36.0</v>
      </c>
      <c r="B47" s="35" t="s">
        <v>140</v>
      </c>
      <c r="C47" s="27">
        <v>1.0</v>
      </c>
      <c r="D47" s="140" t="s">
        <v>145</v>
      </c>
      <c r="E47" s="139" t="s">
        <v>51</v>
      </c>
      <c r="F47" s="139">
        <v>24.0</v>
      </c>
      <c r="G47" s="28" t="s">
        <v>85</v>
      </c>
      <c r="H47" s="29"/>
      <c r="I47" s="29"/>
      <c r="J47" s="53">
        <v>24.0</v>
      </c>
      <c r="K47" s="30"/>
      <c r="L47" s="54">
        <v>24.0</v>
      </c>
      <c r="M47" s="29"/>
      <c r="N47" s="54">
        <v>24.0</v>
      </c>
      <c r="O47" s="29"/>
      <c r="P47" s="54">
        <v>24.0</v>
      </c>
      <c r="Q47" s="30"/>
      <c r="R47" s="53">
        <v>24.0</v>
      </c>
      <c r="S47" s="29"/>
      <c r="T47" s="54">
        <v>24.0</v>
      </c>
      <c r="U47" s="29"/>
      <c r="V47" s="29"/>
      <c r="W47" s="29"/>
      <c r="X47" s="30"/>
      <c r="Y47" s="53">
        <v>24.0</v>
      </c>
      <c r="Z47" s="29"/>
      <c r="AA47" s="54">
        <v>24.0</v>
      </c>
      <c r="AB47" s="29"/>
      <c r="AC47" s="29"/>
      <c r="AD47" s="54">
        <v>24.0</v>
      </c>
      <c r="AE47" s="30"/>
      <c r="AF47" s="53">
        <v>24.0</v>
      </c>
      <c r="AG47" s="29"/>
      <c r="AH47" s="54">
        <v>24.0</v>
      </c>
      <c r="AI47" s="29"/>
      <c r="AJ47" s="29"/>
      <c r="AK47" s="29"/>
      <c r="AL47" s="30"/>
      <c r="AM47" s="31">
        <f t="shared" si="18"/>
        <v>11</v>
      </c>
      <c r="AN47" s="51">
        <f t="shared" si="19"/>
        <v>264</v>
      </c>
    </row>
    <row r="48" ht="14.25" customHeight="1">
      <c r="A48" s="116">
        <v>37.0</v>
      </c>
      <c r="B48" s="35" t="s">
        <v>140</v>
      </c>
      <c r="C48" s="27">
        <v>1.0</v>
      </c>
      <c r="D48" s="117" t="s">
        <v>150</v>
      </c>
      <c r="E48" s="139" t="s">
        <v>51</v>
      </c>
      <c r="F48" s="139">
        <v>24.0</v>
      </c>
      <c r="G48" s="28" t="s">
        <v>85</v>
      </c>
      <c r="H48" s="29"/>
      <c r="I48" s="29">
        <v>24.0</v>
      </c>
      <c r="J48" s="30"/>
      <c r="K48" s="30"/>
      <c r="L48" s="29"/>
      <c r="M48" s="29"/>
      <c r="N48" s="29"/>
      <c r="O48" s="29"/>
      <c r="P48" s="29"/>
      <c r="Q48" s="30"/>
      <c r="R48" s="30"/>
      <c r="S48" s="29"/>
      <c r="T48" s="29"/>
      <c r="U48" s="54">
        <v>24.0</v>
      </c>
      <c r="V48" s="29"/>
      <c r="W48" s="29"/>
      <c r="X48" s="53">
        <v>24.0</v>
      </c>
      <c r="Y48" s="30"/>
      <c r="Z48" s="54">
        <v>24.0</v>
      </c>
      <c r="AA48" s="29"/>
      <c r="AB48" s="54">
        <v>24.0</v>
      </c>
      <c r="AC48" s="29"/>
      <c r="AD48" s="29"/>
      <c r="AE48" s="30"/>
      <c r="AF48" s="30"/>
      <c r="AG48" s="54">
        <v>24.0</v>
      </c>
      <c r="AH48" s="29"/>
      <c r="AI48" s="29"/>
      <c r="AJ48" s="54">
        <v>24.0</v>
      </c>
      <c r="AK48" s="29"/>
      <c r="AL48" s="30"/>
      <c r="AM48" s="31">
        <f t="shared" si="18"/>
        <v>7</v>
      </c>
      <c r="AN48" s="51">
        <f t="shared" si="19"/>
        <v>168</v>
      </c>
    </row>
    <row r="49" ht="14.25" customHeight="1">
      <c r="A49" s="149"/>
      <c r="B49" s="143" t="s">
        <v>151</v>
      </c>
      <c r="C49" s="144">
        <v>33.0</v>
      </c>
      <c r="D49" s="143" t="s">
        <v>152</v>
      </c>
      <c r="E49" s="144"/>
      <c r="F49" s="144"/>
      <c r="G49" s="144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40"/>
      <c r="AN49" s="45"/>
    </row>
    <row r="50" ht="14.25" customHeight="1">
      <c r="A50" s="142"/>
      <c r="B50" s="146" t="s">
        <v>154</v>
      </c>
      <c r="C50" s="147"/>
      <c r="D50" s="147"/>
      <c r="E50" s="147"/>
      <c r="F50" s="147"/>
      <c r="G50" s="148"/>
      <c r="H50" s="145" t="s">
        <v>155</v>
      </c>
      <c r="I50" s="145" t="s">
        <v>155</v>
      </c>
      <c r="J50" s="145" t="s">
        <v>155</v>
      </c>
      <c r="K50" s="145" t="s">
        <v>155</v>
      </c>
      <c r="L50" s="145" t="s">
        <v>155</v>
      </c>
      <c r="M50" s="145" t="s">
        <v>155</v>
      </c>
      <c r="N50" s="145" t="s">
        <v>155</v>
      </c>
      <c r="O50" s="145" t="s">
        <v>155</v>
      </c>
      <c r="P50" s="145" t="s">
        <v>155</v>
      </c>
      <c r="Q50" s="145" t="s">
        <v>155</v>
      </c>
      <c r="R50" s="145" t="s">
        <v>155</v>
      </c>
      <c r="S50" s="145" t="s">
        <v>155</v>
      </c>
      <c r="T50" s="145" t="s">
        <v>155</v>
      </c>
      <c r="U50" s="145" t="s">
        <v>155</v>
      </c>
      <c r="V50" s="145" t="s">
        <v>155</v>
      </c>
      <c r="W50" s="145" t="s">
        <v>155</v>
      </c>
      <c r="X50" s="145" t="s">
        <v>155</v>
      </c>
      <c r="Y50" s="145" t="s">
        <v>155</v>
      </c>
      <c r="Z50" s="145" t="s">
        <v>155</v>
      </c>
      <c r="AA50" s="145" t="s">
        <v>155</v>
      </c>
      <c r="AB50" s="145" t="s">
        <v>155</v>
      </c>
      <c r="AC50" s="145"/>
      <c r="AD50" s="145"/>
      <c r="AE50" s="145" t="s">
        <v>155</v>
      </c>
      <c r="AF50" s="145" t="s">
        <v>155</v>
      </c>
      <c r="AG50" s="145" t="s">
        <v>155</v>
      </c>
      <c r="AH50" s="145" t="s">
        <v>155</v>
      </c>
      <c r="AI50" s="145"/>
      <c r="AJ50" s="145"/>
      <c r="AK50" s="145"/>
      <c r="AL50" s="145"/>
      <c r="AM50" s="40"/>
      <c r="AN50" s="45"/>
    </row>
    <row r="51" ht="14.25" customHeight="1">
      <c r="A51" s="142"/>
      <c r="B51" s="146" t="s">
        <v>156</v>
      </c>
      <c r="C51" s="147"/>
      <c r="D51" s="147"/>
      <c r="E51" s="147"/>
      <c r="F51" s="147"/>
      <c r="G51" s="148"/>
      <c r="H51" s="145">
        <f t="shared" ref="H51:AB51" si="20">COUNTA(#REF!,#REF!,#REF!,#REF!,#REF!)</f>
        <v>5</v>
      </c>
      <c r="I51" s="145">
        <f t="shared" si="20"/>
        <v>5</v>
      </c>
      <c r="J51" s="145">
        <f t="shared" si="20"/>
        <v>5</v>
      </c>
      <c r="K51" s="145">
        <f t="shared" si="20"/>
        <v>5</v>
      </c>
      <c r="L51" s="145">
        <f t="shared" si="20"/>
        <v>5</v>
      </c>
      <c r="M51" s="145">
        <f t="shared" si="20"/>
        <v>5</v>
      </c>
      <c r="N51" s="145">
        <f t="shared" si="20"/>
        <v>5</v>
      </c>
      <c r="O51" s="145">
        <f t="shared" si="20"/>
        <v>5</v>
      </c>
      <c r="P51" s="145">
        <f t="shared" si="20"/>
        <v>5</v>
      </c>
      <c r="Q51" s="145">
        <f t="shared" si="20"/>
        <v>5</v>
      </c>
      <c r="R51" s="145">
        <f t="shared" si="20"/>
        <v>5</v>
      </c>
      <c r="S51" s="145">
        <f t="shared" si="20"/>
        <v>5</v>
      </c>
      <c r="T51" s="145">
        <f t="shared" si="20"/>
        <v>5</v>
      </c>
      <c r="U51" s="145">
        <f t="shared" si="20"/>
        <v>5</v>
      </c>
      <c r="V51" s="145">
        <f t="shared" si="20"/>
        <v>5</v>
      </c>
      <c r="W51" s="145">
        <f t="shared" si="20"/>
        <v>5</v>
      </c>
      <c r="X51" s="145">
        <f t="shared" si="20"/>
        <v>5</v>
      </c>
      <c r="Y51" s="145">
        <f t="shared" si="20"/>
        <v>5</v>
      </c>
      <c r="Z51" s="145">
        <f t="shared" si="20"/>
        <v>5</v>
      </c>
      <c r="AA51" s="145">
        <f t="shared" si="20"/>
        <v>5</v>
      </c>
      <c r="AB51" s="145">
        <f t="shared" si="20"/>
        <v>5</v>
      </c>
      <c r="AC51" s="145"/>
      <c r="AD51" s="145"/>
      <c r="AE51" s="145">
        <f t="shared" ref="AE51:AH51" si="21">COUNTA(#REF!,#REF!,#REF!,#REF!,#REF!)</f>
        <v>5</v>
      </c>
      <c r="AF51" s="145">
        <f t="shared" si="21"/>
        <v>5</v>
      </c>
      <c r="AG51" s="145">
        <f t="shared" si="21"/>
        <v>5</v>
      </c>
      <c r="AH51" s="145">
        <f t="shared" si="21"/>
        <v>5</v>
      </c>
      <c r="AI51" s="145"/>
      <c r="AJ51" s="145"/>
      <c r="AK51" s="145"/>
      <c r="AL51" s="145"/>
      <c r="AM51" s="40"/>
      <c r="AN51" s="45"/>
    </row>
    <row r="52" ht="14.25" customHeight="1">
      <c r="A52" s="142"/>
      <c r="B52" s="146" t="s">
        <v>157</v>
      </c>
      <c r="C52" s="147"/>
      <c r="D52" s="147"/>
      <c r="E52" s="147"/>
      <c r="F52" s="147"/>
      <c r="G52" s="148"/>
      <c r="H52" s="145">
        <f t="shared" ref="H52:AB52" si="22">COUNTA(#REF!,#REF!)</f>
        <v>2</v>
      </c>
      <c r="I52" s="145">
        <f t="shared" si="22"/>
        <v>2</v>
      </c>
      <c r="J52" s="145">
        <f t="shared" si="22"/>
        <v>2</v>
      </c>
      <c r="K52" s="145">
        <f t="shared" si="22"/>
        <v>2</v>
      </c>
      <c r="L52" s="145">
        <f t="shared" si="22"/>
        <v>2</v>
      </c>
      <c r="M52" s="145">
        <f t="shared" si="22"/>
        <v>2</v>
      </c>
      <c r="N52" s="145">
        <f t="shared" si="22"/>
        <v>2</v>
      </c>
      <c r="O52" s="145">
        <f t="shared" si="22"/>
        <v>2</v>
      </c>
      <c r="P52" s="145">
        <f t="shared" si="22"/>
        <v>2</v>
      </c>
      <c r="Q52" s="145">
        <f t="shared" si="22"/>
        <v>2</v>
      </c>
      <c r="R52" s="145">
        <f t="shared" si="22"/>
        <v>2</v>
      </c>
      <c r="S52" s="145">
        <f t="shared" si="22"/>
        <v>2</v>
      </c>
      <c r="T52" s="145">
        <f t="shared" si="22"/>
        <v>2</v>
      </c>
      <c r="U52" s="145">
        <f t="shared" si="22"/>
        <v>2</v>
      </c>
      <c r="V52" s="145">
        <f t="shared" si="22"/>
        <v>2</v>
      </c>
      <c r="W52" s="145">
        <f t="shared" si="22"/>
        <v>2</v>
      </c>
      <c r="X52" s="145">
        <f t="shared" si="22"/>
        <v>2</v>
      </c>
      <c r="Y52" s="145">
        <f t="shared" si="22"/>
        <v>2</v>
      </c>
      <c r="Z52" s="145">
        <f t="shared" si="22"/>
        <v>2</v>
      </c>
      <c r="AA52" s="145">
        <f t="shared" si="22"/>
        <v>2</v>
      </c>
      <c r="AB52" s="145">
        <f t="shared" si="22"/>
        <v>2</v>
      </c>
      <c r="AC52" s="145"/>
      <c r="AD52" s="145"/>
      <c r="AE52" s="145">
        <f t="shared" ref="AE52:AH52" si="23">COUNTA(#REF!,#REF!)</f>
        <v>2</v>
      </c>
      <c r="AF52" s="145">
        <f t="shared" si="23"/>
        <v>2</v>
      </c>
      <c r="AG52" s="145">
        <f t="shared" si="23"/>
        <v>2</v>
      </c>
      <c r="AH52" s="145">
        <f t="shared" si="23"/>
        <v>2</v>
      </c>
      <c r="AI52" s="145"/>
      <c r="AJ52" s="145"/>
      <c r="AK52" s="145"/>
      <c r="AL52" s="145"/>
      <c r="AM52" s="40"/>
      <c r="AN52" s="45"/>
    </row>
    <row r="53" ht="14.25" customHeight="1">
      <c r="A53" s="2"/>
      <c r="B53" s="3"/>
      <c r="C53" s="2"/>
      <c r="D53" s="2"/>
      <c r="E53" s="2"/>
      <c r="F53" s="2"/>
      <c r="G53" s="4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1"/>
      <c r="AN53" s="11"/>
    </row>
    <row r="54" ht="14.25" customHeight="1">
      <c r="A54" s="152"/>
      <c r="B54" s="153"/>
      <c r="C54" s="154"/>
      <c r="D54" s="155" t="s">
        <v>159</v>
      </c>
      <c r="E54" s="155"/>
      <c r="F54" s="155"/>
      <c r="G54" s="156"/>
      <c r="H54" s="49">
        <f t="shared" ref="H54:AB54" si="24">COUNTA(H10,H11:H15,#REF!,H25:H27,H45,H24:H43,#REF!)</f>
        <v>9</v>
      </c>
      <c r="I54" s="49">
        <f t="shared" si="24"/>
        <v>13</v>
      </c>
      <c r="J54" s="49">
        <f t="shared" si="24"/>
        <v>15</v>
      </c>
      <c r="K54" s="49">
        <f t="shared" si="24"/>
        <v>11</v>
      </c>
      <c r="L54" s="49">
        <f t="shared" si="24"/>
        <v>9</v>
      </c>
      <c r="M54" s="49">
        <f t="shared" si="24"/>
        <v>13</v>
      </c>
      <c r="N54" s="49">
        <f t="shared" si="24"/>
        <v>11</v>
      </c>
      <c r="O54" s="49">
        <f t="shared" si="24"/>
        <v>14</v>
      </c>
      <c r="P54" s="49">
        <f t="shared" si="24"/>
        <v>17</v>
      </c>
      <c r="Q54" s="49">
        <f t="shared" si="24"/>
        <v>15</v>
      </c>
      <c r="R54" s="49">
        <f t="shared" si="24"/>
        <v>12</v>
      </c>
      <c r="S54" s="49">
        <f t="shared" si="24"/>
        <v>9</v>
      </c>
      <c r="T54" s="49">
        <f t="shared" si="24"/>
        <v>12</v>
      </c>
      <c r="U54" s="49">
        <f t="shared" si="24"/>
        <v>14</v>
      </c>
      <c r="V54" s="49">
        <f t="shared" si="24"/>
        <v>12</v>
      </c>
      <c r="W54" s="49">
        <f t="shared" si="24"/>
        <v>9</v>
      </c>
      <c r="X54" s="49">
        <f t="shared" si="24"/>
        <v>14</v>
      </c>
      <c r="Y54" s="49">
        <f t="shared" si="24"/>
        <v>10</v>
      </c>
      <c r="Z54" s="49">
        <f t="shared" si="24"/>
        <v>10</v>
      </c>
      <c r="AA54" s="49">
        <f t="shared" si="24"/>
        <v>12</v>
      </c>
      <c r="AB54" s="49">
        <f t="shared" si="24"/>
        <v>10</v>
      </c>
      <c r="AC54" s="49"/>
      <c r="AD54" s="49"/>
      <c r="AE54" s="49">
        <f t="shared" ref="AE54:AH54" si="25">COUNTA(AE10,AE11:AE15,#REF!,AE25:AE27,AE45,AE24:AE43,#REF!)</f>
        <v>7</v>
      </c>
      <c r="AF54" s="49">
        <f t="shared" si="25"/>
        <v>10</v>
      </c>
      <c r="AG54" s="49">
        <f t="shared" si="25"/>
        <v>8</v>
      </c>
      <c r="AH54" s="49">
        <f t="shared" si="25"/>
        <v>12</v>
      </c>
      <c r="AI54" s="49"/>
      <c r="AJ54" s="49"/>
      <c r="AK54" s="49"/>
      <c r="AL54" s="49"/>
      <c r="AM54" s="157">
        <f t="shared" ref="AM54:AM57" si="28">SUM(H54:AH54)</f>
        <v>288</v>
      </c>
      <c r="AN54" s="158">
        <v>250.0</v>
      </c>
    </row>
    <row r="55" ht="14.25" customHeight="1">
      <c r="A55" s="159"/>
      <c r="B55" s="160"/>
      <c r="C55" s="161"/>
      <c r="D55" s="162" t="s">
        <v>160</v>
      </c>
      <c r="E55" s="162"/>
      <c r="F55" s="162"/>
      <c r="G55" s="163"/>
      <c r="H55" s="164">
        <f t="shared" ref="H55:AB55" si="26">COUNTA(H10,#REF!,#REF!,H15,H24:H43,H25:H45)</f>
        <v>7</v>
      </c>
      <c r="I55" s="164">
        <f t="shared" si="26"/>
        <v>16</v>
      </c>
      <c r="J55" s="164">
        <f t="shared" si="26"/>
        <v>18</v>
      </c>
      <c r="K55" s="164">
        <f t="shared" si="26"/>
        <v>16</v>
      </c>
      <c r="L55" s="164">
        <f t="shared" si="26"/>
        <v>14</v>
      </c>
      <c r="M55" s="164">
        <f t="shared" si="26"/>
        <v>13</v>
      </c>
      <c r="N55" s="164">
        <f t="shared" si="26"/>
        <v>11</v>
      </c>
      <c r="O55" s="164">
        <f t="shared" si="26"/>
        <v>17</v>
      </c>
      <c r="P55" s="164">
        <f t="shared" si="26"/>
        <v>21</v>
      </c>
      <c r="Q55" s="164">
        <f t="shared" si="26"/>
        <v>17</v>
      </c>
      <c r="R55" s="164">
        <f t="shared" si="26"/>
        <v>18</v>
      </c>
      <c r="S55" s="164">
        <f t="shared" si="26"/>
        <v>12</v>
      </c>
      <c r="T55" s="164">
        <f t="shared" si="26"/>
        <v>11</v>
      </c>
      <c r="U55" s="164">
        <f t="shared" si="26"/>
        <v>17</v>
      </c>
      <c r="V55" s="164">
        <f t="shared" si="26"/>
        <v>13</v>
      </c>
      <c r="W55" s="164">
        <f t="shared" si="26"/>
        <v>5</v>
      </c>
      <c r="X55" s="164">
        <f t="shared" si="26"/>
        <v>15</v>
      </c>
      <c r="Y55" s="164">
        <f t="shared" si="26"/>
        <v>14</v>
      </c>
      <c r="Z55" s="164">
        <f t="shared" si="26"/>
        <v>14</v>
      </c>
      <c r="AA55" s="164">
        <f t="shared" si="26"/>
        <v>13</v>
      </c>
      <c r="AB55" s="164">
        <f t="shared" si="26"/>
        <v>9</v>
      </c>
      <c r="AC55" s="164"/>
      <c r="AD55" s="164"/>
      <c r="AE55" s="164">
        <f t="shared" ref="AE55:AH55" si="27">COUNTA(AE10,#REF!,#REF!,AE15,AE24:AE43,AE25:AE45)</f>
        <v>3</v>
      </c>
      <c r="AF55" s="164">
        <f t="shared" si="27"/>
        <v>16</v>
      </c>
      <c r="AG55" s="164">
        <f t="shared" si="27"/>
        <v>10</v>
      </c>
      <c r="AH55" s="164">
        <f t="shared" si="27"/>
        <v>13</v>
      </c>
      <c r="AI55" s="164"/>
      <c r="AJ55" s="164"/>
      <c r="AK55" s="164"/>
      <c r="AL55" s="164"/>
      <c r="AM55" s="165">
        <f t="shared" si="28"/>
        <v>333</v>
      </c>
      <c r="AN55" s="158"/>
    </row>
    <row r="56" ht="14.25" customHeight="1">
      <c r="A56" s="166"/>
      <c r="B56" s="167"/>
      <c r="C56" s="168"/>
      <c r="D56" s="169" t="s">
        <v>161</v>
      </c>
      <c r="E56" s="169"/>
      <c r="F56" s="169"/>
      <c r="G56" s="170"/>
      <c r="H56" s="171">
        <f t="shared" ref="H56:AB56" si="29">COUNTA(H24:H43,#REF!,H45:H46)</f>
        <v>3</v>
      </c>
      <c r="I56" s="171">
        <f t="shared" si="29"/>
        <v>7</v>
      </c>
      <c r="J56" s="171">
        <f t="shared" si="29"/>
        <v>8</v>
      </c>
      <c r="K56" s="171">
        <f t="shared" si="29"/>
        <v>9</v>
      </c>
      <c r="L56" s="171">
        <f t="shared" si="29"/>
        <v>7</v>
      </c>
      <c r="M56" s="171">
        <f t="shared" si="29"/>
        <v>7</v>
      </c>
      <c r="N56" s="171">
        <f t="shared" si="29"/>
        <v>5</v>
      </c>
      <c r="O56" s="171">
        <f t="shared" si="29"/>
        <v>9</v>
      </c>
      <c r="P56" s="171">
        <f t="shared" si="29"/>
        <v>10</v>
      </c>
      <c r="Q56" s="171">
        <f t="shared" si="29"/>
        <v>9</v>
      </c>
      <c r="R56" s="171">
        <f t="shared" si="29"/>
        <v>9</v>
      </c>
      <c r="S56" s="171">
        <f t="shared" si="29"/>
        <v>7</v>
      </c>
      <c r="T56" s="171">
        <f t="shared" si="29"/>
        <v>5</v>
      </c>
      <c r="U56" s="171">
        <f t="shared" si="29"/>
        <v>8</v>
      </c>
      <c r="V56" s="171">
        <f t="shared" si="29"/>
        <v>7</v>
      </c>
      <c r="W56" s="171">
        <f t="shared" si="29"/>
        <v>2</v>
      </c>
      <c r="X56" s="171">
        <f t="shared" si="29"/>
        <v>7</v>
      </c>
      <c r="Y56" s="171">
        <f t="shared" si="29"/>
        <v>7</v>
      </c>
      <c r="Z56" s="171">
        <f t="shared" si="29"/>
        <v>7</v>
      </c>
      <c r="AA56" s="171">
        <f t="shared" si="29"/>
        <v>6</v>
      </c>
      <c r="AB56" s="171">
        <f t="shared" si="29"/>
        <v>4</v>
      </c>
      <c r="AC56" s="171"/>
      <c r="AD56" s="171"/>
      <c r="AE56" s="171">
        <f t="shared" ref="AE56:AH56" si="30">COUNTA(AE24:AE43,#REF!,AE45:AE46)</f>
        <v>1</v>
      </c>
      <c r="AF56" s="171">
        <f t="shared" si="30"/>
        <v>8</v>
      </c>
      <c r="AG56" s="171">
        <f t="shared" si="30"/>
        <v>5</v>
      </c>
      <c r="AH56" s="171">
        <f t="shared" si="30"/>
        <v>6</v>
      </c>
      <c r="AI56" s="171"/>
      <c r="AJ56" s="171"/>
      <c r="AK56" s="171"/>
      <c r="AL56" s="171"/>
      <c r="AM56" s="172">
        <f t="shared" si="28"/>
        <v>163</v>
      </c>
      <c r="AN56" s="173">
        <f>AN54*AM58</f>
        <v>221000</v>
      </c>
    </row>
    <row r="57" ht="14.25" customHeight="1">
      <c r="A57" s="174"/>
      <c r="B57" s="175"/>
      <c r="C57" s="176"/>
      <c r="D57" s="177" t="s">
        <v>162</v>
      </c>
      <c r="E57" s="177"/>
      <c r="F57" s="177"/>
      <c r="G57" s="178"/>
      <c r="H57" s="179">
        <f t="shared" ref="H57:AB57" si="31">COUNTA(#REF!,#REF!,#REF!,#REF!)</f>
        <v>4</v>
      </c>
      <c r="I57" s="179">
        <f t="shared" si="31"/>
        <v>4</v>
      </c>
      <c r="J57" s="179">
        <f t="shared" si="31"/>
        <v>4</v>
      </c>
      <c r="K57" s="179">
        <f t="shared" si="31"/>
        <v>4</v>
      </c>
      <c r="L57" s="179">
        <f t="shared" si="31"/>
        <v>4</v>
      </c>
      <c r="M57" s="179">
        <f t="shared" si="31"/>
        <v>4</v>
      </c>
      <c r="N57" s="179">
        <f t="shared" si="31"/>
        <v>4</v>
      </c>
      <c r="O57" s="179">
        <f t="shared" si="31"/>
        <v>4</v>
      </c>
      <c r="P57" s="179">
        <f t="shared" si="31"/>
        <v>4</v>
      </c>
      <c r="Q57" s="179">
        <f t="shared" si="31"/>
        <v>4</v>
      </c>
      <c r="R57" s="179">
        <f t="shared" si="31"/>
        <v>4</v>
      </c>
      <c r="S57" s="179">
        <f t="shared" si="31"/>
        <v>4</v>
      </c>
      <c r="T57" s="179">
        <f t="shared" si="31"/>
        <v>4</v>
      </c>
      <c r="U57" s="179">
        <f t="shared" si="31"/>
        <v>4</v>
      </c>
      <c r="V57" s="179">
        <f t="shared" si="31"/>
        <v>4</v>
      </c>
      <c r="W57" s="179">
        <f t="shared" si="31"/>
        <v>4</v>
      </c>
      <c r="X57" s="179">
        <f t="shared" si="31"/>
        <v>4</v>
      </c>
      <c r="Y57" s="179">
        <f t="shared" si="31"/>
        <v>4</v>
      </c>
      <c r="Z57" s="179">
        <f t="shared" si="31"/>
        <v>4</v>
      </c>
      <c r="AA57" s="179">
        <f t="shared" si="31"/>
        <v>4</v>
      </c>
      <c r="AB57" s="179">
        <f t="shared" si="31"/>
        <v>4</v>
      </c>
      <c r="AC57" s="179"/>
      <c r="AD57" s="179"/>
      <c r="AE57" s="179">
        <f t="shared" ref="AE57:AH57" si="32">COUNTA(#REF!,#REF!,#REF!,#REF!)</f>
        <v>4</v>
      </c>
      <c r="AF57" s="179">
        <f t="shared" si="32"/>
        <v>4</v>
      </c>
      <c r="AG57" s="179">
        <f t="shared" si="32"/>
        <v>4</v>
      </c>
      <c r="AH57" s="179">
        <f t="shared" si="32"/>
        <v>4</v>
      </c>
      <c r="AI57" s="179"/>
      <c r="AJ57" s="179"/>
      <c r="AK57" s="179"/>
      <c r="AL57" s="179"/>
      <c r="AM57" s="179">
        <f t="shared" si="28"/>
        <v>100</v>
      </c>
      <c r="AN57" s="180"/>
    </row>
    <row r="58" ht="14.25" customHeight="1">
      <c r="A58" s="146" t="s">
        <v>163</v>
      </c>
      <c r="B58" s="147"/>
      <c r="C58" s="147"/>
      <c r="D58" s="147"/>
      <c r="E58" s="147"/>
      <c r="F58" s="147"/>
      <c r="G58" s="148"/>
      <c r="H58" s="145">
        <f t="shared" ref="H58:AB58" si="33">SUM(H54:H57)</f>
        <v>23</v>
      </c>
      <c r="I58" s="145">
        <f t="shared" si="33"/>
        <v>40</v>
      </c>
      <c r="J58" s="145">
        <f t="shared" si="33"/>
        <v>45</v>
      </c>
      <c r="K58" s="145">
        <f t="shared" si="33"/>
        <v>40</v>
      </c>
      <c r="L58" s="145">
        <f t="shared" si="33"/>
        <v>34</v>
      </c>
      <c r="M58" s="145">
        <f t="shared" si="33"/>
        <v>37</v>
      </c>
      <c r="N58" s="145">
        <f t="shared" si="33"/>
        <v>31</v>
      </c>
      <c r="O58" s="145">
        <f t="shared" si="33"/>
        <v>44</v>
      </c>
      <c r="P58" s="145">
        <f t="shared" si="33"/>
        <v>52</v>
      </c>
      <c r="Q58" s="145">
        <f t="shared" si="33"/>
        <v>45</v>
      </c>
      <c r="R58" s="145">
        <f t="shared" si="33"/>
        <v>43</v>
      </c>
      <c r="S58" s="145">
        <f t="shared" si="33"/>
        <v>32</v>
      </c>
      <c r="T58" s="145">
        <f t="shared" si="33"/>
        <v>32</v>
      </c>
      <c r="U58" s="145">
        <f t="shared" si="33"/>
        <v>43</v>
      </c>
      <c r="V58" s="145">
        <f t="shared" si="33"/>
        <v>36</v>
      </c>
      <c r="W58" s="145">
        <f t="shared" si="33"/>
        <v>20</v>
      </c>
      <c r="X58" s="145">
        <f t="shared" si="33"/>
        <v>40</v>
      </c>
      <c r="Y58" s="145">
        <f t="shared" si="33"/>
        <v>35</v>
      </c>
      <c r="Z58" s="145">
        <f t="shared" si="33"/>
        <v>35</v>
      </c>
      <c r="AA58" s="145">
        <f t="shared" si="33"/>
        <v>35</v>
      </c>
      <c r="AB58" s="145">
        <f t="shared" si="33"/>
        <v>27</v>
      </c>
      <c r="AC58" s="145"/>
      <c r="AD58" s="145"/>
      <c r="AE58" s="145">
        <f t="shared" ref="AE58:AH58" si="34">SUM(AE54:AE57)</f>
        <v>15</v>
      </c>
      <c r="AF58" s="145">
        <f t="shared" si="34"/>
        <v>38</v>
      </c>
      <c r="AG58" s="145">
        <f t="shared" si="34"/>
        <v>27</v>
      </c>
      <c r="AH58" s="145">
        <f t="shared" si="34"/>
        <v>35</v>
      </c>
      <c r="AI58" s="145"/>
      <c r="AJ58" s="145"/>
      <c r="AK58" s="145"/>
      <c r="AL58" s="145"/>
      <c r="AM58" s="145">
        <f>SUM(AM54:AM57)</f>
        <v>884</v>
      </c>
      <c r="AN58" s="181"/>
    </row>
    <row r="59" ht="14.25" customHeight="1">
      <c r="A59" s="2"/>
      <c r="B59" s="182" t="s">
        <v>164</v>
      </c>
      <c r="C59" s="182"/>
      <c r="D59" s="182"/>
      <c r="E59" s="182"/>
      <c r="F59" s="182"/>
      <c r="G59" s="4"/>
      <c r="H59" s="4"/>
      <c r="I59" s="4"/>
      <c r="J59" s="4"/>
      <c r="K59" s="4"/>
      <c r="L59" s="4"/>
      <c r="M59" s="4"/>
      <c r="N59" s="4"/>
      <c r="O59" s="4"/>
      <c r="P59" s="5"/>
      <c r="Q59" s="5"/>
      <c r="R59" s="4"/>
      <c r="S59" s="4"/>
      <c r="T59" s="4"/>
      <c r="U59" s="4"/>
      <c r="V59" s="5"/>
      <c r="W59" s="5"/>
      <c r="X59" s="5"/>
      <c r="Y59" s="4"/>
      <c r="Z59" s="4"/>
      <c r="AA59" s="4"/>
      <c r="AB59" s="4"/>
      <c r="AC59" s="4"/>
      <c r="AD59" s="4"/>
      <c r="AE59" s="5"/>
      <c r="AF59" s="5"/>
      <c r="AG59" s="5"/>
      <c r="AH59" s="5"/>
      <c r="AI59" s="5"/>
      <c r="AJ59" s="5"/>
      <c r="AK59" s="5"/>
      <c r="AL59" s="5"/>
      <c r="AM59" s="2"/>
      <c r="AN59" s="183"/>
    </row>
    <row r="60" ht="14.25" customHeight="1">
      <c r="A60" s="2"/>
      <c r="B60" s="182" t="s">
        <v>165</v>
      </c>
      <c r="C60" s="2"/>
      <c r="D60" s="2"/>
      <c r="E60" s="2"/>
      <c r="F60" s="2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11"/>
      <c r="AN60" s="2"/>
    </row>
    <row r="61" ht="14.25" customHeight="1">
      <c r="A61" s="2"/>
      <c r="B61" s="182" t="s">
        <v>166</v>
      </c>
      <c r="C61" s="184"/>
      <c r="D61" s="184"/>
      <c r="E61" s="2"/>
      <c r="F61" s="2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11"/>
      <c r="AN61" s="2"/>
    </row>
    <row r="62" ht="14.25" customHeight="1">
      <c r="A62" s="2"/>
      <c r="B62" s="182"/>
      <c r="C62" s="184"/>
      <c r="D62" s="184"/>
      <c r="E62" s="4" t="s">
        <v>167</v>
      </c>
      <c r="H62" s="5"/>
      <c r="I62" s="5"/>
      <c r="J62" s="5"/>
      <c r="K62" s="5"/>
      <c r="L62" s="5" t="s">
        <v>168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11"/>
      <c r="AN62" s="2"/>
    </row>
    <row r="63" ht="14.25" customHeight="1">
      <c r="A63" s="2"/>
      <c r="B63" s="3"/>
      <c r="C63" s="2"/>
      <c r="D63" s="2"/>
      <c r="E63" s="2"/>
      <c r="F63" s="2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11"/>
      <c r="AN63" s="11"/>
    </row>
    <row r="64" ht="14.25" customHeight="1">
      <c r="A64" s="2"/>
      <c r="B64" s="3"/>
      <c r="C64" s="2"/>
      <c r="D64" s="2"/>
      <c r="E64" s="4" t="s">
        <v>169</v>
      </c>
      <c r="H64" s="5"/>
      <c r="I64" s="5"/>
      <c r="J64" s="5"/>
      <c r="K64" s="5"/>
      <c r="L64" s="5"/>
      <c r="M64" s="5"/>
      <c r="N64" s="5"/>
      <c r="O64" s="5" t="s">
        <v>170</v>
      </c>
      <c r="P64" s="5"/>
      <c r="Q64" s="5"/>
      <c r="R64" s="5" t="s">
        <v>171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11"/>
      <c r="AN64" s="11"/>
    </row>
    <row r="65" ht="14.25" customHeight="1">
      <c r="A65" s="2"/>
      <c r="B65" s="3"/>
      <c r="C65" s="2"/>
      <c r="D65" s="2"/>
      <c r="E65" s="2"/>
      <c r="F65" s="2"/>
      <c r="G65" s="185"/>
      <c r="H65" s="5"/>
      <c r="I65" s="5"/>
      <c r="J65" s="5"/>
      <c r="K65" s="5"/>
      <c r="L65" s="5"/>
      <c r="M65" s="5"/>
      <c r="N65" s="5"/>
      <c r="O65" s="5"/>
      <c r="P65" s="5"/>
      <c r="Q65" s="5"/>
      <c r="R65" s="4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11"/>
      <c r="AN65" s="11"/>
    </row>
    <row r="66" ht="30.75" customHeight="1">
      <c r="A66" s="2"/>
      <c r="B66" s="3"/>
      <c r="C66" s="2"/>
      <c r="D66" s="2"/>
      <c r="E66" s="185" t="s">
        <v>172</v>
      </c>
      <c r="H66" s="5"/>
      <c r="I66" s="5"/>
      <c r="J66" s="5"/>
      <c r="K66" s="5"/>
      <c r="L66" s="5"/>
      <c r="M66" s="5"/>
      <c r="N66" s="5"/>
      <c r="O66" s="5" t="s">
        <v>170</v>
      </c>
      <c r="P66" s="5"/>
      <c r="Q66" s="5"/>
      <c r="R66" s="5" t="s">
        <v>171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11"/>
      <c r="AN66" s="11"/>
    </row>
    <row r="67" ht="14.25" customHeight="1">
      <c r="A67" s="11"/>
      <c r="B67" s="3"/>
      <c r="C67" s="2"/>
      <c r="D67" s="186"/>
      <c r="E67" s="2"/>
      <c r="F67" s="2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11"/>
      <c r="AN67" s="11"/>
    </row>
    <row r="68" ht="14.25" customHeight="1">
      <c r="G68" s="187"/>
    </row>
    <row r="69" ht="14.25" customHeight="1">
      <c r="G69" s="187"/>
    </row>
    <row r="70" ht="14.25" customHeight="1">
      <c r="G70" s="187"/>
    </row>
    <row r="71" ht="14.25" customHeight="1">
      <c r="G71" s="187"/>
    </row>
    <row r="72" ht="15.75" customHeight="1">
      <c r="G72" s="187"/>
    </row>
    <row r="73" ht="14.25" customHeight="1">
      <c r="G73" s="187"/>
    </row>
    <row r="74" ht="14.25" customHeight="1">
      <c r="G74" s="187"/>
    </row>
    <row r="75" ht="14.25" customHeight="1">
      <c r="G75" s="187"/>
    </row>
    <row r="76" ht="14.25" customHeight="1">
      <c r="G76" s="187"/>
    </row>
    <row r="77" ht="14.25" customHeight="1">
      <c r="G77" s="187"/>
    </row>
    <row r="78" ht="14.25" customHeight="1">
      <c r="G78" s="187"/>
    </row>
    <row r="79" ht="14.25" customHeight="1">
      <c r="G79" s="187"/>
    </row>
    <row r="80" ht="14.25" customHeight="1">
      <c r="G80" s="187"/>
    </row>
    <row r="81" ht="14.25" customHeight="1">
      <c r="G81" s="187"/>
    </row>
    <row r="82" ht="14.25" customHeight="1">
      <c r="G82" s="187"/>
    </row>
    <row r="83" ht="14.25" customHeight="1">
      <c r="G83" s="187"/>
    </row>
    <row r="84" ht="14.25" customHeight="1">
      <c r="G84" s="187"/>
    </row>
    <row r="85" ht="14.25" customHeight="1">
      <c r="G85" s="187"/>
    </row>
    <row r="86" ht="14.25" customHeight="1">
      <c r="G86" s="187"/>
    </row>
    <row r="87" ht="14.25" customHeight="1">
      <c r="G87" s="187"/>
    </row>
    <row r="88" ht="14.25" customHeight="1">
      <c r="G88" s="187"/>
    </row>
    <row r="89" ht="14.25" customHeight="1">
      <c r="G89" s="187"/>
    </row>
    <row r="90" ht="14.25" customHeight="1">
      <c r="G90" s="187"/>
    </row>
    <row r="91" ht="14.25" customHeight="1">
      <c r="G91" s="187"/>
    </row>
    <row r="92" ht="14.25" customHeight="1">
      <c r="G92" s="187"/>
    </row>
    <row r="93" ht="14.25" customHeight="1">
      <c r="G93" s="187"/>
    </row>
    <row r="94" ht="14.25" customHeight="1">
      <c r="G94" s="187"/>
    </row>
    <row r="95" ht="14.25" customHeight="1">
      <c r="G95" s="187"/>
    </row>
    <row r="96" ht="14.25" customHeight="1">
      <c r="G96" s="187"/>
    </row>
    <row r="97" ht="14.25" customHeight="1">
      <c r="G97" s="187"/>
    </row>
    <row r="98" ht="14.25" customHeight="1">
      <c r="G98" s="187"/>
    </row>
    <row r="99" ht="14.25" customHeight="1">
      <c r="G99" s="187"/>
    </row>
    <row r="100" ht="14.25" customHeight="1">
      <c r="G100" s="187"/>
    </row>
    <row r="101" ht="14.25" customHeight="1">
      <c r="G101" s="187"/>
    </row>
    <row r="102" ht="14.25" customHeight="1">
      <c r="G102" s="187"/>
    </row>
    <row r="103" ht="14.25" customHeight="1">
      <c r="G103" s="187"/>
    </row>
    <row r="104" ht="14.25" customHeight="1">
      <c r="G104" s="187"/>
    </row>
    <row r="105" ht="14.25" customHeight="1">
      <c r="G105" s="187"/>
    </row>
    <row r="106" ht="14.25" customHeight="1">
      <c r="G106" s="187"/>
    </row>
    <row r="107" ht="14.25" customHeight="1">
      <c r="G107" s="187"/>
    </row>
    <row r="108" ht="14.25" customHeight="1">
      <c r="G108" s="187"/>
    </row>
    <row r="109" ht="14.25" customHeight="1">
      <c r="G109" s="187"/>
    </row>
    <row r="110" ht="14.25" customHeight="1">
      <c r="G110" s="187"/>
    </row>
    <row r="111" ht="14.25" customHeight="1">
      <c r="G111" s="187"/>
    </row>
    <row r="112" ht="14.25" customHeight="1">
      <c r="G112" s="187"/>
    </row>
    <row r="113" ht="14.25" customHeight="1">
      <c r="G113" s="187"/>
    </row>
    <row r="114" ht="14.25" customHeight="1">
      <c r="G114" s="187"/>
    </row>
    <row r="115" ht="14.25" customHeight="1">
      <c r="G115" s="187"/>
    </row>
    <row r="116" ht="14.25" customHeight="1">
      <c r="G116" s="187"/>
    </row>
    <row r="117" ht="14.25" customHeight="1">
      <c r="G117" s="187"/>
    </row>
    <row r="118" ht="14.25" customHeight="1">
      <c r="G118" s="187"/>
    </row>
    <row r="119" ht="14.25" customHeight="1">
      <c r="G119" s="187"/>
    </row>
    <row r="120" ht="14.25" customHeight="1">
      <c r="G120" s="187"/>
    </row>
    <row r="121" ht="14.25" customHeight="1">
      <c r="G121" s="187"/>
    </row>
    <row r="122" ht="14.25" customHeight="1">
      <c r="G122" s="187"/>
    </row>
    <row r="123" ht="14.25" customHeight="1">
      <c r="G123" s="187"/>
    </row>
    <row r="124" ht="14.25" customHeight="1">
      <c r="G124" s="187"/>
    </row>
    <row r="125" ht="14.25" customHeight="1">
      <c r="G125" s="187"/>
    </row>
    <row r="126" ht="14.25" customHeight="1">
      <c r="G126" s="187"/>
    </row>
    <row r="127" ht="14.25" customHeight="1">
      <c r="G127" s="187"/>
    </row>
    <row r="128" ht="14.25" customHeight="1">
      <c r="G128" s="187"/>
    </row>
    <row r="129" ht="14.25" customHeight="1">
      <c r="G129" s="187"/>
    </row>
    <row r="130" ht="14.25" customHeight="1">
      <c r="G130" s="187"/>
    </row>
    <row r="131" ht="14.25" customHeight="1">
      <c r="G131" s="187"/>
    </row>
    <row r="132" ht="14.25" customHeight="1">
      <c r="G132" s="187"/>
    </row>
    <row r="133" ht="14.25" customHeight="1">
      <c r="G133" s="187"/>
    </row>
    <row r="134" ht="14.25" customHeight="1">
      <c r="G134" s="187"/>
    </row>
    <row r="135" ht="14.25" customHeight="1">
      <c r="G135" s="187"/>
    </row>
    <row r="136" ht="14.25" customHeight="1">
      <c r="G136" s="187"/>
    </row>
    <row r="137" ht="14.25" customHeight="1">
      <c r="G137" s="187"/>
    </row>
    <row r="138" ht="14.25" customHeight="1">
      <c r="G138" s="187"/>
    </row>
    <row r="139" ht="14.25" customHeight="1">
      <c r="G139" s="187"/>
    </row>
    <row r="140" ht="14.25" customHeight="1">
      <c r="G140" s="187"/>
    </row>
    <row r="141" ht="14.25" customHeight="1">
      <c r="G141" s="187"/>
    </row>
    <row r="142" ht="14.25" customHeight="1">
      <c r="G142" s="187"/>
    </row>
    <row r="143" ht="14.25" customHeight="1">
      <c r="G143" s="187"/>
    </row>
    <row r="144" ht="14.25" customHeight="1">
      <c r="G144" s="187"/>
    </row>
    <row r="145" ht="14.25" customHeight="1">
      <c r="G145" s="187"/>
    </row>
    <row r="146" ht="14.25" customHeight="1">
      <c r="G146" s="187"/>
    </row>
    <row r="147" ht="14.25" customHeight="1">
      <c r="G147" s="187"/>
    </row>
    <row r="148" ht="14.25" customHeight="1">
      <c r="G148" s="187"/>
    </row>
    <row r="149" ht="14.25" customHeight="1">
      <c r="G149" s="187"/>
    </row>
    <row r="150" ht="14.25" customHeight="1">
      <c r="G150" s="187"/>
    </row>
    <row r="151" ht="14.25" customHeight="1">
      <c r="G151" s="187"/>
    </row>
    <row r="152" ht="14.25" customHeight="1">
      <c r="G152" s="187"/>
    </row>
    <row r="153" ht="14.25" customHeight="1">
      <c r="G153" s="187"/>
    </row>
    <row r="154" ht="14.25" customHeight="1">
      <c r="G154" s="187"/>
    </row>
    <row r="155" ht="14.25" customHeight="1">
      <c r="G155" s="187"/>
    </row>
    <row r="156" ht="14.25" customHeight="1">
      <c r="G156" s="187"/>
    </row>
    <row r="157" ht="14.25" customHeight="1">
      <c r="G157" s="187"/>
    </row>
    <row r="158" ht="14.25" customHeight="1">
      <c r="G158" s="187"/>
    </row>
    <row r="159" ht="14.25" customHeight="1">
      <c r="G159" s="187"/>
    </row>
    <row r="160" ht="14.25" customHeight="1">
      <c r="G160" s="187"/>
    </row>
    <row r="161" ht="14.25" customHeight="1">
      <c r="G161" s="187"/>
    </row>
    <row r="162" ht="14.25" customHeight="1">
      <c r="G162" s="187"/>
    </row>
    <row r="163" ht="14.25" customHeight="1">
      <c r="G163" s="187"/>
    </row>
    <row r="164" ht="14.25" customHeight="1">
      <c r="G164" s="187"/>
    </row>
    <row r="165" ht="14.25" customHeight="1">
      <c r="G165" s="187"/>
    </row>
    <row r="166" ht="14.25" customHeight="1">
      <c r="G166" s="187"/>
    </row>
    <row r="167" ht="14.25" customHeight="1">
      <c r="G167" s="187"/>
    </row>
    <row r="168" ht="14.25" customHeight="1">
      <c r="G168" s="187"/>
    </row>
    <row r="169" ht="14.25" customHeight="1">
      <c r="G169" s="187"/>
    </row>
    <row r="170" ht="14.25" customHeight="1">
      <c r="G170" s="187"/>
    </row>
    <row r="171" ht="14.25" customHeight="1">
      <c r="G171" s="187"/>
    </row>
    <row r="172" ht="14.25" customHeight="1">
      <c r="G172" s="187"/>
    </row>
    <row r="173" ht="14.25" customHeight="1">
      <c r="G173" s="187"/>
    </row>
    <row r="174" ht="14.25" customHeight="1">
      <c r="G174" s="187"/>
    </row>
    <row r="175" ht="14.25" customHeight="1">
      <c r="G175" s="187"/>
    </row>
    <row r="176" ht="14.25" customHeight="1">
      <c r="G176" s="187"/>
    </row>
    <row r="177" ht="14.25" customHeight="1">
      <c r="G177" s="187"/>
    </row>
    <row r="178" ht="14.25" customHeight="1">
      <c r="G178" s="187"/>
    </row>
    <row r="179" ht="14.25" customHeight="1">
      <c r="G179" s="187"/>
    </row>
    <row r="180" ht="14.25" customHeight="1">
      <c r="G180" s="187"/>
    </row>
    <row r="181" ht="14.25" customHeight="1">
      <c r="G181" s="187"/>
    </row>
    <row r="182" ht="14.25" customHeight="1">
      <c r="G182" s="187"/>
    </row>
    <row r="183" ht="14.25" customHeight="1">
      <c r="G183" s="187"/>
    </row>
    <row r="184" ht="14.25" customHeight="1">
      <c r="G184" s="187"/>
    </row>
    <row r="185" ht="14.25" customHeight="1">
      <c r="G185" s="187"/>
    </row>
    <row r="186" ht="14.25" customHeight="1">
      <c r="G186" s="187"/>
    </row>
    <row r="187" ht="14.25" customHeight="1">
      <c r="G187" s="187"/>
    </row>
    <row r="188" ht="14.25" customHeight="1">
      <c r="G188" s="187"/>
    </row>
    <row r="189" ht="14.25" customHeight="1">
      <c r="G189" s="187"/>
    </row>
    <row r="190" ht="14.25" customHeight="1">
      <c r="G190" s="187"/>
    </row>
    <row r="191" ht="14.25" customHeight="1">
      <c r="G191" s="187"/>
    </row>
    <row r="192" ht="14.25" customHeight="1">
      <c r="G192" s="187"/>
    </row>
    <row r="193" ht="14.25" customHeight="1">
      <c r="G193" s="187"/>
    </row>
    <row r="194" ht="14.25" customHeight="1">
      <c r="G194" s="187"/>
    </row>
    <row r="195" ht="14.25" customHeight="1">
      <c r="G195" s="187"/>
    </row>
    <row r="196" ht="14.25" customHeight="1">
      <c r="G196" s="187"/>
    </row>
    <row r="197" ht="14.25" customHeight="1">
      <c r="G197" s="187"/>
    </row>
    <row r="198" ht="14.25" customHeight="1">
      <c r="G198" s="187"/>
    </row>
    <row r="199" ht="14.25" customHeight="1">
      <c r="G199" s="187"/>
    </row>
    <row r="200" ht="14.25" customHeight="1">
      <c r="G200" s="187"/>
    </row>
    <row r="201" ht="14.25" customHeight="1">
      <c r="G201" s="187"/>
    </row>
    <row r="202" ht="14.25" customHeight="1">
      <c r="G202" s="187"/>
    </row>
    <row r="203" ht="14.25" customHeight="1">
      <c r="G203" s="187"/>
    </row>
    <row r="204" ht="14.25" customHeight="1">
      <c r="G204" s="187"/>
    </row>
    <row r="205" ht="14.25" customHeight="1">
      <c r="G205" s="187"/>
    </row>
    <row r="206" ht="14.25" customHeight="1">
      <c r="G206" s="187"/>
    </row>
    <row r="207" ht="14.25" customHeight="1">
      <c r="G207" s="187"/>
    </row>
    <row r="208" ht="14.25" customHeight="1">
      <c r="G208" s="187"/>
    </row>
    <row r="209" ht="14.25" customHeight="1">
      <c r="G209" s="187"/>
    </row>
    <row r="210" ht="14.25" customHeight="1">
      <c r="G210" s="187"/>
    </row>
    <row r="211" ht="14.25" customHeight="1">
      <c r="G211" s="187"/>
    </row>
    <row r="212" ht="14.25" customHeight="1">
      <c r="G212" s="187"/>
    </row>
    <row r="213" ht="14.25" customHeight="1">
      <c r="G213" s="187"/>
    </row>
    <row r="214" ht="14.25" customHeight="1">
      <c r="G214" s="187"/>
    </row>
    <row r="215" ht="14.25" customHeight="1">
      <c r="G215" s="187"/>
    </row>
    <row r="216" ht="14.25" customHeight="1">
      <c r="G216" s="187"/>
    </row>
    <row r="217" ht="14.25" customHeight="1">
      <c r="G217" s="187"/>
    </row>
    <row r="218" ht="14.25" customHeight="1">
      <c r="G218" s="187"/>
    </row>
    <row r="219" ht="14.25" customHeight="1">
      <c r="G219" s="187"/>
    </row>
    <row r="220" ht="14.25" customHeight="1">
      <c r="G220" s="187"/>
    </row>
    <row r="221" ht="14.25" customHeight="1">
      <c r="G221" s="187"/>
    </row>
    <row r="222" ht="14.25" customHeight="1">
      <c r="G222" s="187"/>
    </row>
    <row r="223" ht="14.25" customHeight="1">
      <c r="G223" s="187"/>
    </row>
    <row r="224" ht="14.25" customHeight="1">
      <c r="G224" s="187"/>
    </row>
    <row r="225" ht="14.25" customHeight="1">
      <c r="G225" s="187"/>
    </row>
    <row r="226" ht="14.25" customHeight="1">
      <c r="G226" s="187"/>
    </row>
    <row r="227" ht="14.25" customHeight="1">
      <c r="G227" s="187"/>
    </row>
    <row r="228" ht="14.25" customHeight="1">
      <c r="G228" s="187"/>
    </row>
    <row r="229" ht="14.25" customHeight="1">
      <c r="G229" s="187"/>
    </row>
    <row r="230" ht="14.25" customHeight="1">
      <c r="G230" s="187"/>
    </row>
    <row r="231" ht="14.25" customHeight="1">
      <c r="G231" s="187"/>
    </row>
    <row r="232" ht="14.25" customHeight="1">
      <c r="G232" s="187"/>
    </row>
    <row r="233" ht="14.25" customHeight="1">
      <c r="G233" s="187"/>
    </row>
    <row r="234" ht="14.25" customHeight="1">
      <c r="G234" s="187"/>
    </row>
    <row r="235" ht="14.25" customHeight="1">
      <c r="G235" s="187"/>
    </row>
    <row r="236" ht="14.25" customHeight="1">
      <c r="G236" s="187"/>
    </row>
    <row r="237" ht="14.25" customHeight="1">
      <c r="G237" s="187"/>
    </row>
    <row r="238" ht="14.25" customHeight="1">
      <c r="G238" s="187"/>
    </row>
    <row r="239" ht="14.25" customHeight="1">
      <c r="G239" s="187"/>
    </row>
    <row r="240" ht="14.25" customHeight="1">
      <c r="G240" s="187"/>
    </row>
    <row r="241" ht="14.25" customHeight="1">
      <c r="G241" s="187"/>
    </row>
    <row r="242" ht="14.25" customHeight="1">
      <c r="G242" s="187"/>
    </row>
    <row r="243" ht="14.25" customHeight="1">
      <c r="G243" s="187"/>
    </row>
    <row r="244" ht="14.25" customHeight="1">
      <c r="G244" s="187"/>
    </row>
    <row r="245" ht="14.25" customHeight="1">
      <c r="G245" s="187"/>
    </row>
    <row r="246" ht="14.25" customHeight="1">
      <c r="G246" s="187"/>
    </row>
    <row r="247" ht="14.25" customHeight="1">
      <c r="G247" s="187"/>
    </row>
    <row r="248" ht="14.25" customHeight="1">
      <c r="G248" s="187"/>
    </row>
    <row r="249" ht="14.25" customHeight="1">
      <c r="G249" s="187"/>
    </row>
    <row r="250" ht="14.25" customHeight="1">
      <c r="G250" s="187"/>
    </row>
    <row r="251" ht="14.25" customHeight="1">
      <c r="G251" s="187"/>
    </row>
    <row r="252" ht="14.25" customHeight="1">
      <c r="G252" s="187"/>
    </row>
    <row r="253" ht="14.25" customHeight="1">
      <c r="G253" s="187"/>
    </row>
    <row r="254" ht="14.25" customHeight="1">
      <c r="G254" s="187"/>
    </row>
    <row r="255" ht="14.25" customHeight="1">
      <c r="G255" s="187"/>
    </row>
    <row r="256" ht="14.25" customHeight="1">
      <c r="G256" s="187"/>
    </row>
    <row r="257" ht="14.25" customHeight="1">
      <c r="G257" s="187"/>
    </row>
    <row r="258" ht="14.25" customHeight="1">
      <c r="G258" s="187"/>
    </row>
    <row r="259" ht="14.25" customHeight="1">
      <c r="G259" s="187"/>
    </row>
    <row r="260" ht="14.25" customHeight="1">
      <c r="G260" s="187"/>
    </row>
    <row r="261" ht="14.25" customHeight="1">
      <c r="G261" s="187"/>
    </row>
    <row r="262" ht="14.25" customHeight="1">
      <c r="G262" s="187"/>
    </row>
    <row r="263" ht="14.25" customHeight="1">
      <c r="G263" s="187"/>
    </row>
    <row r="264" ht="14.25" customHeight="1">
      <c r="G264" s="187"/>
    </row>
    <row r="265" ht="14.25" customHeight="1">
      <c r="G265" s="187"/>
    </row>
    <row r="266" ht="14.25" customHeight="1">
      <c r="G266" s="187"/>
    </row>
    <row r="267" ht="14.25" customHeight="1">
      <c r="G267" s="187"/>
    </row>
    <row r="268" ht="14.25" customHeight="1">
      <c r="G268" s="187"/>
    </row>
    <row r="269" ht="14.25" customHeight="1">
      <c r="G269" s="187"/>
    </row>
    <row r="270" ht="14.25" customHeight="1">
      <c r="G270" s="187"/>
    </row>
    <row r="271" ht="14.25" customHeight="1">
      <c r="G271" s="187"/>
    </row>
    <row r="272" ht="14.25" customHeight="1">
      <c r="G272" s="187"/>
    </row>
    <row r="273" ht="14.25" customHeight="1">
      <c r="G273" s="187"/>
    </row>
    <row r="274" ht="14.25" customHeight="1">
      <c r="G274" s="187"/>
    </row>
    <row r="275" ht="14.25" customHeight="1">
      <c r="G275" s="187"/>
    </row>
    <row r="276" ht="14.25" customHeight="1">
      <c r="G276" s="187"/>
    </row>
    <row r="277" ht="14.25" customHeight="1">
      <c r="G277" s="187"/>
    </row>
    <row r="278" ht="14.25" customHeight="1">
      <c r="G278" s="187"/>
    </row>
    <row r="279" ht="14.25" customHeight="1">
      <c r="G279" s="187"/>
    </row>
    <row r="280" ht="14.25" customHeight="1">
      <c r="G280" s="187"/>
    </row>
    <row r="281" ht="14.25" customHeight="1">
      <c r="G281" s="187"/>
    </row>
    <row r="282" ht="14.25" customHeight="1">
      <c r="G282" s="187"/>
    </row>
    <row r="283" ht="14.25" customHeight="1">
      <c r="G283" s="187"/>
    </row>
    <row r="284" ht="14.25" customHeight="1">
      <c r="G284" s="187"/>
    </row>
    <row r="285" ht="14.25" customHeight="1">
      <c r="G285" s="187"/>
    </row>
    <row r="286" ht="14.25" customHeight="1">
      <c r="G286" s="187"/>
    </row>
    <row r="287" ht="14.25" customHeight="1">
      <c r="G287" s="187"/>
    </row>
    <row r="288" ht="14.25" customHeight="1">
      <c r="G288" s="187"/>
    </row>
    <row r="289" ht="14.25" customHeight="1">
      <c r="G289" s="187"/>
    </row>
    <row r="290" ht="14.25" customHeight="1">
      <c r="G290" s="187"/>
    </row>
    <row r="291" ht="14.25" customHeight="1">
      <c r="G291" s="187"/>
    </row>
    <row r="292" ht="14.25" customHeight="1">
      <c r="G292" s="187"/>
    </row>
    <row r="293" ht="14.25" customHeight="1">
      <c r="G293" s="187"/>
    </row>
    <row r="294" ht="14.25" customHeight="1">
      <c r="G294" s="187"/>
    </row>
    <row r="295" ht="14.25" customHeight="1">
      <c r="G295" s="187"/>
    </row>
    <row r="296" ht="14.25" customHeight="1">
      <c r="G296" s="187"/>
    </row>
    <row r="297" ht="14.25" customHeight="1">
      <c r="G297" s="187"/>
    </row>
    <row r="298" ht="14.25" customHeight="1">
      <c r="G298" s="187"/>
    </row>
    <row r="299" ht="14.25" customHeight="1">
      <c r="G299" s="187"/>
    </row>
    <row r="300" ht="14.25" customHeight="1">
      <c r="G300" s="187"/>
    </row>
    <row r="301" ht="14.25" customHeight="1">
      <c r="G301" s="187"/>
    </row>
    <row r="302" ht="14.25" customHeight="1">
      <c r="G302" s="187"/>
    </row>
    <row r="303" ht="14.25" customHeight="1">
      <c r="G303" s="187"/>
    </row>
    <row r="304" ht="14.25" customHeight="1">
      <c r="G304" s="187"/>
    </row>
    <row r="305" ht="14.25" customHeight="1">
      <c r="G305" s="187"/>
    </row>
    <row r="306" ht="14.25" customHeight="1">
      <c r="G306" s="187"/>
    </row>
    <row r="307" ht="14.25" customHeight="1">
      <c r="G307" s="187"/>
    </row>
    <row r="308" ht="14.25" customHeight="1">
      <c r="G308" s="187"/>
    </row>
    <row r="309" ht="14.25" customHeight="1">
      <c r="G309" s="187"/>
    </row>
    <row r="310" ht="14.25" customHeight="1">
      <c r="G310" s="187"/>
    </row>
    <row r="311" ht="14.25" customHeight="1">
      <c r="G311" s="187"/>
    </row>
    <row r="312" ht="14.25" customHeight="1">
      <c r="G312" s="187"/>
    </row>
    <row r="313" ht="14.25" customHeight="1">
      <c r="G313" s="187"/>
    </row>
    <row r="314" ht="14.25" customHeight="1">
      <c r="G314" s="187"/>
    </row>
    <row r="315" ht="14.25" customHeight="1">
      <c r="G315" s="187"/>
    </row>
    <row r="316" ht="14.25" customHeight="1">
      <c r="G316" s="187"/>
    </row>
    <row r="317" ht="14.25" customHeight="1">
      <c r="G317" s="187"/>
    </row>
    <row r="318" ht="14.25" customHeight="1">
      <c r="G318" s="187"/>
    </row>
    <row r="319" ht="14.25" customHeight="1">
      <c r="G319" s="187"/>
    </row>
    <row r="320" ht="14.25" customHeight="1">
      <c r="G320" s="187"/>
    </row>
    <row r="321" ht="14.25" customHeight="1">
      <c r="G321" s="187"/>
    </row>
    <row r="322" ht="14.25" customHeight="1">
      <c r="G322" s="187"/>
    </row>
    <row r="323" ht="14.25" customHeight="1">
      <c r="G323" s="187"/>
    </row>
    <row r="324" ht="14.25" customHeight="1">
      <c r="G324" s="187"/>
    </row>
    <row r="325" ht="14.25" customHeight="1">
      <c r="G325" s="187"/>
    </row>
    <row r="326" ht="14.25" customHeight="1">
      <c r="G326" s="187"/>
    </row>
    <row r="327" ht="14.25" customHeight="1">
      <c r="G327" s="187"/>
    </row>
    <row r="328" ht="14.25" customHeight="1">
      <c r="G328" s="187"/>
    </row>
    <row r="329" ht="14.25" customHeight="1">
      <c r="G329" s="187"/>
    </row>
    <row r="330" ht="14.25" customHeight="1">
      <c r="G330" s="187"/>
    </row>
    <row r="331" ht="14.25" customHeight="1">
      <c r="G331" s="187"/>
    </row>
    <row r="332" ht="14.25" customHeight="1">
      <c r="G332" s="187"/>
    </row>
    <row r="333" ht="14.25" customHeight="1">
      <c r="G333" s="187"/>
    </row>
    <row r="334" ht="14.25" customHeight="1">
      <c r="G334" s="187"/>
    </row>
    <row r="335" ht="14.25" customHeight="1">
      <c r="G335" s="187"/>
    </row>
    <row r="336" ht="14.25" customHeight="1">
      <c r="G336" s="187"/>
    </row>
    <row r="337" ht="14.25" customHeight="1">
      <c r="G337" s="187"/>
    </row>
    <row r="338" ht="14.25" customHeight="1">
      <c r="G338" s="187"/>
    </row>
    <row r="339" ht="14.25" customHeight="1">
      <c r="G339" s="187"/>
    </row>
    <row r="340" ht="14.25" customHeight="1">
      <c r="G340" s="187"/>
    </row>
    <row r="341" ht="14.25" customHeight="1">
      <c r="G341" s="187"/>
    </row>
    <row r="342" ht="14.25" customHeight="1">
      <c r="G342" s="187"/>
    </row>
    <row r="343" ht="14.25" customHeight="1">
      <c r="G343" s="187"/>
    </row>
    <row r="344" ht="14.25" customHeight="1">
      <c r="G344" s="187"/>
    </row>
    <row r="345" ht="14.25" customHeight="1">
      <c r="G345" s="187"/>
    </row>
    <row r="346" ht="14.25" customHeight="1">
      <c r="G346" s="187"/>
    </row>
    <row r="347" ht="14.25" customHeight="1">
      <c r="G347" s="187"/>
    </row>
    <row r="348" ht="14.25" customHeight="1">
      <c r="G348" s="187"/>
    </row>
    <row r="349" ht="14.25" customHeight="1">
      <c r="G349" s="187"/>
    </row>
    <row r="350" ht="14.25" customHeight="1">
      <c r="G350" s="187"/>
    </row>
    <row r="351" ht="14.25" customHeight="1">
      <c r="G351" s="187"/>
    </row>
    <row r="352" ht="14.25" customHeight="1">
      <c r="G352" s="187"/>
    </row>
    <row r="353" ht="14.25" customHeight="1">
      <c r="G353" s="187"/>
    </row>
    <row r="354" ht="14.25" customHeight="1">
      <c r="G354" s="187"/>
    </row>
    <row r="355" ht="14.25" customHeight="1">
      <c r="G355" s="187"/>
    </row>
    <row r="356" ht="14.25" customHeight="1">
      <c r="G356" s="187"/>
    </row>
    <row r="357" ht="14.25" customHeight="1">
      <c r="G357" s="187"/>
    </row>
    <row r="358" ht="14.25" customHeight="1">
      <c r="G358" s="187"/>
    </row>
    <row r="359" ht="14.25" customHeight="1">
      <c r="G359" s="187"/>
    </row>
    <row r="360" ht="14.25" customHeight="1">
      <c r="G360" s="187"/>
    </row>
    <row r="361" ht="14.25" customHeight="1">
      <c r="G361" s="187"/>
    </row>
    <row r="362" ht="14.25" customHeight="1">
      <c r="G362" s="187"/>
    </row>
    <row r="363" ht="14.25" customHeight="1">
      <c r="G363" s="187"/>
    </row>
    <row r="364" ht="14.25" customHeight="1">
      <c r="G364" s="187"/>
    </row>
    <row r="365" ht="14.25" customHeight="1">
      <c r="G365" s="187"/>
    </row>
    <row r="366" ht="14.25" customHeight="1">
      <c r="G366" s="187"/>
    </row>
    <row r="367" ht="14.25" customHeight="1">
      <c r="G367" s="187"/>
    </row>
    <row r="368" ht="14.25" customHeight="1">
      <c r="G368" s="187"/>
    </row>
    <row r="369" ht="14.25" customHeight="1">
      <c r="G369" s="187"/>
    </row>
    <row r="370" ht="14.25" customHeight="1">
      <c r="G370" s="187"/>
    </row>
    <row r="371" ht="14.25" customHeight="1">
      <c r="G371" s="187"/>
    </row>
    <row r="372" ht="14.25" customHeight="1">
      <c r="G372" s="187"/>
    </row>
    <row r="373" ht="14.25" customHeight="1">
      <c r="G373" s="187"/>
    </row>
    <row r="374" ht="14.25" customHeight="1">
      <c r="G374" s="187"/>
    </row>
    <row r="375" ht="14.25" customHeight="1">
      <c r="G375" s="187"/>
    </row>
    <row r="376" ht="14.25" customHeight="1">
      <c r="G376" s="187"/>
    </row>
    <row r="377" ht="14.25" customHeight="1">
      <c r="G377" s="187"/>
    </row>
    <row r="378" ht="14.25" customHeight="1">
      <c r="G378" s="187"/>
    </row>
    <row r="379" ht="14.25" customHeight="1">
      <c r="G379" s="187"/>
    </row>
    <row r="380" ht="14.25" customHeight="1">
      <c r="G380" s="187"/>
    </row>
    <row r="381" ht="14.25" customHeight="1">
      <c r="G381" s="187"/>
    </row>
    <row r="382" ht="14.25" customHeight="1">
      <c r="G382" s="187"/>
    </row>
    <row r="383" ht="14.25" customHeight="1">
      <c r="G383" s="187"/>
    </row>
    <row r="384" ht="14.25" customHeight="1">
      <c r="G384" s="187"/>
    </row>
    <row r="385" ht="14.25" customHeight="1">
      <c r="G385" s="187"/>
    </row>
    <row r="386" ht="14.25" customHeight="1">
      <c r="G386" s="187"/>
    </row>
    <row r="387" ht="14.25" customHeight="1">
      <c r="G387" s="187"/>
    </row>
    <row r="388" ht="14.25" customHeight="1">
      <c r="G388" s="187"/>
    </row>
    <row r="389" ht="14.25" customHeight="1">
      <c r="G389" s="187"/>
    </row>
    <row r="390" ht="14.25" customHeight="1">
      <c r="G390" s="187"/>
    </row>
    <row r="391" ht="14.25" customHeight="1">
      <c r="G391" s="187"/>
    </row>
    <row r="392" ht="14.25" customHeight="1">
      <c r="G392" s="187"/>
    </row>
    <row r="393" ht="14.25" customHeight="1">
      <c r="G393" s="187"/>
    </row>
    <row r="394" ht="14.25" customHeight="1">
      <c r="G394" s="187"/>
    </row>
    <row r="395" ht="14.25" customHeight="1">
      <c r="G395" s="187"/>
    </row>
    <row r="396" ht="14.25" customHeight="1">
      <c r="G396" s="187"/>
    </row>
    <row r="397" ht="14.25" customHeight="1">
      <c r="G397" s="187"/>
    </row>
    <row r="398" ht="14.25" customHeight="1">
      <c r="G398" s="187"/>
    </row>
    <row r="399" ht="14.25" customHeight="1">
      <c r="G399" s="187"/>
    </row>
    <row r="400" ht="14.25" customHeight="1">
      <c r="G400" s="187"/>
    </row>
    <row r="401" ht="14.25" customHeight="1">
      <c r="G401" s="187"/>
    </row>
    <row r="402" ht="14.25" customHeight="1">
      <c r="G402" s="187"/>
    </row>
    <row r="403" ht="14.25" customHeight="1">
      <c r="G403" s="187"/>
    </row>
    <row r="404" ht="14.25" customHeight="1">
      <c r="G404" s="187"/>
    </row>
    <row r="405" ht="14.25" customHeight="1">
      <c r="G405" s="187"/>
    </row>
    <row r="406" ht="14.25" customHeight="1">
      <c r="G406" s="187"/>
    </row>
    <row r="407" ht="14.25" customHeight="1">
      <c r="G407" s="187"/>
    </row>
    <row r="408" ht="14.25" customHeight="1">
      <c r="G408" s="187"/>
    </row>
    <row r="409" ht="14.25" customHeight="1">
      <c r="G409" s="187"/>
    </row>
    <row r="410" ht="14.25" customHeight="1">
      <c r="G410" s="187"/>
    </row>
    <row r="411" ht="14.25" customHeight="1">
      <c r="G411" s="187"/>
    </row>
    <row r="412" ht="14.25" customHeight="1">
      <c r="G412" s="187"/>
    </row>
    <row r="413" ht="14.25" customHeight="1">
      <c r="G413" s="187"/>
    </row>
    <row r="414" ht="14.25" customHeight="1">
      <c r="G414" s="187"/>
    </row>
    <row r="415" ht="14.25" customHeight="1">
      <c r="G415" s="187"/>
    </row>
    <row r="416" ht="14.25" customHeight="1">
      <c r="G416" s="187"/>
    </row>
    <row r="417" ht="14.25" customHeight="1">
      <c r="G417" s="187"/>
    </row>
    <row r="418" ht="14.25" customHeight="1">
      <c r="G418" s="187"/>
    </row>
    <row r="419" ht="14.25" customHeight="1">
      <c r="G419" s="187"/>
    </row>
    <row r="420" ht="14.25" customHeight="1">
      <c r="G420" s="187"/>
    </row>
    <row r="421" ht="14.25" customHeight="1">
      <c r="G421" s="187"/>
    </row>
    <row r="422" ht="14.25" customHeight="1">
      <c r="G422" s="187"/>
    </row>
    <row r="423" ht="14.25" customHeight="1">
      <c r="G423" s="187"/>
    </row>
    <row r="424" ht="14.25" customHeight="1">
      <c r="G424" s="187"/>
    </row>
    <row r="425" ht="14.25" customHeight="1">
      <c r="G425" s="187"/>
    </row>
    <row r="426" ht="14.25" customHeight="1">
      <c r="G426" s="187"/>
    </row>
    <row r="427" ht="14.25" customHeight="1">
      <c r="G427" s="187"/>
    </row>
    <row r="428" ht="14.25" customHeight="1">
      <c r="G428" s="187"/>
    </row>
    <row r="429" ht="14.25" customHeight="1">
      <c r="G429" s="187"/>
    </row>
    <row r="430" ht="14.25" customHeight="1">
      <c r="G430" s="187"/>
    </row>
    <row r="431" ht="14.25" customHeight="1">
      <c r="G431" s="187"/>
    </row>
    <row r="432" ht="14.25" customHeight="1">
      <c r="G432" s="187"/>
    </row>
    <row r="433" ht="14.25" customHeight="1">
      <c r="G433" s="187"/>
    </row>
    <row r="434" ht="14.25" customHeight="1">
      <c r="G434" s="187"/>
    </row>
    <row r="435" ht="14.25" customHeight="1">
      <c r="G435" s="187"/>
    </row>
    <row r="436" ht="14.25" customHeight="1">
      <c r="G436" s="187"/>
    </row>
    <row r="437" ht="14.25" customHeight="1">
      <c r="G437" s="187"/>
    </row>
    <row r="438" ht="14.25" customHeight="1">
      <c r="G438" s="187"/>
    </row>
    <row r="439" ht="14.25" customHeight="1">
      <c r="G439" s="187"/>
    </row>
    <row r="440" ht="14.25" customHeight="1">
      <c r="G440" s="187"/>
    </row>
    <row r="441" ht="14.25" customHeight="1">
      <c r="G441" s="187"/>
    </row>
    <row r="442" ht="14.25" customHeight="1">
      <c r="G442" s="187"/>
    </row>
    <row r="443" ht="14.25" customHeight="1">
      <c r="G443" s="187"/>
    </row>
    <row r="444" ht="14.25" customHeight="1">
      <c r="G444" s="187"/>
    </row>
    <row r="445" ht="14.25" customHeight="1">
      <c r="G445" s="187"/>
    </row>
    <row r="446" ht="14.25" customHeight="1">
      <c r="G446" s="187"/>
    </row>
    <row r="447" ht="14.25" customHeight="1">
      <c r="G447" s="187"/>
    </row>
    <row r="448" ht="14.25" customHeight="1">
      <c r="G448" s="187"/>
    </row>
    <row r="449" ht="14.25" customHeight="1">
      <c r="G449" s="187"/>
    </row>
    <row r="450" ht="14.25" customHeight="1">
      <c r="G450" s="187"/>
    </row>
    <row r="451" ht="14.25" customHeight="1">
      <c r="G451" s="187"/>
    </row>
    <row r="452" ht="14.25" customHeight="1">
      <c r="G452" s="187"/>
    </row>
    <row r="453" ht="14.25" customHeight="1">
      <c r="G453" s="187"/>
    </row>
    <row r="454" ht="14.25" customHeight="1">
      <c r="G454" s="187"/>
    </row>
    <row r="455" ht="14.25" customHeight="1">
      <c r="G455" s="187"/>
    </row>
    <row r="456" ht="14.25" customHeight="1">
      <c r="G456" s="187"/>
    </row>
    <row r="457" ht="14.25" customHeight="1">
      <c r="G457" s="187"/>
    </row>
    <row r="458" ht="14.25" customHeight="1">
      <c r="G458" s="187"/>
    </row>
    <row r="459" ht="14.25" customHeight="1">
      <c r="G459" s="187"/>
    </row>
    <row r="460" ht="14.25" customHeight="1">
      <c r="G460" s="187"/>
    </row>
    <row r="461" ht="14.25" customHeight="1">
      <c r="G461" s="187"/>
    </row>
    <row r="462" ht="14.25" customHeight="1">
      <c r="G462" s="187"/>
    </row>
    <row r="463" ht="14.25" customHeight="1">
      <c r="G463" s="187"/>
    </row>
    <row r="464" ht="14.25" customHeight="1">
      <c r="G464" s="187"/>
    </row>
    <row r="465" ht="14.25" customHeight="1">
      <c r="G465" s="187"/>
    </row>
    <row r="466" ht="14.25" customHeight="1">
      <c r="G466" s="187"/>
    </row>
    <row r="467" ht="14.25" customHeight="1">
      <c r="G467" s="187"/>
    </row>
    <row r="468" ht="14.25" customHeight="1">
      <c r="G468" s="187"/>
    </row>
    <row r="469" ht="14.25" customHeight="1">
      <c r="G469" s="187"/>
    </row>
    <row r="470" ht="14.25" customHeight="1">
      <c r="G470" s="187"/>
    </row>
    <row r="471" ht="14.25" customHeight="1">
      <c r="G471" s="187"/>
    </row>
    <row r="472" ht="14.25" customHeight="1">
      <c r="G472" s="187"/>
    </row>
    <row r="473" ht="14.25" customHeight="1">
      <c r="G473" s="187"/>
    </row>
    <row r="474" ht="14.25" customHeight="1">
      <c r="G474" s="187"/>
    </row>
    <row r="475" ht="14.25" customHeight="1">
      <c r="G475" s="187"/>
    </row>
    <row r="476" ht="14.25" customHeight="1">
      <c r="G476" s="187"/>
    </row>
    <row r="477" ht="14.25" customHeight="1">
      <c r="G477" s="187"/>
    </row>
    <row r="478" ht="14.25" customHeight="1">
      <c r="G478" s="187"/>
    </row>
    <row r="479" ht="14.25" customHeight="1">
      <c r="G479" s="187"/>
    </row>
    <row r="480" ht="14.25" customHeight="1">
      <c r="G480" s="187"/>
    </row>
    <row r="481" ht="14.25" customHeight="1">
      <c r="G481" s="187"/>
    </row>
    <row r="482" ht="14.25" customHeight="1">
      <c r="G482" s="187"/>
    </row>
    <row r="483" ht="14.25" customHeight="1">
      <c r="G483" s="187"/>
    </row>
    <row r="484" ht="14.25" customHeight="1">
      <c r="G484" s="187"/>
    </row>
    <row r="485" ht="14.25" customHeight="1">
      <c r="G485" s="187"/>
    </row>
    <row r="486" ht="14.25" customHeight="1">
      <c r="G486" s="187"/>
    </row>
    <row r="487" ht="14.25" customHeight="1">
      <c r="G487" s="187"/>
    </row>
    <row r="488" ht="14.25" customHeight="1">
      <c r="G488" s="187"/>
    </row>
    <row r="489" ht="14.25" customHeight="1">
      <c r="G489" s="187"/>
    </row>
    <row r="490" ht="14.25" customHeight="1">
      <c r="G490" s="187"/>
    </row>
    <row r="491" ht="14.25" customHeight="1">
      <c r="G491" s="187"/>
    </row>
    <row r="492" ht="14.25" customHeight="1">
      <c r="G492" s="187"/>
    </row>
    <row r="493" ht="14.25" customHeight="1">
      <c r="G493" s="187"/>
    </row>
    <row r="494" ht="14.25" customHeight="1">
      <c r="G494" s="187"/>
    </row>
    <row r="495" ht="14.25" customHeight="1">
      <c r="G495" s="187"/>
    </row>
    <row r="496" ht="14.25" customHeight="1">
      <c r="G496" s="187"/>
    </row>
    <row r="497" ht="14.25" customHeight="1">
      <c r="G497" s="187"/>
    </row>
    <row r="498" ht="14.25" customHeight="1">
      <c r="G498" s="187"/>
    </row>
    <row r="499" ht="14.25" customHeight="1">
      <c r="G499" s="187"/>
    </row>
    <row r="500" ht="14.25" customHeight="1">
      <c r="G500" s="187"/>
    </row>
    <row r="501" ht="14.25" customHeight="1">
      <c r="G501" s="187"/>
    </row>
    <row r="502" ht="14.25" customHeight="1">
      <c r="G502" s="187"/>
    </row>
    <row r="503" ht="14.25" customHeight="1">
      <c r="G503" s="187"/>
    </row>
    <row r="504" ht="14.25" customHeight="1">
      <c r="G504" s="187"/>
    </row>
    <row r="505" ht="14.25" customHeight="1">
      <c r="G505" s="187"/>
    </row>
    <row r="506" ht="14.25" customHeight="1">
      <c r="G506" s="187"/>
    </row>
    <row r="507" ht="14.25" customHeight="1">
      <c r="G507" s="187"/>
    </row>
    <row r="508" ht="14.25" customHeight="1">
      <c r="G508" s="187"/>
    </row>
    <row r="509" ht="14.25" customHeight="1">
      <c r="G509" s="187"/>
    </row>
    <row r="510" ht="14.25" customHeight="1">
      <c r="G510" s="187"/>
    </row>
    <row r="511" ht="14.25" customHeight="1">
      <c r="G511" s="187"/>
    </row>
    <row r="512" ht="14.25" customHeight="1">
      <c r="G512" s="187"/>
    </row>
    <row r="513" ht="14.25" customHeight="1">
      <c r="G513" s="187"/>
    </row>
    <row r="514" ht="14.25" customHeight="1">
      <c r="G514" s="187"/>
    </row>
    <row r="515" ht="14.25" customHeight="1">
      <c r="G515" s="187"/>
    </row>
    <row r="516" ht="14.25" customHeight="1">
      <c r="G516" s="187"/>
    </row>
    <row r="517" ht="14.25" customHeight="1">
      <c r="G517" s="187"/>
    </row>
    <row r="518" ht="14.25" customHeight="1">
      <c r="G518" s="187"/>
    </row>
    <row r="519" ht="14.25" customHeight="1">
      <c r="G519" s="187"/>
    </row>
    <row r="520" ht="14.25" customHeight="1">
      <c r="G520" s="187"/>
    </row>
    <row r="521" ht="14.25" customHeight="1">
      <c r="G521" s="187"/>
    </row>
    <row r="522" ht="14.25" customHeight="1">
      <c r="G522" s="187"/>
    </row>
    <row r="523" ht="14.25" customHeight="1">
      <c r="G523" s="187"/>
    </row>
    <row r="524" ht="14.25" customHeight="1">
      <c r="G524" s="187"/>
    </row>
    <row r="525" ht="14.25" customHeight="1">
      <c r="G525" s="187"/>
    </row>
    <row r="526" ht="14.25" customHeight="1">
      <c r="G526" s="187"/>
    </row>
    <row r="527" ht="14.25" customHeight="1">
      <c r="G527" s="187"/>
    </row>
    <row r="528" ht="14.25" customHeight="1">
      <c r="G528" s="187"/>
    </row>
    <row r="529" ht="14.25" customHeight="1">
      <c r="G529" s="187"/>
    </row>
    <row r="530" ht="14.25" customHeight="1">
      <c r="G530" s="187"/>
    </row>
    <row r="531" ht="14.25" customHeight="1">
      <c r="G531" s="187"/>
    </row>
    <row r="532" ht="14.25" customHeight="1">
      <c r="G532" s="187"/>
    </row>
    <row r="533" ht="14.25" customHeight="1">
      <c r="G533" s="187"/>
    </row>
    <row r="534" ht="14.25" customHeight="1">
      <c r="G534" s="187"/>
    </row>
    <row r="535" ht="14.25" customHeight="1">
      <c r="G535" s="187"/>
    </row>
    <row r="536" ht="14.25" customHeight="1">
      <c r="G536" s="187"/>
    </row>
    <row r="537" ht="14.25" customHeight="1">
      <c r="G537" s="187"/>
    </row>
    <row r="538" ht="14.25" customHeight="1">
      <c r="G538" s="187"/>
    </row>
    <row r="539" ht="14.25" customHeight="1">
      <c r="G539" s="187"/>
    </row>
    <row r="540" ht="14.25" customHeight="1">
      <c r="G540" s="187"/>
    </row>
    <row r="541" ht="14.25" customHeight="1">
      <c r="G541" s="187"/>
    </row>
    <row r="542" ht="14.25" customHeight="1">
      <c r="G542" s="187"/>
    </row>
    <row r="543" ht="14.25" customHeight="1">
      <c r="G543" s="187"/>
    </row>
    <row r="544" ht="14.25" customHeight="1">
      <c r="G544" s="187"/>
    </row>
    <row r="545" ht="14.25" customHeight="1">
      <c r="G545" s="187"/>
    </row>
    <row r="546" ht="14.25" customHeight="1">
      <c r="G546" s="187"/>
    </row>
    <row r="547" ht="14.25" customHeight="1">
      <c r="G547" s="187"/>
    </row>
    <row r="548" ht="14.25" customHeight="1">
      <c r="G548" s="187"/>
    </row>
    <row r="549" ht="14.25" customHeight="1">
      <c r="G549" s="187"/>
    </row>
    <row r="550" ht="14.25" customHeight="1">
      <c r="G550" s="187"/>
    </row>
    <row r="551" ht="14.25" customHeight="1">
      <c r="G551" s="187"/>
    </row>
    <row r="552" ht="14.25" customHeight="1">
      <c r="G552" s="187"/>
    </row>
    <row r="553" ht="14.25" customHeight="1">
      <c r="G553" s="187"/>
    </row>
    <row r="554" ht="14.25" customHeight="1">
      <c r="G554" s="187"/>
    </row>
    <row r="555" ht="14.25" customHeight="1">
      <c r="G555" s="187"/>
    </row>
    <row r="556" ht="14.25" customHeight="1">
      <c r="G556" s="187"/>
    </row>
    <row r="557" ht="14.25" customHeight="1">
      <c r="G557" s="187"/>
    </row>
    <row r="558" ht="14.25" customHeight="1">
      <c r="G558" s="187"/>
    </row>
    <row r="559" ht="14.25" customHeight="1">
      <c r="G559" s="187"/>
    </row>
    <row r="560" ht="14.25" customHeight="1">
      <c r="G560" s="187"/>
    </row>
    <row r="561" ht="14.25" customHeight="1">
      <c r="G561" s="187"/>
    </row>
    <row r="562" ht="14.25" customHeight="1">
      <c r="G562" s="187"/>
    </row>
    <row r="563" ht="14.25" customHeight="1">
      <c r="G563" s="187"/>
    </row>
    <row r="564" ht="14.25" customHeight="1">
      <c r="G564" s="187"/>
    </row>
    <row r="565" ht="14.25" customHeight="1">
      <c r="G565" s="187"/>
    </row>
    <row r="566" ht="14.25" customHeight="1">
      <c r="G566" s="187"/>
    </row>
    <row r="567" ht="14.25" customHeight="1">
      <c r="G567" s="187"/>
    </row>
    <row r="568" ht="14.25" customHeight="1">
      <c r="G568" s="187"/>
    </row>
    <row r="569" ht="14.25" customHeight="1">
      <c r="G569" s="187"/>
    </row>
    <row r="570" ht="14.25" customHeight="1">
      <c r="G570" s="187"/>
    </row>
    <row r="571" ht="14.25" customHeight="1">
      <c r="G571" s="187"/>
    </row>
    <row r="572" ht="14.25" customHeight="1">
      <c r="G572" s="187"/>
    </row>
    <row r="573" ht="14.25" customHeight="1">
      <c r="G573" s="187"/>
    </row>
    <row r="574" ht="14.25" customHeight="1">
      <c r="G574" s="187"/>
    </row>
    <row r="575" ht="14.25" customHeight="1">
      <c r="G575" s="187"/>
    </row>
    <row r="576" ht="14.25" customHeight="1">
      <c r="G576" s="187"/>
    </row>
    <row r="577" ht="14.25" customHeight="1">
      <c r="G577" s="187"/>
    </row>
    <row r="578" ht="14.25" customHeight="1">
      <c r="G578" s="187"/>
    </row>
    <row r="579" ht="14.25" customHeight="1">
      <c r="G579" s="187"/>
    </row>
    <row r="580" ht="14.25" customHeight="1">
      <c r="G580" s="187"/>
    </row>
    <row r="581" ht="14.25" customHeight="1">
      <c r="G581" s="187"/>
    </row>
    <row r="582" ht="14.25" customHeight="1">
      <c r="G582" s="187"/>
    </row>
    <row r="583" ht="14.25" customHeight="1">
      <c r="G583" s="187"/>
    </row>
    <row r="584" ht="14.25" customHeight="1">
      <c r="G584" s="187"/>
    </row>
    <row r="585" ht="14.25" customHeight="1">
      <c r="G585" s="187"/>
    </row>
    <row r="586" ht="14.25" customHeight="1">
      <c r="G586" s="187"/>
    </row>
    <row r="587" ht="14.25" customHeight="1">
      <c r="G587" s="187"/>
    </row>
    <row r="588" ht="14.25" customHeight="1">
      <c r="G588" s="187"/>
    </row>
    <row r="589" ht="14.25" customHeight="1">
      <c r="G589" s="187"/>
    </row>
    <row r="590" ht="14.25" customHeight="1">
      <c r="G590" s="187"/>
    </row>
    <row r="591" ht="14.25" customHeight="1">
      <c r="G591" s="187"/>
    </row>
    <row r="592" ht="14.25" customHeight="1">
      <c r="G592" s="187"/>
    </row>
    <row r="593" ht="14.25" customHeight="1">
      <c r="G593" s="187"/>
    </row>
    <row r="594" ht="14.25" customHeight="1">
      <c r="G594" s="187"/>
    </row>
    <row r="595" ht="14.25" customHeight="1">
      <c r="G595" s="187"/>
    </row>
    <row r="596" ht="14.25" customHeight="1">
      <c r="G596" s="187"/>
    </row>
    <row r="597" ht="14.25" customHeight="1">
      <c r="G597" s="187"/>
    </row>
    <row r="598" ht="14.25" customHeight="1">
      <c r="G598" s="187"/>
    </row>
    <row r="599" ht="14.25" customHeight="1">
      <c r="G599" s="187"/>
    </row>
    <row r="600" ht="14.25" customHeight="1">
      <c r="G600" s="187"/>
    </row>
    <row r="601" ht="14.25" customHeight="1">
      <c r="G601" s="187"/>
    </row>
    <row r="602" ht="14.25" customHeight="1">
      <c r="G602" s="187"/>
    </row>
    <row r="603" ht="14.25" customHeight="1">
      <c r="G603" s="187"/>
    </row>
    <row r="604" ht="14.25" customHeight="1">
      <c r="G604" s="187"/>
    </row>
    <row r="605" ht="14.25" customHeight="1">
      <c r="G605" s="187"/>
    </row>
    <row r="606" ht="14.25" customHeight="1">
      <c r="G606" s="187"/>
    </row>
    <row r="607" ht="14.25" customHeight="1">
      <c r="G607" s="187"/>
    </row>
    <row r="608" ht="14.25" customHeight="1">
      <c r="G608" s="187"/>
    </row>
    <row r="609" ht="14.25" customHeight="1">
      <c r="G609" s="187"/>
    </row>
    <row r="610" ht="14.25" customHeight="1">
      <c r="G610" s="187"/>
    </row>
    <row r="611" ht="14.25" customHeight="1">
      <c r="G611" s="187"/>
    </row>
    <row r="612" ht="14.25" customHeight="1">
      <c r="G612" s="187"/>
    </row>
    <row r="613" ht="14.25" customHeight="1">
      <c r="G613" s="187"/>
    </row>
    <row r="614" ht="14.25" customHeight="1">
      <c r="G614" s="187"/>
    </row>
    <row r="615" ht="14.25" customHeight="1">
      <c r="G615" s="187"/>
    </row>
    <row r="616" ht="14.25" customHeight="1">
      <c r="G616" s="187"/>
    </row>
    <row r="617" ht="14.25" customHeight="1">
      <c r="G617" s="187"/>
    </row>
    <row r="618" ht="14.25" customHeight="1">
      <c r="G618" s="187"/>
    </row>
    <row r="619" ht="14.25" customHeight="1">
      <c r="G619" s="187"/>
    </row>
    <row r="620" ht="14.25" customHeight="1">
      <c r="G620" s="187"/>
    </row>
    <row r="621" ht="14.25" customHeight="1">
      <c r="G621" s="187"/>
    </row>
    <row r="622" ht="14.25" customHeight="1">
      <c r="G622" s="187"/>
    </row>
    <row r="623" ht="14.25" customHeight="1">
      <c r="G623" s="187"/>
    </row>
    <row r="624" ht="14.25" customHeight="1">
      <c r="G624" s="187"/>
    </row>
    <row r="625" ht="14.25" customHeight="1">
      <c r="G625" s="187"/>
    </row>
    <row r="626" ht="14.25" customHeight="1">
      <c r="G626" s="187"/>
    </row>
    <row r="627" ht="14.25" customHeight="1">
      <c r="G627" s="187"/>
    </row>
    <row r="628" ht="14.25" customHeight="1">
      <c r="G628" s="187"/>
    </row>
    <row r="629" ht="14.25" customHeight="1">
      <c r="G629" s="187"/>
    </row>
    <row r="630" ht="14.25" customHeight="1">
      <c r="G630" s="187"/>
    </row>
    <row r="631" ht="14.25" customHeight="1">
      <c r="G631" s="187"/>
    </row>
    <row r="632" ht="14.25" customHeight="1">
      <c r="G632" s="187"/>
    </row>
    <row r="633" ht="14.25" customHeight="1">
      <c r="G633" s="187"/>
    </row>
    <row r="634" ht="14.25" customHeight="1">
      <c r="G634" s="187"/>
    </row>
    <row r="635" ht="14.25" customHeight="1">
      <c r="G635" s="187"/>
    </row>
    <row r="636" ht="14.25" customHeight="1">
      <c r="G636" s="187"/>
    </row>
    <row r="637" ht="14.25" customHeight="1">
      <c r="G637" s="187"/>
    </row>
    <row r="638" ht="14.25" customHeight="1">
      <c r="G638" s="187"/>
    </row>
    <row r="639" ht="14.25" customHeight="1">
      <c r="G639" s="187"/>
    </row>
    <row r="640" ht="14.25" customHeight="1">
      <c r="G640" s="187"/>
    </row>
    <row r="641" ht="14.25" customHeight="1">
      <c r="G641" s="187"/>
    </row>
    <row r="642" ht="14.25" customHeight="1">
      <c r="G642" s="187"/>
    </row>
    <row r="643" ht="14.25" customHeight="1">
      <c r="G643" s="187"/>
    </row>
    <row r="644" ht="14.25" customHeight="1">
      <c r="G644" s="187"/>
    </row>
    <row r="645" ht="14.25" customHeight="1">
      <c r="G645" s="187"/>
    </row>
    <row r="646" ht="14.25" customHeight="1">
      <c r="G646" s="187"/>
    </row>
    <row r="647" ht="14.25" customHeight="1">
      <c r="G647" s="187"/>
    </row>
    <row r="648" ht="14.25" customHeight="1">
      <c r="G648" s="187"/>
    </row>
    <row r="649" ht="14.25" customHeight="1">
      <c r="G649" s="187"/>
    </row>
    <row r="650" ht="14.25" customHeight="1">
      <c r="G650" s="187"/>
    </row>
    <row r="651" ht="14.25" customHeight="1">
      <c r="G651" s="187"/>
    </row>
    <row r="652" ht="14.25" customHeight="1">
      <c r="G652" s="187"/>
    </row>
    <row r="653" ht="14.25" customHeight="1">
      <c r="G653" s="187"/>
    </row>
    <row r="654" ht="14.25" customHeight="1">
      <c r="G654" s="187"/>
    </row>
    <row r="655" ht="14.25" customHeight="1">
      <c r="G655" s="187"/>
    </row>
    <row r="656" ht="14.25" customHeight="1">
      <c r="G656" s="187"/>
    </row>
    <row r="657" ht="14.25" customHeight="1">
      <c r="G657" s="187"/>
    </row>
    <row r="658" ht="14.25" customHeight="1">
      <c r="G658" s="187"/>
    </row>
    <row r="659" ht="14.25" customHeight="1">
      <c r="G659" s="187"/>
    </row>
    <row r="660" ht="14.25" customHeight="1">
      <c r="G660" s="187"/>
    </row>
    <row r="661" ht="14.25" customHeight="1">
      <c r="G661" s="187"/>
    </row>
    <row r="662" ht="14.25" customHeight="1">
      <c r="G662" s="187"/>
    </row>
    <row r="663" ht="14.25" customHeight="1">
      <c r="G663" s="187"/>
    </row>
    <row r="664" ht="14.25" customHeight="1">
      <c r="G664" s="187"/>
    </row>
    <row r="665" ht="14.25" customHeight="1">
      <c r="G665" s="187"/>
    </row>
    <row r="666" ht="14.25" customHeight="1">
      <c r="G666" s="187"/>
    </row>
    <row r="667" ht="14.25" customHeight="1">
      <c r="G667" s="187"/>
    </row>
    <row r="668" ht="14.25" customHeight="1">
      <c r="G668" s="187"/>
    </row>
    <row r="669" ht="14.25" customHeight="1">
      <c r="G669" s="187"/>
    </row>
    <row r="670" ht="14.25" customHeight="1">
      <c r="G670" s="187"/>
    </row>
    <row r="671" ht="14.25" customHeight="1">
      <c r="G671" s="187"/>
    </row>
    <row r="672" ht="14.25" customHeight="1">
      <c r="G672" s="187"/>
    </row>
    <row r="673" ht="14.25" customHeight="1">
      <c r="G673" s="187"/>
    </row>
    <row r="674" ht="14.25" customHeight="1">
      <c r="G674" s="187"/>
    </row>
    <row r="675" ht="14.25" customHeight="1">
      <c r="G675" s="187"/>
    </row>
    <row r="676" ht="14.25" customHeight="1">
      <c r="G676" s="187"/>
    </row>
    <row r="677" ht="14.25" customHeight="1">
      <c r="G677" s="187"/>
    </row>
    <row r="678" ht="14.25" customHeight="1">
      <c r="G678" s="187"/>
    </row>
    <row r="679" ht="14.25" customHeight="1">
      <c r="G679" s="187"/>
    </row>
    <row r="680" ht="14.25" customHeight="1">
      <c r="G680" s="187"/>
    </row>
    <row r="681" ht="14.25" customHeight="1">
      <c r="G681" s="187"/>
    </row>
    <row r="682" ht="14.25" customHeight="1">
      <c r="G682" s="187"/>
    </row>
    <row r="683" ht="14.25" customHeight="1">
      <c r="G683" s="187"/>
    </row>
    <row r="684" ht="14.25" customHeight="1">
      <c r="G684" s="187"/>
    </row>
    <row r="685" ht="14.25" customHeight="1">
      <c r="G685" s="187"/>
    </row>
    <row r="686" ht="14.25" customHeight="1">
      <c r="G686" s="187"/>
    </row>
    <row r="687" ht="14.25" customHeight="1">
      <c r="G687" s="187"/>
    </row>
    <row r="688" ht="14.25" customHeight="1">
      <c r="G688" s="187"/>
    </row>
    <row r="689" ht="14.25" customHeight="1">
      <c r="G689" s="187"/>
    </row>
    <row r="690" ht="14.25" customHeight="1">
      <c r="G690" s="187"/>
    </row>
    <row r="691" ht="14.25" customHeight="1">
      <c r="G691" s="187"/>
    </row>
    <row r="692" ht="14.25" customHeight="1">
      <c r="G692" s="187"/>
    </row>
    <row r="693" ht="14.25" customHeight="1">
      <c r="G693" s="187"/>
    </row>
    <row r="694" ht="14.25" customHeight="1">
      <c r="G694" s="187"/>
    </row>
    <row r="695" ht="14.25" customHeight="1">
      <c r="G695" s="187"/>
    </row>
    <row r="696" ht="14.25" customHeight="1">
      <c r="G696" s="187"/>
    </row>
    <row r="697" ht="14.25" customHeight="1">
      <c r="G697" s="187"/>
    </row>
    <row r="698" ht="14.25" customHeight="1">
      <c r="G698" s="187"/>
    </row>
    <row r="699" ht="14.25" customHeight="1">
      <c r="G699" s="187"/>
    </row>
    <row r="700" ht="14.25" customHeight="1">
      <c r="G700" s="187"/>
    </row>
    <row r="701" ht="14.25" customHeight="1">
      <c r="G701" s="187"/>
    </row>
    <row r="702" ht="14.25" customHeight="1">
      <c r="G702" s="187"/>
    </row>
    <row r="703" ht="14.25" customHeight="1">
      <c r="G703" s="187"/>
    </row>
    <row r="704" ht="14.25" customHeight="1">
      <c r="G704" s="187"/>
    </row>
    <row r="705" ht="14.25" customHeight="1">
      <c r="G705" s="187"/>
    </row>
    <row r="706" ht="14.25" customHeight="1">
      <c r="G706" s="187"/>
    </row>
    <row r="707" ht="14.25" customHeight="1">
      <c r="G707" s="187"/>
    </row>
    <row r="708" ht="14.25" customHeight="1">
      <c r="G708" s="187"/>
    </row>
    <row r="709" ht="14.25" customHeight="1">
      <c r="G709" s="187"/>
    </row>
    <row r="710" ht="14.25" customHeight="1">
      <c r="G710" s="187"/>
    </row>
    <row r="711" ht="14.25" customHeight="1">
      <c r="G711" s="187"/>
    </row>
    <row r="712" ht="14.25" customHeight="1">
      <c r="G712" s="187"/>
    </row>
    <row r="713" ht="14.25" customHeight="1">
      <c r="G713" s="187"/>
    </row>
    <row r="714" ht="14.25" customHeight="1">
      <c r="G714" s="187"/>
    </row>
    <row r="715" ht="14.25" customHeight="1">
      <c r="G715" s="187"/>
    </row>
    <row r="716" ht="14.25" customHeight="1">
      <c r="G716" s="187"/>
    </row>
    <row r="717" ht="14.25" customHeight="1">
      <c r="G717" s="187"/>
    </row>
    <row r="718" ht="14.25" customHeight="1">
      <c r="G718" s="187"/>
    </row>
    <row r="719" ht="14.25" customHeight="1">
      <c r="G719" s="187"/>
    </row>
    <row r="720" ht="14.25" customHeight="1">
      <c r="G720" s="187"/>
    </row>
    <row r="721" ht="14.25" customHeight="1">
      <c r="G721" s="187"/>
    </row>
    <row r="722" ht="14.25" customHeight="1">
      <c r="G722" s="187"/>
    </row>
    <row r="723" ht="14.25" customHeight="1">
      <c r="G723" s="187"/>
    </row>
    <row r="724" ht="14.25" customHeight="1">
      <c r="G724" s="187"/>
    </row>
    <row r="725" ht="14.25" customHeight="1">
      <c r="G725" s="187"/>
    </row>
    <row r="726" ht="14.25" customHeight="1">
      <c r="G726" s="187"/>
    </row>
    <row r="727" ht="14.25" customHeight="1">
      <c r="G727" s="187"/>
    </row>
    <row r="728" ht="14.25" customHeight="1">
      <c r="G728" s="187"/>
    </row>
    <row r="729" ht="14.25" customHeight="1">
      <c r="G729" s="187"/>
    </row>
    <row r="730" ht="14.25" customHeight="1">
      <c r="G730" s="187"/>
    </row>
    <row r="731" ht="14.25" customHeight="1">
      <c r="G731" s="187"/>
    </row>
    <row r="732" ht="14.25" customHeight="1">
      <c r="G732" s="187"/>
    </row>
    <row r="733" ht="14.25" customHeight="1">
      <c r="G733" s="187"/>
    </row>
    <row r="734" ht="14.25" customHeight="1">
      <c r="G734" s="187"/>
    </row>
    <row r="735" ht="14.25" customHeight="1">
      <c r="G735" s="187"/>
    </row>
    <row r="736" ht="14.25" customHeight="1">
      <c r="G736" s="187"/>
    </row>
    <row r="737" ht="14.25" customHeight="1">
      <c r="G737" s="187"/>
    </row>
    <row r="738" ht="14.25" customHeight="1">
      <c r="G738" s="187"/>
    </row>
    <row r="739" ht="14.25" customHeight="1">
      <c r="G739" s="187"/>
    </row>
    <row r="740" ht="14.25" customHeight="1">
      <c r="G740" s="187"/>
    </row>
    <row r="741" ht="14.25" customHeight="1">
      <c r="G741" s="187"/>
    </row>
    <row r="742" ht="14.25" customHeight="1">
      <c r="G742" s="187"/>
    </row>
    <row r="743" ht="14.25" customHeight="1">
      <c r="G743" s="187"/>
    </row>
    <row r="744" ht="14.25" customHeight="1">
      <c r="G744" s="187"/>
    </row>
    <row r="745" ht="14.25" customHeight="1">
      <c r="G745" s="187"/>
    </row>
    <row r="746" ht="14.25" customHeight="1">
      <c r="G746" s="187"/>
    </row>
    <row r="747" ht="14.25" customHeight="1">
      <c r="G747" s="187"/>
    </row>
    <row r="748" ht="14.25" customHeight="1">
      <c r="G748" s="187"/>
    </row>
    <row r="749" ht="14.25" customHeight="1">
      <c r="G749" s="187"/>
    </row>
    <row r="750" ht="14.25" customHeight="1">
      <c r="G750" s="187"/>
    </row>
    <row r="751" ht="14.25" customHeight="1">
      <c r="G751" s="187"/>
    </row>
    <row r="752" ht="14.25" customHeight="1">
      <c r="G752" s="187"/>
    </row>
    <row r="753" ht="14.25" customHeight="1">
      <c r="G753" s="187"/>
    </row>
    <row r="754" ht="14.25" customHeight="1">
      <c r="G754" s="187"/>
    </row>
    <row r="755" ht="14.25" customHeight="1">
      <c r="G755" s="187"/>
    </row>
    <row r="756" ht="14.25" customHeight="1">
      <c r="G756" s="187"/>
    </row>
    <row r="757" ht="14.25" customHeight="1">
      <c r="G757" s="187"/>
    </row>
    <row r="758" ht="14.25" customHeight="1">
      <c r="G758" s="187"/>
    </row>
    <row r="759" ht="14.25" customHeight="1">
      <c r="G759" s="187"/>
    </row>
    <row r="760" ht="14.25" customHeight="1">
      <c r="G760" s="187"/>
    </row>
    <row r="761" ht="14.25" customHeight="1">
      <c r="G761" s="187"/>
    </row>
    <row r="762" ht="14.25" customHeight="1">
      <c r="G762" s="187"/>
    </row>
    <row r="763" ht="14.25" customHeight="1">
      <c r="G763" s="187"/>
    </row>
    <row r="764" ht="14.25" customHeight="1">
      <c r="G764" s="187"/>
    </row>
    <row r="765" ht="14.25" customHeight="1">
      <c r="G765" s="187"/>
    </row>
    <row r="766" ht="14.25" customHeight="1">
      <c r="G766" s="187"/>
    </row>
    <row r="767" ht="14.25" customHeight="1">
      <c r="G767" s="187"/>
    </row>
    <row r="768" ht="14.25" customHeight="1">
      <c r="G768" s="187"/>
    </row>
    <row r="769" ht="14.25" customHeight="1">
      <c r="G769" s="187"/>
    </row>
    <row r="770" ht="14.25" customHeight="1">
      <c r="G770" s="187"/>
    </row>
    <row r="771" ht="14.25" customHeight="1">
      <c r="G771" s="187"/>
    </row>
    <row r="772" ht="14.25" customHeight="1">
      <c r="G772" s="187"/>
    </row>
    <row r="773" ht="14.25" customHeight="1">
      <c r="G773" s="187"/>
    </row>
    <row r="774" ht="14.25" customHeight="1">
      <c r="G774" s="187"/>
    </row>
    <row r="775" ht="14.25" customHeight="1">
      <c r="G775" s="187"/>
    </row>
    <row r="776" ht="14.25" customHeight="1">
      <c r="G776" s="187"/>
    </row>
    <row r="777" ht="14.25" customHeight="1">
      <c r="G777" s="187"/>
    </row>
    <row r="778" ht="14.25" customHeight="1">
      <c r="G778" s="187"/>
    </row>
    <row r="779" ht="14.25" customHeight="1">
      <c r="G779" s="187"/>
    </row>
    <row r="780" ht="14.25" customHeight="1">
      <c r="G780" s="187"/>
    </row>
    <row r="781" ht="14.25" customHeight="1">
      <c r="G781" s="187"/>
    </row>
    <row r="782" ht="14.25" customHeight="1">
      <c r="G782" s="187"/>
    </row>
    <row r="783" ht="14.25" customHeight="1">
      <c r="G783" s="187"/>
    </row>
    <row r="784" ht="14.25" customHeight="1">
      <c r="G784" s="187"/>
    </row>
    <row r="785" ht="14.25" customHeight="1">
      <c r="G785" s="187"/>
    </row>
    <row r="786" ht="14.25" customHeight="1">
      <c r="G786" s="187"/>
    </row>
    <row r="787" ht="14.25" customHeight="1">
      <c r="G787" s="187"/>
    </row>
    <row r="788" ht="14.25" customHeight="1">
      <c r="G788" s="187"/>
    </row>
    <row r="789" ht="14.25" customHeight="1">
      <c r="G789" s="187"/>
    </row>
    <row r="790" ht="14.25" customHeight="1">
      <c r="G790" s="187"/>
    </row>
    <row r="791" ht="14.25" customHeight="1">
      <c r="G791" s="187"/>
    </row>
    <row r="792" ht="14.25" customHeight="1">
      <c r="G792" s="187"/>
    </row>
    <row r="793" ht="14.25" customHeight="1">
      <c r="G793" s="187"/>
    </row>
    <row r="794" ht="14.25" customHeight="1">
      <c r="G794" s="187"/>
    </row>
    <row r="795" ht="14.25" customHeight="1">
      <c r="G795" s="187"/>
    </row>
    <row r="796" ht="14.25" customHeight="1">
      <c r="G796" s="187"/>
    </row>
    <row r="797" ht="14.25" customHeight="1">
      <c r="G797" s="187"/>
    </row>
    <row r="798" ht="14.25" customHeight="1">
      <c r="G798" s="187"/>
    </row>
    <row r="799" ht="14.25" customHeight="1">
      <c r="G799" s="187"/>
    </row>
    <row r="800" ht="14.25" customHeight="1">
      <c r="G800" s="187"/>
    </row>
    <row r="801" ht="14.25" customHeight="1">
      <c r="G801" s="187"/>
    </row>
    <row r="802" ht="14.25" customHeight="1">
      <c r="G802" s="187"/>
    </row>
    <row r="803" ht="14.25" customHeight="1">
      <c r="G803" s="187"/>
    </row>
    <row r="804" ht="14.25" customHeight="1">
      <c r="G804" s="187"/>
    </row>
    <row r="805" ht="14.25" customHeight="1">
      <c r="G805" s="187"/>
    </row>
    <row r="806" ht="14.25" customHeight="1">
      <c r="G806" s="187"/>
    </row>
    <row r="807" ht="14.25" customHeight="1">
      <c r="G807" s="187"/>
    </row>
    <row r="808" ht="14.25" customHeight="1">
      <c r="G808" s="187"/>
    </row>
    <row r="809" ht="14.25" customHeight="1">
      <c r="G809" s="187"/>
    </row>
    <row r="810" ht="14.25" customHeight="1">
      <c r="G810" s="187"/>
    </row>
    <row r="811" ht="14.25" customHeight="1">
      <c r="G811" s="187"/>
    </row>
    <row r="812" ht="14.25" customHeight="1">
      <c r="G812" s="187"/>
    </row>
    <row r="813" ht="14.25" customHeight="1">
      <c r="G813" s="187"/>
    </row>
    <row r="814" ht="14.25" customHeight="1">
      <c r="G814" s="187"/>
    </row>
    <row r="815" ht="14.25" customHeight="1">
      <c r="G815" s="187"/>
    </row>
    <row r="816" ht="14.25" customHeight="1">
      <c r="G816" s="187"/>
    </row>
    <row r="817" ht="14.25" customHeight="1">
      <c r="G817" s="187"/>
    </row>
    <row r="818" ht="14.25" customHeight="1">
      <c r="G818" s="187"/>
    </row>
    <row r="819" ht="14.25" customHeight="1">
      <c r="G819" s="187"/>
    </row>
    <row r="820" ht="14.25" customHeight="1">
      <c r="G820" s="187"/>
    </row>
    <row r="821" ht="14.25" customHeight="1">
      <c r="G821" s="187"/>
    </row>
    <row r="822" ht="14.25" customHeight="1">
      <c r="G822" s="187"/>
    </row>
    <row r="823" ht="14.25" customHeight="1">
      <c r="G823" s="187"/>
    </row>
    <row r="824" ht="14.25" customHeight="1">
      <c r="G824" s="187"/>
    </row>
    <row r="825" ht="14.25" customHeight="1">
      <c r="G825" s="187"/>
    </row>
    <row r="826" ht="14.25" customHeight="1">
      <c r="G826" s="187"/>
    </row>
    <row r="827" ht="14.25" customHeight="1">
      <c r="G827" s="187"/>
    </row>
    <row r="828" ht="14.25" customHeight="1">
      <c r="G828" s="187"/>
    </row>
    <row r="829" ht="14.25" customHeight="1">
      <c r="G829" s="187"/>
    </row>
    <row r="830" ht="14.25" customHeight="1">
      <c r="G830" s="187"/>
    </row>
    <row r="831" ht="14.25" customHeight="1">
      <c r="G831" s="187"/>
    </row>
    <row r="832" ht="14.25" customHeight="1">
      <c r="G832" s="187"/>
    </row>
    <row r="833" ht="14.25" customHeight="1">
      <c r="G833" s="187"/>
    </row>
    <row r="834" ht="14.25" customHeight="1">
      <c r="G834" s="187"/>
    </row>
    <row r="835" ht="14.25" customHeight="1">
      <c r="G835" s="187"/>
    </row>
    <row r="836" ht="14.25" customHeight="1">
      <c r="G836" s="187"/>
    </row>
    <row r="837" ht="14.25" customHeight="1">
      <c r="G837" s="187"/>
    </row>
    <row r="838" ht="14.25" customHeight="1">
      <c r="G838" s="187"/>
    </row>
    <row r="839" ht="14.25" customHeight="1">
      <c r="G839" s="187"/>
    </row>
    <row r="840" ht="14.25" customHeight="1">
      <c r="G840" s="187"/>
    </row>
    <row r="841" ht="14.25" customHeight="1">
      <c r="G841" s="187"/>
    </row>
    <row r="842" ht="14.25" customHeight="1">
      <c r="G842" s="187"/>
    </row>
    <row r="843" ht="14.25" customHeight="1">
      <c r="G843" s="187"/>
    </row>
    <row r="844" ht="14.25" customHeight="1">
      <c r="G844" s="187"/>
    </row>
    <row r="845" ht="14.25" customHeight="1">
      <c r="G845" s="187"/>
    </row>
    <row r="846" ht="14.25" customHeight="1">
      <c r="G846" s="187"/>
    </row>
    <row r="847" ht="14.25" customHeight="1">
      <c r="G847" s="187"/>
    </row>
    <row r="848" ht="14.25" customHeight="1">
      <c r="G848" s="187"/>
    </row>
    <row r="849" ht="14.25" customHeight="1">
      <c r="G849" s="187"/>
    </row>
    <row r="850" ht="14.25" customHeight="1">
      <c r="G850" s="187"/>
    </row>
    <row r="851" ht="14.25" customHeight="1">
      <c r="G851" s="187"/>
    </row>
    <row r="852" ht="14.25" customHeight="1">
      <c r="G852" s="187"/>
    </row>
    <row r="853" ht="14.25" customHeight="1">
      <c r="G853" s="187"/>
    </row>
    <row r="854" ht="14.25" customHeight="1">
      <c r="G854" s="187"/>
    </row>
    <row r="855" ht="14.25" customHeight="1">
      <c r="G855" s="187"/>
    </row>
    <row r="856" ht="14.25" customHeight="1">
      <c r="G856" s="187"/>
    </row>
    <row r="857" ht="14.25" customHeight="1">
      <c r="G857" s="187"/>
    </row>
    <row r="858" ht="14.25" customHeight="1">
      <c r="G858" s="187"/>
    </row>
    <row r="859" ht="14.25" customHeight="1">
      <c r="G859" s="187"/>
    </row>
    <row r="860" ht="14.25" customHeight="1">
      <c r="G860" s="187"/>
    </row>
    <row r="861" ht="14.25" customHeight="1">
      <c r="G861" s="187"/>
    </row>
    <row r="862" ht="14.25" customHeight="1">
      <c r="G862" s="187"/>
    </row>
    <row r="863" ht="14.25" customHeight="1">
      <c r="G863" s="187"/>
    </row>
    <row r="864" ht="14.25" customHeight="1">
      <c r="G864" s="187"/>
    </row>
    <row r="865" ht="14.25" customHeight="1">
      <c r="G865" s="187"/>
    </row>
    <row r="866" ht="14.25" customHeight="1">
      <c r="G866" s="187"/>
    </row>
    <row r="867" ht="14.25" customHeight="1">
      <c r="G867" s="187"/>
    </row>
    <row r="868" ht="14.25" customHeight="1">
      <c r="G868" s="187"/>
    </row>
    <row r="869" ht="14.25" customHeight="1">
      <c r="G869" s="187"/>
    </row>
    <row r="870" ht="14.25" customHeight="1">
      <c r="G870" s="187"/>
    </row>
    <row r="871" ht="14.25" customHeight="1">
      <c r="G871" s="187"/>
    </row>
    <row r="872" ht="14.25" customHeight="1">
      <c r="G872" s="187"/>
    </row>
    <row r="873" ht="14.25" customHeight="1">
      <c r="G873" s="187"/>
    </row>
    <row r="874" ht="14.25" customHeight="1">
      <c r="G874" s="187"/>
    </row>
    <row r="875" ht="14.25" customHeight="1">
      <c r="G875" s="187"/>
    </row>
    <row r="876" ht="14.25" customHeight="1">
      <c r="G876" s="187"/>
    </row>
    <row r="877" ht="14.25" customHeight="1">
      <c r="G877" s="187"/>
    </row>
    <row r="878" ht="14.25" customHeight="1">
      <c r="G878" s="187"/>
    </row>
    <row r="879" ht="14.25" customHeight="1">
      <c r="G879" s="187"/>
    </row>
    <row r="880" ht="14.25" customHeight="1">
      <c r="G880" s="187"/>
    </row>
    <row r="881" ht="14.25" customHeight="1">
      <c r="G881" s="187"/>
    </row>
    <row r="882" ht="14.25" customHeight="1">
      <c r="G882" s="187"/>
    </row>
    <row r="883" ht="14.25" customHeight="1">
      <c r="G883" s="187"/>
    </row>
    <row r="884" ht="14.25" customHeight="1">
      <c r="G884" s="187"/>
    </row>
    <row r="885" ht="14.25" customHeight="1">
      <c r="G885" s="187"/>
    </row>
    <row r="886" ht="14.25" customHeight="1">
      <c r="G886" s="187"/>
    </row>
    <row r="887" ht="14.25" customHeight="1">
      <c r="G887" s="187"/>
    </row>
    <row r="888" ht="14.25" customHeight="1">
      <c r="G888" s="187"/>
    </row>
    <row r="889" ht="14.25" customHeight="1">
      <c r="G889" s="187"/>
    </row>
    <row r="890" ht="14.25" customHeight="1">
      <c r="G890" s="187"/>
    </row>
    <row r="891" ht="14.25" customHeight="1">
      <c r="G891" s="187"/>
    </row>
    <row r="892" ht="14.25" customHeight="1">
      <c r="G892" s="187"/>
    </row>
    <row r="893" ht="14.25" customHeight="1">
      <c r="G893" s="187"/>
    </row>
    <row r="894" ht="14.25" customHeight="1">
      <c r="G894" s="187"/>
    </row>
    <row r="895" ht="14.25" customHeight="1">
      <c r="G895" s="187"/>
    </row>
    <row r="896" ht="14.25" customHeight="1">
      <c r="G896" s="187"/>
    </row>
    <row r="897" ht="14.25" customHeight="1">
      <c r="G897" s="187"/>
    </row>
    <row r="898" ht="14.25" customHeight="1">
      <c r="G898" s="187"/>
    </row>
    <row r="899" ht="14.25" customHeight="1">
      <c r="G899" s="187"/>
    </row>
    <row r="900" ht="14.25" customHeight="1">
      <c r="G900" s="187"/>
    </row>
    <row r="901" ht="14.25" customHeight="1">
      <c r="G901" s="187"/>
    </row>
    <row r="902" ht="14.25" customHeight="1">
      <c r="G902" s="187"/>
    </row>
    <row r="903" ht="14.25" customHeight="1">
      <c r="G903" s="187"/>
    </row>
    <row r="904" ht="14.25" customHeight="1">
      <c r="G904" s="187"/>
    </row>
    <row r="905" ht="14.25" customHeight="1">
      <c r="G905" s="187"/>
    </row>
    <row r="906" ht="14.25" customHeight="1">
      <c r="G906" s="187"/>
    </row>
    <row r="907" ht="14.25" customHeight="1">
      <c r="G907" s="187"/>
    </row>
    <row r="908" ht="14.25" customHeight="1">
      <c r="G908" s="187"/>
    </row>
    <row r="909" ht="14.25" customHeight="1">
      <c r="G909" s="187"/>
    </row>
    <row r="910" ht="14.25" customHeight="1">
      <c r="G910" s="187"/>
    </row>
    <row r="911" ht="14.25" customHeight="1">
      <c r="G911" s="187"/>
    </row>
    <row r="912" ht="14.25" customHeight="1">
      <c r="G912" s="187"/>
    </row>
    <row r="913" ht="14.25" customHeight="1">
      <c r="G913" s="187"/>
    </row>
    <row r="914" ht="14.25" customHeight="1">
      <c r="G914" s="187"/>
    </row>
    <row r="915" ht="14.25" customHeight="1">
      <c r="G915" s="187"/>
    </row>
    <row r="916" ht="14.25" customHeight="1">
      <c r="G916" s="187"/>
    </row>
    <row r="917" ht="14.25" customHeight="1">
      <c r="G917" s="187"/>
    </row>
    <row r="918" ht="14.25" customHeight="1">
      <c r="G918" s="187"/>
    </row>
    <row r="919" ht="14.25" customHeight="1">
      <c r="G919" s="187"/>
    </row>
    <row r="920" ht="14.25" customHeight="1">
      <c r="G920" s="187"/>
    </row>
    <row r="921" ht="14.25" customHeight="1">
      <c r="G921" s="187"/>
    </row>
    <row r="922" ht="14.25" customHeight="1">
      <c r="G922" s="187"/>
    </row>
    <row r="923" ht="14.25" customHeight="1">
      <c r="G923" s="187"/>
    </row>
    <row r="924" ht="14.25" customHeight="1">
      <c r="G924" s="187"/>
    </row>
    <row r="925" ht="14.25" customHeight="1">
      <c r="G925" s="187"/>
    </row>
    <row r="926" ht="14.25" customHeight="1">
      <c r="G926" s="187"/>
    </row>
    <row r="927" ht="14.25" customHeight="1">
      <c r="G927" s="187"/>
    </row>
    <row r="928" ht="14.25" customHeight="1">
      <c r="G928" s="187"/>
    </row>
    <row r="929" ht="14.25" customHeight="1">
      <c r="G929" s="187"/>
    </row>
    <row r="930" ht="14.25" customHeight="1">
      <c r="G930" s="187"/>
    </row>
    <row r="931" ht="14.25" customHeight="1">
      <c r="G931" s="187"/>
    </row>
    <row r="932" ht="14.25" customHeight="1">
      <c r="G932" s="187"/>
    </row>
    <row r="933" ht="14.25" customHeight="1">
      <c r="G933" s="187"/>
    </row>
    <row r="934" ht="14.25" customHeight="1">
      <c r="G934" s="187"/>
    </row>
    <row r="935" ht="14.25" customHeight="1">
      <c r="G935" s="187"/>
    </row>
    <row r="936" ht="14.25" customHeight="1">
      <c r="G936" s="187"/>
    </row>
    <row r="937" ht="14.25" customHeight="1">
      <c r="G937" s="187"/>
    </row>
    <row r="938" ht="14.25" customHeight="1">
      <c r="G938" s="187"/>
    </row>
    <row r="939" ht="14.25" customHeight="1">
      <c r="G939" s="187"/>
    </row>
    <row r="940" ht="14.25" customHeight="1">
      <c r="G940" s="187"/>
    </row>
    <row r="941" ht="14.25" customHeight="1">
      <c r="G941" s="187"/>
    </row>
    <row r="942" ht="14.25" customHeight="1">
      <c r="G942" s="187"/>
    </row>
    <row r="943" ht="14.25" customHeight="1">
      <c r="G943" s="187"/>
    </row>
    <row r="944" ht="14.25" customHeight="1">
      <c r="G944" s="187"/>
    </row>
    <row r="945" ht="14.25" customHeight="1">
      <c r="G945" s="187"/>
    </row>
    <row r="946" ht="14.25" customHeight="1">
      <c r="G946" s="187"/>
    </row>
    <row r="947" ht="14.25" customHeight="1">
      <c r="G947" s="187"/>
    </row>
    <row r="948" ht="14.25" customHeight="1">
      <c r="G948" s="187"/>
    </row>
    <row r="949" ht="14.25" customHeight="1">
      <c r="G949" s="187"/>
    </row>
    <row r="950" ht="14.25" customHeight="1">
      <c r="G950" s="187"/>
    </row>
    <row r="951" ht="14.25" customHeight="1">
      <c r="G951" s="187"/>
    </row>
    <row r="952" ht="14.25" customHeight="1">
      <c r="G952" s="187"/>
    </row>
    <row r="953" ht="14.25" customHeight="1">
      <c r="G953" s="187"/>
    </row>
    <row r="954" ht="14.25" customHeight="1">
      <c r="G954" s="187"/>
    </row>
    <row r="955" ht="14.25" customHeight="1">
      <c r="G955" s="187"/>
    </row>
    <row r="956" ht="14.25" customHeight="1">
      <c r="G956" s="187"/>
    </row>
    <row r="957" ht="14.25" customHeight="1">
      <c r="G957" s="187"/>
    </row>
    <row r="958" ht="14.25" customHeight="1">
      <c r="G958" s="187"/>
    </row>
    <row r="959" ht="14.25" customHeight="1">
      <c r="G959" s="187"/>
    </row>
    <row r="960" ht="14.25" customHeight="1">
      <c r="G960" s="187"/>
    </row>
    <row r="961" ht="14.25" customHeight="1">
      <c r="G961" s="187"/>
    </row>
    <row r="962" ht="14.25" customHeight="1">
      <c r="G962" s="187"/>
    </row>
    <row r="963" ht="14.25" customHeight="1">
      <c r="G963" s="187"/>
    </row>
    <row r="964" ht="14.25" customHeight="1">
      <c r="G964" s="187"/>
    </row>
    <row r="965" ht="14.25" customHeight="1">
      <c r="G965" s="187"/>
    </row>
    <row r="966" ht="14.25" customHeight="1">
      <c r="G966" s="187"/>
    </row>
    <row r="967" ht="14.25" customHeight="1">
      <c r="G967" s="187"/>
    </row>
    <row r="968" ht="14.25" customHeight="1">
      <c r="G968" s="187"/>
    </row>
    <row r="969" ht="14.25" customHeight="1">
      <c r="G969" s="187"/>
    </row>
    <row r="970" ht="14.25" customHeight="1">
      <c r="G970" s="187"/>
    </row>
    <row r="971" ht="14.25" customHeight="1">
      <c r="G971" s="187"/>
    </row>
    <row r="972" ht="14.25" customHeight="1">
      <c r="G972" s="187"/>
    </row>
    <row r="973" ht="14.25" customHeight="1">
      <c r="G973" s="187"/>
    </row>
    <row r="974" ht="14.25" customHeight="1">
      <c r="G974" s="187"/>
    </row>
    <row r="975" ht="14.25" customHeight="1">
      <c r="G975" s="187"/>
    </row>
    <row r="976" ht="14.25" customHeight="1">
      <c r="G976" s="187"/>
    </row>
    <row r="977" ht="14.25" customHeight="1">
      <c r="G977" s="187"/>
    </row>
    <row r="978" ht="14.25" customHeight="1">
      <c r="G978" s="187"/>
    </row>
    <row r="979" ht="14.25" customHeight="1">
      <c r="G979" s="187"/>
    </row>
    <row r="980" ht="14.25" customHeight="1">
      <c r="G980" s="187"/>
    </row>
    <row r="981" ht="14.25" customHeight="1">
      <c r="G981" s="187"/>
    </row>
    <row r="982" ht="14.25" customHeight="1">
      <c r="G982" s="187"/>
    </row>
    <row r="983" ht="14.25" customHeight="1">
      <c r="G983" s="187"/>
    </row>
    <row r="984" ht="14.25" customHeight="1">
      <c r="G984" s="187"/>
    </row>
    <row r="985" ht="14.25" customHeight="1">
      <c r="G985" s="187"/>
    </row>
    <row r="986" ht="14.25" customHeight="1">
      <c r="G986" s="187"/>
    </row>
    <row r="987" ht="14.25" customHeight="1">
      <c r="G987" s="187"/>
    </row>
    <row r="988" ht="14.25" customHeight="1">
      <c r="G988" s="187"/>
    </row>
    <row r="989" ht="14.25" customHeight="1">
      <c r="G989" s="187"/>
    </row>
    <row r="990" ht="14.25" customHeight="1">
      <c r="G990" s="187"/>
    </row>
    <row r="991" ht="14.25" customHeight="1">
      <c r="G991" s="187"/>
    </row>
    <row r="992" ht="14.25" customHeight="1">
      <c r="G992" s="187"/>
    </row>
    <row r="993" ht="14.25" customHeight="1">
      <c r="G993" s="187"/>
    </row>
    <row r="994" ht="14.25" customHeight="1">
      <c r="G994" s="187"/>
    </row>
    <row r="995" ht="14.25" customHeight="1">
      <c r="G995" s="187"/>
    </row>
    <row r="996" ht="14.25" customHeight="1">
      <c r="G996" s="187"/>
    </row>
    <row r="997" ht="14.25" customHeight="1">
      <c r="G997" s="187"/>
    </row>
    <row r="998" ht="14.25" customHeight="1">
      <c r="G998" s="187"/>
    </row>
    <row r="999" ht="14.25" customHeight="1">
      <c r="G999" s="187"/>
    </row>
    <row r="1000" ht="14.25" customHeight="1">
      <c r="G1000" s="187"/>
    </row>
    <row r="1001" ht="14.25" customHeight="1">
      <c r="G1001" s="187"/>
    </row>
    <row r="1002" ht="14.25" customHeight="1">
      <c r="G1002" s="187"/>
    </row>
    <row r="1003" ht="14.25" customHeight="1">
      <c r="G1003" s="187"/>
    </row>
    <row r="1004" ht="14.25" customHeight="1">
      <c r="G1004" s="187"/>
    </row>
  </sheetData>
  <mergeCells count="25">
    <mergeCell ref="AM6:AM7"/>
    <mergeCell ref="AN6:AN7"/>
    <mergeCell ref="AO9:AW9"/>
    <mergeCell ref="AO31:AU31"/>
    <mergeCell ref="AO38:AR38"/>
    <mergeCell ref="A5:D5"/>
    <mergeCell ref="B6:B7"/>
    <mergeCell ref="C6:C7"/>
    <mergeCell ref="D6:D7"/>
    <mergeCell ref="E6:E7"/>
    <mergeCell ref="F6:F7"/>
    <mergeCell ref="G6:G7"/>
    <mergeCell ref="B52:G52"/>
    <mergeCell ref="A58:G58"/>
    <mergeCell ref="E62:G62"/>
    <mergeCell ref="L62:S62"/>
    <mergeCell ref="E64:G64"/>
    <mergeCell ref="E66:G66"/>
    <mergeCell ref="G25:G28"/>
    <mergeCell ref="G30:G33"/>
    <mergeCell ref="B40:B41"/>
    <mergeCell ref="C40:C41"/>
    <mergeCell ref="D40:D41"/>
    <mergeCell ref="B50:G50"/>
    <mergeCell ref="B51:G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10.14"/>
    <col customWidth="1" min="4" max="4" width="30.43"/>
    <col customWidth="1" min="5" max="5" width="25.57"/>
    <col customWidth="1" min="6" max="6" width="9.29"/>
    <col customWidth="1" min="7" max="7" width="7.43"/>
    <col customWidth="1" min="8" max="8" width="5.14"/>
    <col customWidth="1" min="9" max="9" width="4.71"/>
    <col customWidth="1" min="10" max="10" width="4.43"/>
    <col customWidth="1" min="11" max="11" width="4.71"/>
    <col customWidth="1" min="12" max="14" width="5.29"/>
    <col customWidth="1" min="15" max="15" width="5.14"/>
    <col customWidth="1" min="16" max="16" width="5.29"/>
    <col customWidth="1" min="17" max="17" width="5.14"/>
    <col customWidth="1" min="18" max="18" width="5.29"/>
    <col customWidth="1" min="19" max="19" width="5.0"/>
    <col customWidth="1" min="20" max="20" width="5.29"/>
    <col customWidth="1" min="21" max="21" width="5.0"/>
    <col customWidth="1" min="22" max="23" width="5.29"/>
    <col customWidth="1" min="24" max="24" width="5.14"/>
    <col customWidth="1" min="25" max="25" width="4.71"/>
    <col customWidth="1" min="26" max="26" width="5.0"/>
    <col customWidth="1" min="27" max="27" width="4.86"/>
    <col customWidth="1" min="28" max="30" width="5.0"/>
    <col customWidth="1" min="31" max="31" width="5.29"/>
    <col customWidth="1" min="32" max="32" width="4.86"/>
    <col customWidth="1" min="33" max="33" width="4.71"/>
    <col customWidth="1" min="34" max="37" width="4.57"/>
    <col customWidth="1" min="38" max="38" width="12.71"/>
    <col customWidth="1" min="39" max="39" width="17.43"/>
    <col customWidth="1" min="40" max="40" width="17.57"/>
    <col customWidth="1" min="41" max="41" width="11.71"/>
    <col customWidth="1" min="42" max="48" width="8.71"/>
  </cols>
  <sheetData>
    <row r="1" ht="14.25" customHeight="1">
      <c r="A1" s="2"/>
      <c r="B1" s="3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2"/>
      <c r="G3" s="4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2"/>
      <c r="G4" s="4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7</v>
      </c>
      <c r="B5" s="9"/>
      <c r="C5" s="9"/>
      <c r="D5" s="9"/>
      <c r="E5" s="2"/>
      <c r="F5" s="2"/>
      <c r="G5" s="4"/>
      <c r="H5" s="5"/>
      <c r="I5" s="5"/>
      <c r="J5" s="5"/>
      <c r="K5" s="5"/>
      <c r="L5" s="5"/>
      <c r="M5" s="5"/>
      <c r="N5" s="5"/>
      <c r="O5" s="5"/>
      <c r="P5" s="5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 t="s">
        <v>12</v>
      </c>
      <c r="G6" s="13" t="s">
        <v>13</v>
      </c>
      <c r="H6" s="15">
        <v>1.0</v>
      </c>
      <c r="I6" s="15">
        <f t="shared" ref="I6:AB6" si="1">H6+1</f>
        <v>2</v>
      </c>
      <c r="J6" s="15">
        <f t="shared" si="1"/>
        <v>3</v>
      </c>
      <c r="K6" s="15">
        <f t="shared" si="1"/>
        <v>4</v>
      </c>
      <c r="L6" s="15">
        <f t="shared" si="1"/>
        <v>5</v>
      </c>
      <c r="M6" s="15">
        <f t="shared" si="1"/>
        <v>6</v>
      </c>
      <c r="N6" s="15">
        <f t="shared" si="1"/>
        <v>7</v>
      </c>
      <c r="O6" s="15">
        <f t="shared" si="1"/>
        <v>8</v>
      </c>
      <c r="P6" s="15">
        <f t="shared" si="1"/>
        <v>9</v>
      </c>
      <c r="Q6" s="15">
        <f t="shared" si="1"/>
        <v>10</v>
      </c>
      <c r="R6" s="15">
        <f t="shared" si="1"/>
        <v>11</v>
      </c>
      <c r="S6" s="15">
        <f t="shared" si="1"/>
        <v>12</v>
      </c>
      <c r="T6" s="15">
        <f t="shared" si="1"/>
        <v>13</v>
      </c>
      <c r="U6" s="15">
        <f t="shared" si="1"/>
        <v>14</v>
      </c>
      <c r="V6" s="15">
        <f t="shared" si="1"/>
        <v>15</v>
      </c>
      <c r="W6" s="15">
        <f t="shared" si="1"/>
        <v>16</v>
      </c>
      <c r="X6" s="15">
        <f t="shared" si="1"/>
        <v>17</v>
      </c>
      <c r="Y6" s="15">
        <f t="shared" si="1"/>
        <v>18</v>
      </c>
      <c r="Z6" s="15">
        <f t="shared" si="1"/>
        <v>19</v>
      </c>
      <c r="AA6" s="15">
        <f t="shared" si="1"/>
        <v>20</v>
      </c>
      <c r="AB6" s="15">
        <f t="shared" si="1"/>
        <v>21</v>
      </c>
      <c r="AC6" s="15">
        <v>22.0</v>
      </c>
      <c r="AD6" s="15">
        <v>23.0</v>
      </c>
      <c r="AE6" s="15">
        <v>24.0</v>
      </c>
      <c r="AF6" s="15">
        <v>25.0</v>
      </c>
      <c r="AG6" s="15">
        <v>26.0</v>
      </c>
      <c r="AH6" s="15">
        <v>27.0</v>
      </c>
      <c r="AI6" s="15">
        <v>28.0</v>
      </c>
      <c r="AJ6" s="15">
        <v>29.0</v>
      </c>
      <c r="AK6" s="15">
        <v>30.0</v>
      </c>
      <c r="AL6" s="13" t="s">
        <v>14</v>
      </c>
      <c r="AM6" s="13" t="s">
        <v>15</v>
      </c>
    </row>
    <row r="7" ht="14.25" customHeight="1">
      <c r="A7" s="16"/>
      <c r="B7" s="17"/>
      <c r="C7" s="17"/>
      <c r="D7" s="17"/>
      <c r="E7" s="17"/>
      <c r="F7" s="17"/>
      <c r="G7" s="17"/>
      <c r="H7" s="18" t="s">
        <v>21</v>
      </c>
      <c r="I7" s="18" t="s">
        <v>22</v>
      </c>
      <c r="J7" s="18" t="s">
        <v>16</v>
      </c>
      <c r="K7" s="18" t="s">
        <v>17</v>
      </c>
      <c r="L7" s="18" t="s">
        <v>18</v>
      </c>
      <c r="M7" s="18" t="s">
        <v>19</v>
      </c>
      <c r="N7" s="18" t="s">
        <v>20</v>
      </c>
      <c r="O7" s="18" t="s">
        <v>21</v>
      </c>
      <c r="P7" s="18" t="s">
        <v>22</v>
      </c>
      <c r="Q7" s="18" t="s">
        <v>16</v>
      </c>
      <c r="R7" s="18" t="s">
        <v>17</v>
      </c>
      <c r="S7" s="18" t="s">
        <v>18</v>
      </c>
      <c r="T7" s="18" t="s">
        <v>19</v>
      </c>
      <c r="U7" s="18" t="s">
        <v>20</v>
      </c>
      <c r="V7" s="18" t="s">
        <v>21</v>
      </c>
      <c r="W7" s="18" t="s">
        <v>22</v>
      </c>
      <c r="X7" s="18" t="s">
        <v>16</v>
      </c>
      <c r="Y7" s="18" t="s">
        <v>17</v>
      </c>
      <c r="Z7" s="18" t="s">
        <v>18</v>
      </c>
      <c r="AA7" s="18" t="s">
        <v>19</v>
      </c>
      <c r="AB7" s="18" t="s">
        <v>20</v>
      </c>
      <c r="AC7" s="18" t="s">
        <v>21</v>
      </c>
      <c r="AD7" s="18" t="s">
        <v>22</v>
      </c>
      <c r="AE7" s="18" t="s">
        <v>16</v>
      </c>
      <c r="AF7" s="18" t="s">
        <v>17</v>
      </c>
      <c r="AG7" s="18" t="s">
        <v>18</v>
      </c>
      <c r="AH7" s="18" t="s">
        <v>19</v>
      </c>
      <c r="AI7" s="18" t="s">
        <v>20</v>
      </c>
      <c r="AJ7" s="18" t="s">
        <v>21</v>
      </c>
      <c r="AK7" s="18" t="s">
        <v>22</v>
      </c>
      <c r="AL7" s="17"/>
      <c r="AM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2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7">
        <v>12.0</v>
      </c>
      <c r="G9" s="28" t="s">
        <v>26</v>
      </c>
      <c r="H9" s="29">
        <v>12.0</v>
      </c>
      <c r="I9" s="29">
        <v>12.0</v>
      </c>
      <c r="J9" s="29">
        <v>12.0</v>
      </c>
      <c r="K9" s="29">
        <v>12.0</v>
      </c>
      <c r="L9" s="30">
        <v>12.0</v>
      </c>
      <c r="M9" s="30">
        <v>12.0</v>
      </c>
      <c r="N9" s="29"/>
      <c r="O9" s="29">
        <v>12.0</v>
      </c>
      <c r="P9" s="29">
        <v>12.0</v>
      </c>
      <c r="Q9" s="29">
        <v>12.0</v>
      </c>
      <c r="R9" s="29">
        <v>12.0</v>
      </c>
      <c r="S9" s="30">
        <v>12.0</v>
      </c>
      <c r="T9" s="30">
        <v>12.0</v>
      </c>
      <c r="U9" s="29"/>
      <c r="V9" s="29">
        <v>12.0</v>
      </c>
      <c r="W9" s="29">
        <v>12.0</v>
      </c>
      <c r="X9" s="29">
        <v>12.0</v>
      </c>
      <c r="Y9" s="29">
        <v>12.0</v>
      </c>
      <c r="Z9" s="30">
        <v>12.0</v>
      </c>
      <c r="AA9" s="30">
        <v>12.0</v>
      </c>
      <c r="AB9" s="29"/>
      <c r="AC9" s="29">
        <v>12.0</v>
      </c>
      <c r="AD9" s="29">
        <v>12.0</v>
      </c>
      <c r="AE9" s="29">
        <v>12.0</v>
      </c>
      <c r="AF9" s="29">
        <v>12.0</v>
      </c>
      <c r="AG9" s="30">
        <v>12.0</v>
      </c>
      <c r="AH9" s="30">
        <v>12.0</v>
      </c>
      <c r="AI9" s="29"/>
      <c r="AJ9" s="29">
        <v>12.0</v>
      </c>
      <c r="AK9" s="29">
        <v>12.0</v>
      </c>
      <c r="AL9" s="31">
        <f t="shared" ref="AL9:AL15" si="2">COUNTA(H9:AK9)</f>
        <v>26</v>
      </c>
      <c r="AM9" s="32">
        <f t="shared" ref="AM9:AM15" si="3">SUM(H9:AK9)</f>
        <v>312</v>
      </c>
      <c r="AN9" s="33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7">
        <v>9.0</v>
      </c>
      <c r="G10" s="28" t="s">
        <v>30</v>
      </c>
      <c r="H10" s="29">
        <v>9.0</v>
      </c>
      <c r="I10" s="29">
        <v>9.0</v>
      </c>
      <c r="J10" s="29">
        <v>9.0</v>
      </c>
      <c r="K10" s="29">
        <v>9.0</v>
      </c>
      <c r="L10" s="30">
        <v>9.0</v>
      </c>
      <c r="M10" s="30"/>
      <c r="N10" s="29"/>
      <c r="O10" s="29">
        <v>9.0</v>
      </c>
      <c r="P10" s="29">
        <v>9.0</v>
      </c>
      <c r="Q10" s="29">
        <v>9.0</v>
      </c>
      <c r="R10" s="29">
        <v>9.0</v>
      </c>
      <c r="S10" s="30">
        <v>9.0</v>
      </c>
      <c r="T10" s="30"/>
      <c r="U10" s="29"/>
      <c r="V10" s="29">
        <v>9.0</v>
      </c>
      <c r="W10" s="29">
        <v>9.0</v>
      </c>
      <c r="X10" s="29">
        <v>9.0</v>
      </c>
      <c r="Y10" s="29">
        <v>9.0</v>
      </c>
      <c r="Z10" s="30">
        <v>9.0</v>
      </c>
      <c r="AA10" s="30"/>
      <c r="AB10" s="29"/>
      <c r="AC10" s="29">
        <v>9.0</v>
      </c>
      <c r="AD10" s="29">
        <v>9.0</v>
      </c>
      <c r="AE10" s="29">
        <v>9.0</v>
      </c>
      <c r="AF10" s="29">
        <v>9.0</v>
      </c>
      <c r="AG10" s="30">
        <v>9.0</v>
      </c>
      <c r="AH10" s="30">
        <v>9.0</v>
      </c>
      <c r="AI10" s="29">
        <v>9.0</v>
      </c>
      <c r="AJ10" s="29">
        <v>9.0</v>
      </c>
      <c r="AK10" s="29">
        <v>9.0</v>
      </c>
      <c r="AL10" s="31">
        <f t="shared" si="2"/>
        <v>24</v>
      </c>
      <c r="AM10" s="32">
        <f t="shared" si="3"/>
        <v>216</v>
      </c>
    </row>
    <row r="11" ht="14.25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6">
        <v>9.0</v>
      </c>
      <c r="G11" s="28" t="s">
        <v>30</v>
      </c>
      <c r="H11" s="29">
        <v>9.0</v>
      </c>
      <c r="I11" s="29">
        <v>9.0</v>
      </c>
      <c r="J11" s="29">
        <v>9.0</v>
      </c>
      <c r="K11" s="29">
        <v>9.0</v>
      </c>
      <c r="L11" s="30">
        <v>9.0</v>
      </c>
      <c r="M11" s="30"/>
      <c r="N11" s="29"/>
      <c r="O11" s="29">
        <v>9.0</v>
      </c>
      <c r="P11" s="29">
        <v>9.0</v>
      </c>
      <c r="Q11" s="29">
        <v>9.0</v>
      </c>
      <c r="R11" s="29">
        <v>9.0</v>
      </c>
      <c r="S11" s="30">
        <v>9.0</v>
      </c>
      <c r="T11" s="30"/>
      <c r="U11" s="29"/>
      <c r="V11" s="29">
        <v>9.0</v>
      </c>
      <c r="W11" s="29">
        <v>9.0</v>
      </c>
      <c r="X11" s="29">
        <v>9.0</v>
      </c>
      <c r="Y11" s="29">
        <v>9.0</v>
      </c>
      <c r="Z11" s="30">
        <v>9.0</v>
      </c>
      <c r="AA11" s="30"/>
      <c r="AB11" s="29"/>
      <c r="AC11" s="29">
        <v>9.0</v>
      </c>
      <c r="AD11" s="29">
        <v>9.0</v>
      </c>
      <c r="AE11" s="29">
        <v>9.0</v>
      </c>
      <c r="AF11" s="29">
        <v>9.0</v>
      </c>
      <c r="AG11" s="30">
        <v>9.0</v>
      </c>
      <c r="AH11" s="30">
        <v>9.0</v>
      </c>
      <c r="AI11" s="29">
        <v>9.0</v>
      </c>
      <c r="AJ11" s="29">
        <v>9.0</v>
      </c>
      <c r="AK11" s="29">
        <v>9.0</v>
      </c>
      <c r="AL11" s="31">
        <f t="shared" si="2"/>
        <v>24</v>
      </c>
      <c r="AM11" s="32">
        <f t="shared" si="3"/>
        <v>216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7">
        <v>9.0</v>
      </c>
      <c r="G12" s="28" t="s">
        <v>30</v>
      </c>
      <c r="H12" s="29">
        <v>9.0</v>
      </c>
      <c r="I12" s="29">
        <v>9.0</v>
      </c>
      <c r="J12" s="29">
        <v>9.0</v>
      </c>
      <c r="K12" s="29">
        <v>9.0</v>
      </c>
      <c r="L12" s="30">
        <v>9.0</v>
      </c>
      <c r="M12" s="30"/>
      <c r="N12" s="29"/>
      <c r="O12" s="29">
        <v>9.0</v>
      </c>
      <c r="P12" s="29">
        <v>9.0</v>
      </c>
      <c r="Q12" s="29">
        <v>9.0</v>
      </c>
      <c r="R12" s="29">
        <v>9.0</v>
      </c>
      <c r="S12" s="30">
        <v>9.0</v>
      </c>
      <c r="T12" s="30"/>
      <c r="U12" s="29"/>
      <c r="V12" s="29">
        <v>9.0</v>
      </c>
      <c r="W12" s="29">
        <v>9.0</v>
      </c>
      <c r="X12" s="29">
        <v>9.0</v>
      </c>
      <c r="Y12" s="29">
        <v>9.0</v>
      </c>
      <c r="Z12" s="30">
        <v>9.0</v>
      </c>
      <c r="AA12" s="30"/>
      <c r="AB12" s="29"/>
      <c r="AC12" s="29">
        <v>9.0</v>
      </c>
      <c r="AD12" s="29">
        <v>9.0</v>
      </c>
      <c r="AE12" s="29">
        <v>9.0</v>
      </c>
      <c r="AF12" s="29">
        <v>9.0</v>
      </c>
      <c r="AG12" s="30">
        <v>9.0</v>
      </c>
      <c r="AH12" s="30">
        <v>9.0</v>
      </c>
      <c r="AI12" s="29">
        <v>9.0</v>
      </c>
      <c r="AJ12" s="29">
        <v>9.0</v>
      </c>
      <c r="AK12" s="29">
        <v>9.0</v>
      </c>
      <c r="AL12" s="31">
        <f t="shared" si="2"/>
        <v>24</v>
      </c>
      <c r="AM12" s="32">
        <f t="shared" si="3"/>
        <v>216</v>
      </c>
    </row>
    <row r="13" ht="14.25" customHeight="1">
      <c r="A13" s="24">
        <v>5.0</v>
      </c>
      <c r="B13" s="35" t="s">
        <v>36</v>
      </c>
      <c r="C13" s="27">
        <v>1.0</v>
      </c>
      <c r="D13" s="36" t="s">
        <v>37</v>
      </c>
      <c r="E13" s="27" t="s">
        <v>33</v>
      </c>
      <c r="F13" s="27">
        <v>9.0</v>
      </c>
      <c r="G13" s="28" t="s">
        <v>30</v>
      </c>
      <c r="H13" s="29">
        <v>9.0</v>
      </c>
      <c r="I13" s="29">
        <v>9.0</v>
      </c>
      <c r="J13" s="29">
        <v>9.0</v>
      </c>
      <c r="K13" s="29">
        <v>9.0</v>
      </c>
      <c r="L13" s="30">
        <v>9.0</v>
      </c>
      <c r="M13" s="30"/>
      <c r="N13" s="29"/>
      <c r="O13" s="29">
        <v>9.0</v>
      </c>
      <c r="P13" s="29">
        <v>9.0</v>
      </c>
      <c r="Q13" s="29">
        <v>9.0</v>
      </c>
      <c r="R13" s="29">
        <v>9.0</v>
      </c>
      <c r="S13" s="30">
        <v>9.0</v>
      </c>
      <c r="T13" s="30"/>
      <c r="U13" s="29"/>
      <c r="V13" s="29">
        <v>9.0</v>
      </c>
      <c r="W13" s="29">
        <v>9.0</v>
      </c>
      <c r="X13" s="29">
        <v>9.0</v>
      </c>
      <c r="Y13" s="29">
        <v>9.0</v>
      </c>
      <c r="Z13" s="30">
        <v>9.0</v>
      </c>
      <c r="AA13" s="30"/>
      <c r="AB13" s="29"/>
      <c r="AC13" s="29">
        <v>9.0</v>
      </c>
      <c r="AD13" s="29">
        <v>9.0</v>
      </c>
      <c r="AE13" s="29">
        <v>9.0</v>
      </c>
      <c r="AF13" s="29">
        <v>9.0</v>
      </c>
      <c r="AG13" s="30">
        <v>9.0</v>
      </c>
      <c r="AH13" s="30">
        <v>9.0</v>
      </c>
      <c r="AI13" s="29">
        <v>9.0</v>
      </c>
      <c r="AJ13" s="29">
        <v>9.0</v>
      </c>
      <c r="AK13" s="29">
        <v>9.0</v>
      </c>
      <c r="AL13" s="31">
        <f t="shared" si="2"/>
        <v>24</v>
      </c>
      <c r="AM13" s="32">
        <f t="shared" si="3"/>
        <v>216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42</v>
      </c>
      <c r="E14" s="27" t="s">
        <v>40</v>
      </c>
      <c r="F14" s="27">
        <v>12.0</v>
      </c>
      <c r="G14" s="28" t="s">
        <v>30</v>
      </c>
      <c r="H14" s="29">
        <v>12.0</v>
      </c>
      <c r="I14" s="42">
        <v>12.0</v>
      </c>
      <c r="J14" s="44"/>
      <c r="K14" s="29">
        <v>12.0</v>
      </c>
      <c r="L14" s="30">
        <v>12.0</v>
      </c>
      <c r="M14" s="30">
        <v>12.0</v>
      </c>
      <c r="N14" s="29"/>
      <c r="O14" s="29"/>
      <c r="P14" s="29"/>
      <c r="Q14" s="29"/>
      <c r="R14" s="29"/>
      <c r="S14" s="30"/>
      <c r="T14" s="30"/>
      <c r="U14" s="29"/>
      <c r="V14" s="29"/>
      <c r="W14" s="29"/>
      <c r="X14" s="29"/>
      <c r="Y14" s="29"/>
      <c r="Z14" s="30"/>
      <c r="AA14" s="30"/>
      <c r="AB14" s="29"/>
      <c r="AC14" s="29"/>
      <c r="AD14" s="29"/>
      <c r="AE14" s="29"/>
      <c r="AF14" s="29"/>
      <c r="AG14" s="30"/>
      <c r="AH14" s="30"/>
      <c r="AI14" s="29"/>
      <c r="AJ14" s="29"/>
      <c r="AK14" s="29"/>
      <c r="AL14" s="31">
        <f t="shared" si="2"/>
        <v>5</v>
      </c>
      <c r="AM14" s="32">
        <f t="shared" si="3"/>
        <v>60</v>
      </c>
    </row>
    <row r="15" ht="14.25" customHeight="1">
      <c r="A15" s="34">
        <v>7.0</v>
      </c>
      <c r="B15" s="25" t="s">
        <v>38</v>
      </c>
      <c r="C15" s="27">
        <v>1.0</v>
      </c>
      <c r="D15" s="37" t="s">
        <v>39</v>
      </c>
      <c r="E15" s="27" t="s">
        <v>40</v>
      </c>
      <c r="F15" s="27">
        <v>12.0</v>
      </c>
      <c r="G15" s="28" t="s">
        <v>30</v>
      </c>
      <c r="H15" s="29"/>
      <c r="I15" s="44"/>
      <c r="J15" s="44"/>
      <c r="K15" s="50">
        <v>12.0</v>
      </c>
      <c r="L15" s="50">
        <v>12.0</v>
      </c>
      <c r="M15" s="50">
        <v>12.0</v>
      </c>
      <c r="N15" s="29">
        <v>12.0</v>
      </c>
      <c r="O15" s="29">
        <v>12.0</v>
      </c>
      <c r="Q15" s="29"/>
      <c r="R15" s="29">
        <v>12.0</v>
      </c>
      <c r="S15" s="30">
        <v>12.0</v>
      </c>
      <c r="T15" s="30">
        <v>12.0</v>
      </c>
      <c r="U15" s="29">
        <v>12.0</v>
      </c>
      <c r="V15" s="29">
        <v>12.0</v>
      </c>
      <c r="W15" s="29"/>
      <c r="X15" s="29"/>
      <c r="Y15" s="29">
        <v>12.0</v>
      </c>
      <c r="Z15" s="30">
        <v>12.0</v>
      </c>
      <c r="AA15" s="30">
        <v>12.0</v>
      </c>
      <c r="AB15" s="29"/>
      <c r="AC15" s="29">
        <v>12.0</v>
      </c>
      <c r="AD15" s="29">
        <v>12.0</v>
      </c>
      <c r="AE15" s="29"/>
      <c r="AF15" s="29">
        <v>12.0</v>
      </c>
      <c r="AG15" s="30">
        <v>12.0</v>
      </c>
      <c r="AH15" s="30">
        <v>12.0</v>
      </c>
      <c r="AI15" s="29">
        <v>12.0</v>
      </c>
      <c r="AJ15" s="29">
        <v>12.0</v>
      </c>
      <c r="AK15" s="29"/>
      <c r="AL15" s="31">
        <f t="shared" si="2"/>
        <v>20</v>
      </c>
      <c r="AM15" s="32">
        <f t="shared" si="3"/>
        <v>240</v>
      </c>
      <c r="AN15" s="52" t="s">
        <v>48</v>
      </c>
    </row>
    <row r="16" ht="14.25" customHeight="1">
      <c r="A16" s="19"/>
      <c r="B16" s="20" t="s">
        <v>41</v>
      </c>
      <c r="C16" s="21"/>
      <c r="D16" s="20" t="s">
        <v>41</v>
      </c>
      <c r="E16" s="21"/>
      <c r="F16" s="38"/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5"/>
    </row>
    <row r="17" ht="14.25" customHeight="1">
      <c r="A17" s="24">
        <v>7.0</v>
      </c>
      <c r="B17" s="35" t="s">
        <v>53</v>
      </c>
      <c r="C17" s="27">
        <v>1.0</v>
      </c>
      <c r="D17" s="36" t="s">
        <v>54</v>
      </c>
      <c r="E17" s="27" t="s">
        <v>55</v>
      </c>
      <c r="F17" s="27">
        <v>12.0</v>
      </c>
      <c r="G17" s="47" t="s">
        <v>46</v>
      </c>
      <c r="H17" s="29">
        <v>12.0</v>
      </c>
      <c r="I17" s="48"/>
      <c r="J17" s="48"/>
      <c r="K17" s="48">
        <v>12.0</v>
      </c>
      <c r="L17" s="49">
        <v>12.0</v>
      </c>
      <c r="M17" s="49">
        <v>12.0</v>
      </c>
      <c r="N17" s="48">
        <v>12.0</v>
      </c>
      <c r="O17" s="29"/>
      <c r="P17" s="48"/>
      <c r="Q17" s="48"/>
      <c r="R17" s="48"/>
      <c r="S17" s="49"/>
      <c r="T17" s="49"/>
      <c r="U17" s="48"/>
      <c r="V17" s="29"/>
      <c r="W17" s="48"/>
      <c r="X17" s="48"/>
      <c r="Y17" s="48"/>
      <c r="Z17" s="49"/>
      <c r="AA17" s="49"/>
      <c r="AB17" s="48"/>
      <c r="AC17" s="29"/>
      <c r="AD17" s="48"/>
      <c r="AE17" s="48"/>
      <c r="AF17" s="48"/>
      <c r="AG17" s="49"/>
      <c r="AH17" s="49"/>
      <c r="AI17" s="48"/>
      <c r="AJ17" s="48"/>
      <c r="AK17" s="48"/>
      <c r="AL17" s="31">
        <f t="shared" ref="AL17:AL27" si="4">COUNTA(H17:AK17)</f>
        <v>5</v>
      </c>
      <c r="AM17" s="51">
        <f t="shared" ref="AM17:AM27" si="5">SUM(H17:AK17)</f>
        <v>60</v>
      </c>
    </row>
    <row r="18" ht="14.25" customHeight="1">
      <c r="A18" s="24"/>
      <c r="B18" s="35" t="s">
        <v>49</v>
      </c>
      <c r="C18" s="27">
        <v>1.0</v>
      </c>
      <c r="D18" s="36" t="s">
        <v>54</v>
      </c>
      <c r="E18" s="27" t="s">
        <v>57</v>
      </c>
      <c r="F18" s="27"/>
      <c r="G18" s="47" t="s">
        <v>52</v>
      </c>
      <c r="H18" s="29"/>
      <c r="I18" s="48"/>
      <c r="J18" s="48"/>
      <c r="K18" s="48"/>
      <c r="L18" s="49"/>
      <c r="M18" s="49"/>
      <c r="N18" s="48"/>
      <c r="O18" s="29"/>
      <c r="P18" s="48">
        <v>24.0</v>
      </c>
      <c r="Q18" s="48"/>
      <c r="R18" s="48"/>
      <c r="S18" s="49"/>
      <c r="T18" s="49">
        <v>24.0</v>
      </c>
      <c r="U18" s="48"/>
      <c r="V18" s="29">
        <v>24.0</v>
      </c>
      <c r="W18" s="48"/>
      <c r="X18" s="48">
        <v>24.0</v>
      </c>
      <c r="Y18" s="48"/>
      <c r="Z18" s="49">
        <v>24.0</v>
      </c>
      <c r="AA18" s="49"/>
      <c r="AB18" s="48"/>
      <c r="AC18" s="29"/>
      <c r="AD18" s="48">
        <v>24.0</v>
      </c>
      <c r="AE18" s="48"/>
      <c r="AF18" s="48">
        <v>24.0</v>
      </c>
      <c r="AG18" s="49"/>
      <c r="AH18" s="49">
        <v>24.0</v>
      </c>
      <c r="AI18" s="48"/>
      <c r="AJ18" s="48">
        <v>24.0</v>
      </c>
      <c r="AK18" s="48"/>
      <c r="AL18" s="31">
        <f t="shared" si="4"/>
        <v>9</v>
      </c>
      <c r="AM18" s="51">
        <f t="shared" si="5"/>
        <v>216</v>
      </c>
    </row>
    <row r="19" ht="14.25" customHeight="1">
      <c r="A19" s="24">
        <v>8.0</v>
      </c>
      <c r="B19" s="35" t="s">
        <v>49</v>
      </c>
      <c r="C19" s="27">
        <v>1.0</v>
      </c>
      <c r="D19" s="36" t="s">
        <v>59</v>
      </c>
      <c r="E19" s="27" t="s">
        <v>57</v>
      </c>
      <c r="F19" s="27"/>
      <c r="G19" s="47" t="s">
        <v>52</v>
      </c>
      <c r="H19" s="29"/>
      <c r="I19" s="48"/>
      <c r="J19" s="48"/>
      <c r="K19" s="48"/>
      <c r="L19" s="49"/>
      <c r="M19" s="49"/>
      <c r="N19" s="48"/>
      <c r="O19" s="29"/>
      <c r="P19" s="48"/>
      <c r="Q19" s="48"/>
      <c r="R19" s="48"/>
      <c r="S19" s="49"/>
      <c r="T19" s="49"/>
      <c r="U19" s="48"/>
      <c r="V19" s="29"/>
      <c r="W19" s="48"/>
      <c r="X19" s="48"/>
      <c r="Y19" s="48"/>
      <c r="Z19" s="49"/>
      <c r="AA19" s="49"/>
      <c r="AB19" s="48">
        <v>24.0</v>
      </c>
      <c r="AC19" s="29"/>
      <c r="AD19" s="48"/>
      <c r="AE19" s="48"/>
      <c r="AF19" s="48"/>
      <c r="AG19" s="49"/>
      <c r="AH19" s="49"/>
      <c r="AI19" s="48"/>
      <c r="AJ19" s="48"/>
      <c r="AK19" s="48"/>
      <c r="AL19" s="31">
        <f t="shared" si="4"/>
        <v>1</v>
      </c>
      <c r="AM19" s="51">
        <f t="shared" si="5"/>
        <v>24</v>
      </c>
    </row>
    <row r="20" ht="14.25" customHeight="1">
      <c r="A20" s="24">
        <v>9.0</v>
      </c>
      <c r="B20" s="35" t="s">
        <v>49</v>
      </c>
      <c r="C20" s="27">
        <v>1.0</v>
      </c>
      <c r="D20" s="36" t="s">
        <v>60</v>
      </c>
      <c r="E20" s="27" t="s">
        <v>51</v>
      </c>
      <c r="F20" s="27">
        <v>24.0</v>
      </c>
      <c r="G20" s="47" t="s">
        <v>52</v>
      </c>
      <c r="H20" s="60">
        <v>24.0</v>
      </c>
      <c r="I20" s="60"/>
      <c r="J20" s="60">
        <v>24.0</v>
      </c>
      <c r="K20" s="60"/>
      <c r="L20" s="60">
        <v>24.0</v>
      </c>
      <c r="M20" s="60"/>
      <c r="N20" s="60">
        <v>24.0</v>
      </c>
      <c r="O20" s="60"/>
      <c r="P20" s="60"/>
      <c r="Q20" s="60"/>
      <c r="R20" s="60">
        <v>24.0</v>
      </c>
      <c r="S20" s="30"/>
      <c r="T20" s="30"/>
      <c r="U20" s="29"/>
      <c r="V20" s="29"/>
      <c r="W20" s="29"/>
      <c r="X20" s="29"/>
      <c r="Y20" s="29"/>
      <c r="Z20" s="30"/>
      <c r="AA20" s="30"/>
      <c r="AB20" s="29"/>
      <c r="AC20" s="29"/>
      <c r="AD20" s="29"/>
      <c r="AE20" s="29"/>
      <c r="AF20" s="29"/>
      <c r="AG20" s="30"/>
      <c r="AH20" s="30"/>
      <c r="AI20" s="29"/>
      <c r="AJ20" s="29"/>
      <c r="AK20" s="29"/>
      <c r="AL20" s="31">
        <f t="shared" si="4"/>
        <v>5</v>
      </c>
      <c r="AM20" s="51">
        <f t="shared" si="5"/>
        <v>120</v>
      </c>
    </row>
    <row r="21" ht="14.25" customHeight="1">
      <c r="A21" s="24">
        <v>10.0</v>
      </c>
      <c r="B21" s="35" t="s">
        <v>49</v>
      </c>
      <c r="C21" s="27">
        <v>1.0</v>
      </c>
      <c r="D21" s="36" t="s">
        <v>56</v>
      </c>
      <c r="E21" s="27" t="s">
        <v>51</v>
      </c>
      <c r="F21" s="27">
        <v>24.0</v>
      </c>
      <c r="G21" s="47" t="s">
        <v>52</v>
      </c>
      <c r="H21" s="29"/>
      <c r="I21" s="29">
        <v>24.0</v>
      </c>
      <c r="J21" s="29"/>
      <c r="K21" s="29">
        <v>24.0</v>
      </c>
      <c r="L21" s="30"/>
      <c r="M21" s="30">
        <v>24.0</v>
      </c>
      <c r="N21" s="29"/>
      <c r="O21" s="29">
        <v>24.0</v>
      </c>
      <c r="P21" s="29"/>
      <c r="Q21" s="29">
        <v>24.0</v>
      </c>
      <c r="R21" s="29"/>
      <c r="S21" s="30">
        <v>24.0</v>
      </c>
      <c r="T21" s="30"/>
      <c r="U21" s="29">
        <v>24.0</v>
      </c>
      <c r="V21" s="29"/>
      <c r="W21" s="29">
        <v>24.0</v>
      </c>
      <c r="X21" s="29"/>
      <c r="Y21" s="29">
        <v>24.0</v>
      </c>
      <c r="Z21" s="30"/>
      <c r="AA21" s="30">
        <v>24.0</v>
      </c>
      <c r="AB21" s="29"/>
      <c r="AC21" s="29">
        <v>24.0</v>
      </c>
      <c r="AD21" s="29"/>
      <c r="AE21" s="29">
        <v>24.0</v>
      </c>
      <c r="AF21" s="29"/>
      <c r="AG21" s="30">
        <v>24.0</v>
      </c>
      <c r="AH21" s="30"/>
      <c r="AI21" s="29">
        <v>24.0</v>
      </c>
      <c r="AJ21" s="29"/>
      <c r="AK21" s="29">
        <v>24.0</v>
      </c>
      <c r="AL21" s="31">
        <f t="shared" si="4"/>
        <v>15</v>
      </c>
      <c r="AM21" s="51">
        <f t="shared" si="5"/>
        <v>360</v>
      </c>
    </row>
    <row r="22" ht="14.25" customHeight="1">
      <c r="A22" s="24">
        <v>11.0</v>
      </c>
      <c r="B22" s="35" t="s">
        <v>62</v>
      </c>
      <c r="C22" s="27">
        <v>1.0</v>
      </c>
      <c r="D22" s="67" t="s">
        <v>66</v>
      </c>
      <c r="E22" s="27" t="s">
        <v>64</v>
      </c>
      <c r="F22" s="27">
        <v>12.0</v>
      </c>
      <c r="G22" s="47" t="s">
        <v>65</v>
      </c>
      <c r="H22" s="48"/>
      <c r="I22" s="48">
        <v>12.0</v>
      </c>
      <c r="J22" s="48"/>
      <c r="K22" s="48">
        <v>12.0</v>
      </c>
      <c r="L22" s="49"/>
      <c r="M22" s="49"/>
      <c r="N22" s="48"/>
      <c r="O22" s="48"/>
      <c r="P22" s="48">
        <v>12.0</v>
      </c>
      <c r="Q22" s="48">
        <v>12.0</v>
      </c>
      <c r="R22" s="48">
        <v>12.0</v>
      </c>
      <c r="S22" s="49">
        <v>12.0</v>
      </c>
      <c r="T22" s="49">
        <v>12.0</v>
      </c>
      <c r="U22" s="48"/>
      <c r="V22" s="69"/>
      <c r="W22" s="48"/>
      <c r="X22" s="48"/>
      <c r="Y22" s="48"/>
      <c r="Z22" s="49"/>
      <c r="AA22" s="49">
        <v>12.0</v>
      </c>
      <c r="AB22" s="48"/>
      <c r="AC22" s="48"/>
      <c r="AD22" s="48">
        <v>12.0</v>
      </c>
      <c r="AE22" s="48">
        <v>12.0</v>
      </c>
      <c r="AF22" s="48">
        <v>12.0</v>
      </c>
      <c r="AG22" s="49">
        <v>12.0</v>
      </c>
      <c r="AH22" s="49">
        <v>12.0</v>
      </c>
      <c r="AI22" s="48"/>
      <c r="AJ22" s="48"/>
      <c r="AK22" s="48">
        <v>12.0</v>
      </c>
      <c r="AL22" s="31">
        <f t="shared" si="4"/>
        <v>14</v>
      </c>
      <c r="AM22" s="51">
        <f t="shared" si="5"/>
        <v>168</v>
      </c>
    </row>
    <row r="23" ht="14.25" customHeight="1">
      <c r="A23" s="24">
        <v>12.0</v>
      </c>
      <c r="B23" s="35" t="s">
        <v>67</v>
      </c>
      <c r="C23" s="27">
        <v>1.0</v>
      </c>
      <c r="D23" s="36" t="s">
        <v>68</v>
      </c>
      <c r="E23" s="27" t="s">
        <v>70</v>
      </c>
      <c r="F23" s="27">
        <v>12.0</v>
      </c>
      <c r="G23" s="28" t="s">
        <v>30</v>
      </c>
      <c r="H23" s="29"/>
      <c r="I23" s="29">
        <v>12.0</v>
      </c>
      <c r="J23" s="29">
        <v>12.0</v>
      </c>
      <c r="K23" s="29"/>
      <c r="L23" s="30"/>
      <c r="M23" s="30">
        <v>12.0</v>
      </c>
      <c r="N23" s="29">
        <v>12.0</v>
      </c>
      <c r="O23" s="29">
        <v>12.0</v>
      </c>
      <c r="P23" s="29"/>
      <c r="Q23" s="29"/>
      <c r="R23" s="29">
        <v>12.0</v>
      </c>
      <c r="S23" s="30">
        <v>12.0</v>
      </c>
      <c r="T23" s="30">
        <v>12.0</v>
      </c>
      <c r="U23" s="29">
        <v>12.0</v>
      </c>
      <c r="V23" s="29"/>
      <c r="W23" s="29"/>
      <c r="X23" s="29">
        <v>12.0</v>
      </c>
      <c r="Y23" s="29">
        <v>12.0</v>
      </c>
      <c r="Z23" s="30">
        <v>12.0</v>
      </c>
      <c r="AA23" s="30">
        <v>12.0</v>
      </c>
      <c r="AB23" s="29">
        <v>12.0</v>
      </c>
      <c r="AC23" s="29"/>
      <c r="AD23" s="29">
        <v>12.0</v>
      </c>
      <c r="AE23" s="29">
        <v>12.0</v>
      </c>
      <c r="AF23" s="29">
        <v>12.0</v>
      </c>
      <c r="AG23" s="30">
        <v>12.0</v>
      </c>
      <c r="AH23" s="30">
        <v>12.0</v>
      </c>
      <c r="AI23" s="29">
        <v>12.0</v>
      </c>
      <c r="AJ23" s="29"/>
      <c r="AK23" s="29">
        <v>12.0</v>
      </c>
      <c r="AL23" s="31">
        <f t="shared" si="4"/>
        <v>21</v>
      </c>
      <c r="AM23" s="51">
        <f t="shared" si="5"/>
        <v>252</v>
      </c>
    </row>
    <row r="24" ht="14.25" customHeight="1">
      <c r="A24" s="24">
        <v>13.0</v>
      </c>
      <c r="B24" s="35" t="s">
        <v>71</v>
      </c>
      <c r="C24" s="27">
        <v>1.0</v>
      </c>
      <c r="D24" s="36" t="s">
        <v>74</v>
      </c>
      <c r="E24" s="27" t="s">
        <v>73</v>
      </c>
      <c r="F24" s="27">
        <v>12.0</v>
      </c>
      <c r="G24" s="28" t="s">
        <v>26</v>
      </c>
      <c r="H24" s="29">
        <v>12.0</v>
      </c>
      <c r="I24" s="29">
        <v>12.0</v>
      </c>
      <c r="J24" s="29">
        <v>12.0</v>
      </c>
      <c r="K24" s="60">
        <v>12.0</v>
      </c>
      <c r="L24" s="60">
        <v>12.0</v>
      </c>
      <c r="M24" s="60">
        <v>12.0</v>
      </c>
      <c r="N24" s="71">
        <v>12.0</v>
      </c>
      <c r="O24" s="71">
        <v>12.0</v>
      </c>
      <c r="P24" s="71">
        <v>12.0</v>
      </c>
      <c r="Q24" s="71">
        <v>12.0</v>
      </c>
      <c r="R24" s="71">
        <v>12.0</v>
      </c>
      <c r="S24" s="71">
        <v>12.0</v>
      </c>
      <c r="T24" s="72">
        <v>12.0</v>
      </c>
      <c r="U24" s="29"/>
      <c r="V24" s="60">
        <v>12.0</v>
      </c>
      <c r="W24" s="72">
        <v>12.0</v>
      </c>
      <c r="X24" s="60">
        <v>12.0</v>
      </c>
      <c r="Y24" s="60">
        <v>12.0</v>
      </c>
      <c r="Z24" s="30"/>
      <c r="AA24" s="71">
        <v>12.0</v>
      </c>
      <c r="AB24" s="71">
        <v>12.0</v>
      </c>
      <c r="AC24" s="29"/>
      <c r="AD24" s="71">
        <v>12.0</v>
      </c>
      <c r="AE24" s="71">
        <v>12.0</v>
      </c>
      <c r="AF24" s="29"/>
      <c r="AG24" s="30"/>
      <c r="AH24" s="30"/>
      <c r="AI24" s="29"/>
      <c r="AJ24" s="29"/>
      <c r="AK24" s="29"/>
      <c r="AL24" s="31">
        <f t="shared" si="4"/>
        <v>21</v>
      </c>
      <c r="AM24" s="51">
        <f t="shared" si="5"/>
        <v>252</v>
      </c>
      <c r="AN24" s="73" t="s">
        <v>75</v>
      </c>
    </row>
    <row r="25" ht="14.25" customHeight="1">
      <c r="A25" s="24"/>
      <c r="B25" s="74" t="s">
        <v>71</v>
      </c>
      <c r="C25" s="75">
        <v>1.0</v>
      </c>
      <c r="D25" s="76" t="s">
        <v>77</v>
      </c>
      <c r="E25" s="75" t="s">
        <v>73</v>
      </c>
      <c r="F25" s="65">
        <v>12.0</v>
      </c>
      <c r="G25" s="28" t="s">
        <v>26</v>
      </c>
      <c r="H25" s="29"/>
      <c r="I25" s="29"/>
      <c r="J25" s="29"/>
      <c r="K25" s="29"/>
      <c r="L25" s="30"/>
      <c r="M25" s="30"/>
      <c r="N25" s="29"/>
      <c r="O25" s="29"/>
      <c r="P25" s="29"/>
      <c r="Q25" s="29"/>
      <c r="R25" s="29"/>
      <c r="S25" s="30"/>
      <c r="T25" s="30"/>
      <c r="U25" s="29"/>
      <c r="V25" s="29"/>
      <c r="W25" s="29"/>
      <c r="X25" s="29"/>
      <c r="Y25" s="29"/>
      <c r="Z25" s="30"/>
      <c r="AA25" s="30"/>
      <c r="AB25" s="29"/>
      <c r="AC25" s="29">
        <v>12.0</v>
      </c>
      <c r="AD25" s="29"/>
      <c r="AE25" s="29"/>
      <c r="AF25" s="29"/>
      <c r="AG25" s="30"/>
      <c r="AH25" s="30"/>
      <c r="AI25" s="29"/>
      <c r="AJ25" s="29"/>
      <c r="AK25" s="29"/>
      <c r="AL25" s="31">
        <f t="shared" si="4"/>
        <v>1</v>
      </c>
      <c r="AM25" s="51">
        <f t="shared" si="5"/>
        <v>12</v>
      </c>
      <c r="AN25" s="73" t="s">
        <v>79</v>
      </c>
    </row>
    <row r="26" ht="14.25" customHeight="1">
      <c r="A26" s="24"/>
      <c r="B26" s="74" t="s">
        <v>71</v>
      </c>
      <c r="C26" s="75">
        <v>1.0</v>
      </c>
      <c r="D26" s="76" t="s">
        <v>80</v>
      </c>
      <c r="E26" s="75" t="s">
        <v>73</v>
      </c>
      <c r="F26" s="65">
        <v>12.0</v>
      </c>
      <c r="G26" s="66"/>
      <c r="H26" s="29"/>
      <c r="I26" s="29"/>
      <c r="J26" s="29"/>
      <c r="K26" s="29"/>
      <c r="L26" s="30"/>
      <c r="M26" s="30"/>
      <c r="N26" s="29"/>
      <c r="O26" s="29"/>
      <c r="P26" s="29"/>
      <c r="Q26" s="29"/>
      <c r="R26" s="29"/>
      <c r="S26" s="30"/>
      <c r="T26" s="30"/>
      <c r="U26" s="29">
        <v>12.0</v>
      </c>
      <c r="V26" s="29"/>
      <c r="W26" s="29"/>
      <c r="X26" s="29"/>
      <c r="Y26" s="29"/>
      <c r="Z26" s="30"/>
      <c r="AA26" s="30"/>
      <c r="AB26" s="29"/>
      <c r="AC26" s="29"/>
      <c r="AD26" s="29"/>
      <c r="AE26" s="29"/>
      <c r="AF26" s="29">
        <v>12.0</v>
      </c>
      <c r="AG26" s="30">
        <v>12.0</v>
      </c>
      <c r="AH26" s="30">
        <v>12.0</v>
      </c>
      <c r="AI26" s="29">
        <v>12.0</v>
      </c>
      <c r="AJ26" s="29">
        <v>12.0</v>
      </c>
      <c r="AK26" s="29">
        <v>12.0</v>
      </c>
      <c r="AL26" s="31">
        <f t="shared" si="4"/>
        <v>7</v>
      </c>
      <c r="AM26" s="51">
        <f t="shared" si="5"/>
        <v>84</v>
      </c>
      <c r="AN26" s="73" t="s">
        <v>79</v>
      </c>
    </row>
    <row r="27" ht="14.25" customHeight="1">
      <c r="A27" s="24"/>
      <c r="B27" s="74" t="s">
        <v>71</v>
      </c>
      <c r="C27" s="75">
        <v>1.0</v>
      </c>
      <c r="D27" s="76" t="s">
        <v>84</v>
      </c>
      <c r="E27" s="75" t="s">
        <v>73</v>
      </c>
      <c r="F27" s="65">
        <v>12.0</v>
      </c>
      <c r="G27" s="66"/>
      <c r="H27" s="29"/>
      <c r="I27" s="29"/>
      <c r="J27" s="29"/>
      <c r="K27" s="29"/>
      <c r="L27" s="30"/>
      <c r="M27" s="30"/>
      <c r="N27" s="29"/>
      <c r="O27" s="29"/>
      <c r="P27" s="29"/>
      <c r="Q27" s="29"/>
      <c r="R27" s="29"/>
      <c r="S27" s="30"/>
      <c r="T27" s="30"/>
      <c r="U27" s="29"/>
      <c r="V27" s="29"/>
      <c r="W27" s="29"/>
      <c r="X27" s="29"/>
      <c r="Y27" s="29"/>
      <c r="Z27" s="30">
        <v>12.0</v>
      </c>
      <c r="AA27" s="30"/>
      <c r="AB27" s="29"/>
      <c r="AC27" s="29"/>
      <c r="AD27" s="29"/>
      <c r="AE27" s="29"/>
      <c r="AF27" s="29"/>
      <c r="AG27" s="30"/>
      <c r="AH27" s="30"/>
      <c r="AI27" s="29"/>
      <c r="AJ27" s="29"/>
      <c r="AK27" s="29"/>
      <c r="AL27" s="31">
        <f t="shared" si="4"/>
        <v>1</v>
      </c>
      <c r="AM27" s="51">
        <f t="shared" si="5"/>
        <v>12</v>
      </c>
      <c r="AN27" s="73" t="s">
        <v>79</v>
      </c>
    </row>
    <row r="28" ht="14.25" customHeight="1">
      <c r="A28" s="19"/>
      <c r="B28" s="20" t="s">
        <v>78</v>
      </c>
      <c r="C28" s="21"/>
      <c r="D28" s="77" t="s">
        <v>78</v>
      </c>
      <c r="E28" s="21"/>
      <c r="F28" s="38"/>
      <c r="G28" s="7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3"/>
      <c r="AM28" s="21"/>
    </row>
    <row r="29" ht="14.25" customHeight="1">
      <c r="A29" s="34">
        <v>13.0</v>
      </c>
      <c r="B29" s="35" t="s">
        <v>81</v>
      </c>
      <c r="C29" s="27">
        <v>1.0</v>
      </c>
      <c r="D29" s="37" t="s">
        <v>82</v>
      </c>
      <c r="E29" s="27" t="s">
        <v>83</v>
      </c>
      <c r="F29" s="65">
        <v>24.0</v>
      </c>
      <c r="G29" s="66" t="s">
        <v>85</v>
      </c>
      <c r="H29" s="81"/>
      <c r="I29" s="81">
        <v>24.0</v>
      </c>
      <c r="J29" s="81"/>
      <c r="K29" s="81"/>
      <c r="L29" s="82">
        <v>24.0</v>
      </c>
      <c r="M29" s="82"/>
      <c r="N29" s="81">
        <v>24.0</v>
      </c>
      <c r="O29" s="81"/>
      <c r="P29" s="81">
        <v>24.0</v>
      </c>
      <c r="Q29" s="81"/>
      <c r="R29" s="81"/>
      <c r="S29" s="82">
        <v>24.0</v>
      </c>
      <c r="T29" s="82"/>
      <c r="U29" s="81"/>
      <c r="V29" s="81">
        <v>24.0</v>
      </c>
      <c r="W29" s="81"/>
      <c r="X29" s="81"/>
      <c r="Y29" s="81">
        <v>24.0</v>
      </c>
      <c r="Z29" s="82"/>
      <c r="AA29" s="82"/>
      <c r="AB29" s="81">
        <v>24.0</v>
      </c>
      <c r="AC29" s="81"/>
      <c r="AD29" s="81">
        <v>24.0</v>
      </c>
      <c r="AE29" s="81"/>
      <c r="AF29" s="81"/>
      <c r="AG29" s="82">
        <v>24.0</v>
      </c>
      <c r="AH29" s="82"/>
      <c r="AI29" s="81"/>
      <c r="AJ29" s="81">
        <v>24.0</v>
      </c>
      <c r="AK29" s="81"/>
      <c r="AL29" s="31">
        <f t="shared" ref="AL29:AL47" si="6">COUNTA(H29:AK29)</f>
        <v>11</v>
      </c>
      <c r="AM29" s="51">
        <f t="shared" ref="AM29:AM47" si="7">SUM(H29:AK29)</f>
        <v>264</v>
      </c>
    </row>
    <row r="30" ht="14.25" customHeight="1">
      <c r="A30" s="34">
        <v>14.0</v>
      </c>
      <c r="B30" s="35" t="s">
        <v>89</v>
      </c>
      <c r="C30" s="27">
        <v>1.0</v>
      </c>
      <c r="D30" s="37" t="s">
        <v>90</v>
      </c>
      <c r="E30" s="27" t="s">
        <v>83</v>
      </c>
      <c r="F30" s="65">
        <v>24.0</v>
      </c>
      <c r="G30" s="88"/>
      <c r="H30" s="81">
        <v>24.0</v>
      </c>
      <c r="I30" s="81"/>
      <c r="J30" s="81"/>
      <c r="K30" s="81">
        <v>24.0</v>
      </c>
      <c r="L30" s="82"/>
      <c r="M30" s="82"/>
      <c r="N30" s="81"/>
      <c r="O30" s="81"/>
      <c r="P30" s="81"/>
      <c r="Q30" s="81"/>
      <c r="R30" s="81"/>
      <c r="S30" s="82"/>
      <c r="T30" s="82"/>
      <c r="U30" s="81"/>
      <c r="V30" s="81"/>
      <c r="W30" s="81"/>
      <c r="X30" s="81"/>
      <c r="Y30" s="81"/>
      <c r="Z30" s="82"/>
      <c r="AA30" s="82"/>
      <c r="AB30" s="81"/>
      <c r="AC30" s="81"/>
      <c r="AD30" s="81"/>
      <c r="AE30" s="81"/>
      <c r="AF30" s="81"/>
      <c r="AG30" s="82"/>
      <c r="AH30" s="82"/>
      <c r="AI30" s="81"/>
      <c r="AJ30" s="81"/>
      <c r="AK30" s="81"/>
      <c r="AL30" s="31">
        <f t="shared" si="6"/>
        <v>2</v>
      </c>
      <c r="AM30" s="51">
        <f t="shared" si="7"/>
        <v>48</v>
      </c>
      <c r="AN30" s="89"/>
      <c r="AO30" s="89"/>
      <c r="AP30" s="89"/>
      <c r="AQ30" s="89"/>
      <c r="AR30" s="89"/>
      <c r="AS30" s="89"/>
      <c r="AT30" s="89"/>
      <c r="AU30" s="89"/>
      <c r="AV30" s="89"/>
    </row>
    <row r="31" ht="14.25" customHeight="1">
      <c r="A31" s="34">
        <v>15.0</v>
      </c>
      <c r="B31" s="35" t="s">
        <v>86</v>
      </c>
      <c r="C31" s="65">
        <v>1.0</v>
      </c>
      <c r="D31" s="90" t="s">
        <v>91</v>
      </c>
      <c r="E31" s="27" t="s">
        <v>83</v>
      </c>
      <c r="F31" s="65">
        <v>24.0</v>
      </c>
      <c r="G31" s="88"/>
      <c r="H31" s="91"/>
      <c r="I31" s="81"/>
      <c r="J31" s="81">
        <v>24.0</v>
      </c>
      <c r="K31" s="81"/>
      <c r="L31" s="82"/>
      <c r="M31" s="82">
        <v>24.0</v>
      </c>
      <c r="N31" s="91"/>
      <c r="O31" s="81">
        <v>24.0</v>
      </c>
      <c r="P31" s="81"/>
      <c r="Q31" s="81"/>
      <c r="R31" s="81">
        <v>24.0</v>
      </c>
      <c r="S31" s="82"/>
      <c r="T31" s="82"/>
      <c r="U31" s="81">
        <v>24.0</v>
      </c>
      <c r="V31" s="81"/>
      <c r="W31" s="81"/>
      <c r="X31" s="81">
        <v>24.0</v>
      </c>
      <c r="Y31" s="81"/>
      <c r="Z31" s="82"/>
      <c r="AA31" s="82">
        <v>24.0</v>
      </c>
      <c r="AB31" s="81"/>
      <c r="AC31" s="91"/>
      <c r="AD31" s="81"/>
      <c r="AE31" s="81"/>
      <c r="AF31" s="81">
        <v>24.0</v>
      </c>
      <c r="AG31" s="82"/>
      <c r="AH31" s="82"/>
      <c r="AI31" s="81">
        <v>24.0</v>
      </c>
      <c r="AJ31" s="81"/>
      <c r="AK31" s="81"/>
      <c r="AL31" s="31">
        <f t="shared" si="6"/>
        <v>9</v>
      </c>
      <c r="AM31" s="51">
        <f t="shared" si="7"/>
        <v>216</v>
      </c>
    </row>
    <row r="32" ht="14.25" customHeight="1">
      <c r="A32" s="34"/>
      <c r="B32" s="35" t="s">
        <v>86</v>
      </c>
      <c r="C32" s="65">
        <v>1.0</v>
      </c>
      <c r="D32" s="37" t="s">
        <v>42</v>
      </c>
      <c r="E32" s="27" t="s">
        <v>83</v>
      </c>
      <c r="F32" s="65">
        <v>24.0</v>
      </c>
      <c r="G32" s="17"/>
      <c r="H32" s="91"/>
      <c r="I32" s="81"/>
      <c r="J32" s="81"/>
      <c r="K32" s="81"/>
      <c r="L32" s="82"/>
      <c r="M32" s="82"/>
      <c r="N32" s="91"/>
      <c r="O32" s="81"/>
      <c r="P32" s="81"/>
      <c r="Q32" s="81">
        <v>24.0</v>
      </c>
      <c r="R32" s="81"/>
      <c r="S32" s="82"/>
      <c r="T32" s="82">
        <v>24.0</v>
      </c>
      <c r="U32" s="81"/>
      <c r="V32" s="81"/>
      <c r="W32" s="81">
        <v>24.0</v>
      </c>
      <c r="X32" s="81"/>
      <c r="Y32" s="81"/>
      <c r="Z32" s="82">
        <v>24.0</v>
      </c>
      <c r="AA32" s="82"/>
      <c r="AB32" s="81"/>
      <c r="AC32" s="81">
        <v>24.0</v>
      </c>
      <c r="AD32" s="81"/>
      <c r="AE32" s="81">
        <v>24.0</v>
      </c>
      <c r="AF32" s="81"/>
      <c r="AG32" s="82"/>
      <c r="AH32" s="82">
        <v>24.0</v>
      </c>
      <c r="AI32" s="81"/>
      <c r="AJ32" s="81"/>
      <c r="AK32" s="81">
        <v>24.0</v>
      </c>
      <c r="AL32" s="31">
        <f t="shared" si="6"/>
        <v>8</v>
      </c>
      <c r="AM32" s="51">
        <f t="shared" si="7"/>
        <v>192</v>
      </c>
    </row>
    <row r="33" ht="14.25" customHeight="1">
      <c r="A33" s="34">
        <v>16.0</v>
      </c>
      <c r="B33" s="35" t="s">
        <v>95</v>
      </c>
      <c r="C33" s="65">
        <v>1.0</v>
      </c>
      <c r="D33" s="90" t="s">
        <v>96</v>
      </c>
      <c r="E33" s="27" t="s">
        <v>83</v>
      </c>
      <c r="F33" s="97"/>
      <c r="G33" s="66" t="s">
        <v>85</v>
      </c>
      <c r="H33" s="81"/>
      <c r="I33" s="81">
        <v>24.0</v>
      </c>
      <c r="J33" s="81"/>
      <c r="K33" s="81">
        <v>24.0</v>
      </c>
      <c r="L33" s="82"/>
      <c r="M33" s="82"/>
      <c r="N33" s="81">
        <v>24.0</v>
      </c>
      <c r="O33" s="81"/>
      <c r="P33" s="98">
        <v>24.0</v>
      </c>
      <c r="Q33" s="81"/>
      <c r="R33" s="81">
        <v>24.0</v>
      </c>
      <c r="S33" s="82"/>
      <c r="T33" s="82">
        <v>24.0</v>
      </c>
      <c r="U33" s="81"/>
      <c r="V33" s="81"/>
      <c r="W33" s="81"/>
      <c r="X33" s="81"/>
      <c r="Y33" s="81"/>
      <c r="Z33" s="82"/>
      <c r="AA33" s="82"/>
      <c r="AB33" s="81"/>
      <c r="AC33" s="81"/>
      <c r="AD33" s="81"/>
      <c r="AE33" s="81"/>
      <c r="AF33" s="81"/>
      <c r="AG33" s="82"/>
      <c r="AH33" s="82"/>
      <c r="AI33" s="81"/>
      <c r="AJ33" s="81"/>
      <c r="AK33" s="81"/>
      <c r="AL33" s="31">
        <f t="shared" si="6"/>
        <v>6</v>
      </c>
      <c r="AM33" s="51">
        <f t="shared" si="7"/>
        <v>144</v>
      </c>
      <c r="AN33" s="89"/>
      <c r="AO33" s="89"/>
      <c r="AP33" s="89"/>
      <c r="AQ33" s="89"/>
      <c r="AR33" s="89"/>
      <c r="AS33" s="89"/>
      <c r="AT33" s="89"/>
      <c r="AU33" s="89"/>
      <c r="AV33" s="89"/>
    </row>
    <row r="34" ht="14.25" customHeight="1">
      <c r="A34" s="34">
        <v>17.0</v>
      </c>
      <c r="B34" s="35" t="s">
        <v>95</v>
      </c>
      <c r="C34" s="65">
        <v>1.0</v>
      </c>
      <c r="D34" s="90" t="s">
        <v>97</v>
      </c>
      <c r="E34" s="27" t="s">
        <v>83</v>
      </c>
      <c r="F34" s="97"/>
      <c r="G34" s="88"/>
      <c r="H34" s="29"/>
      <c r="I34" s="29"/>
      <c r="J34" s="29">
        <v>24.0</v>
      </c>
      <c r="K34" s="29"/>
      <c r="L34" s="30">
        <v>17.0</v>
      </c>
      <c r="M34" s="30">
        <v>17.0</v>
      </c>
      <c r="N34" s="29"/>
      <c r="O34" s="29">
        <v>24.0</v>
      </c>
      <c r="P34" s="29"/>
      <c r="Q34" s="29"/>
      <c r="R34" s="29"/>
      <c r="S34" s="30"/>
      <c r="T34" s="30"/>
      <c r="U34" s="29"/>
      <c r="V34" s="29"/>
      <c r="W34" s="29"/>
      <c r="X34" s="29"/>
      <c r="Y34" s="29"/>
      <c r="Z34" s="30"/>
      <c r="AA34" s="99">
        <v>24.0</v>
      </c>
      <c r="AB34" s="29"/>
      <c r="AC34" s="29"/>
      <c r="AD34" s="29"/>
      <c r="AE34" s="29">
        <v>17.0</v>
      </c>
      <c r="AF34" s="29">
        <v>17.0</v>
      </c>
      <c r="AG34" s="30">
        <v>17.0</v>
      </c>
      <c r="AH34" s="30">
        <v>17.0</v>
      </c>
      <c r="AI34" s="29">
        <v>17.0</v>
      </c>
      <c r="AJ34" s="29"/>
      <c r="AK34" s="29">
        <v>24.0</v>
      </c>
      <c r="AL34" s="31">
        <f t="shared" si="6"/>
        <v>11</v>
      </c>
      <c r="AM34" s="51">
        <f t="shared" si="7"/>
        <v>215</v>
      </c>
      <c r="AN34" s="33"/>
    </row>
    <row r="35" ht="14.25" customHeight="1">
      <c r="A35" s="34">
        <v>18.0</v>
      </c>
      <c r="B35" s="35" t="s">
        <v>95</v>
      </c>
      <c r="C35" s="65">
        <v>1.0</v>
      </c>
      <c r="D35" s="100" t="s">
        <v>99</v>
      </c>
      <c r="E35" s="27" t="s">
        <v>83</v>
      </c>
      <c r="F35" s="97"/>
      <c r="G35" s="88"/>
      <c r="H35" s="29"/>
      <c r="I35" s="29"/>
      <c r="J35" s="29"/>
      <c r="K35" s="29"/>
      <c r="L35" s="30"/>
      <c r="M35" s="30"/>
      <c r="N35" s="29"/>
      <c r="O35" s="29"/>
      <c r="P35" s="29"/>
      <c r="Q35" s="29"/>
      <c r="R35" s="29"/>
      <c r="S35" s="30"/>
      <c r="T35" s="30"/>
      <c r="U35" s="29"/>
      <c r="V35" s="29"/>
      <c r="W35" s="29"/>
      <c r="X35" s="29"/>
      <c r="Y35" s="29">
        <v>17.0</v>
      </c>
      <c r="Z35" s="30">
        <v>17.0</v>
      </c>
      <c r="AA35" s="30">
        <v>17.0</v>
      </c>
      <c r="AB35" s="29">
        <v>17.0</v>
      </c>
      <c r="AC35" s="29"/>
      <c r="AD35" s="29"/>
      <c r="AE35" s="29"/>
      <c r="AF35" s="29">
        <v>24.0</v>
      </c>
      <c r="AG35" s="30"/>
      <c r="AH35" s="30"/>
      <c r="AI35" s="29">
        <v>24.0</v>
      </c>
      <c r="AJ35" s="29"/>
      <c r="AK35" s="29"/>
      <c r="AL35" s="31">
        <f t="shared" si="6"/>
        <v>6</v>
      </c>
      <c r="AM35" s="51">
        <f t="shared" si="7"/>
        <v>116</v>
      </c>
    </row>
    <row r="36" ht="14.25" customHeight="1">
      <c r="A36" s="34">
        <v>19.0</v>
      </c>
      <c r="B36" s="36" t="s">
        <v>95</v>
      </c>
      <c r="C36" s="65">
        <v>1.0</v>
      </c>
      <c r="D36" s="90" t="s">
        <v>100</v>
      </c>
      <c r="E36" s="27" t="s">
        <v>102</v>
      </c>
      <c r="F36" s="97"/>
      <c r="G36" s="88"/>
      <c r="H36" s="29"/>
      <c r="I36" s="29"/>
      <c r="J36" s="29"/>
      <c r="K36" s="29">
        <v>24.0</v>
      </c>
      <c r="L36" s="30"/>
      <c r="M36" s="30">
        <v>24.0</v>
      </c>
      <c r="N36" s="29"/>
      <c r="O36" s="29"/>
      <c r="P36" s="29"/>
      <c r="Q36" s="29">
        <v>24.0</v>
      </c>
      <c r="R36" s="29"/>
      <c r="S36" s="30">
        <v>24.0</v>
      </c>
      <c r="T36" s="30"/>
      <c r="U36" s="29">
        <v>24.0</v>
      </c>
      <c r="V36" s="29"/>
      <c r="W36" s="29">
        <v>24.0</v>
      </c>
      <c r="X36" s="29"/>
      <c r="Y36" s="29"/>
      <c r="Z36" s="30">
        <v>24.0</v>
      </c>
      <c r="AA36" s="30"/>
      <c r="AB36" s="29"/>
      <c r="AC36" s="99">
        <v>24.0</v>
      </c>
      <c r="AD36" s="29"/>
      <c r="AE36" s="29">
        <v>24.0</v>
      </c>
      <c r="AF36" s="29"/>
      <c r="AG36" s="30"/>
      <c r="AH36" s="30">
        <v>24.0</v>
      </c>
      <c r="AI36" s="29"/>
      <c r="AJ36" s="29">
        <v>24.0</v>
      </c>
      <c r="AK36" s="29"/>
      <c r="AL36" s="31">
        <f t="shared" si="6"/>
        <v>11</v>
      </c>
      <c r="AM36" s="51">
        <f t="shared" si="7"/>
        <v>264</v>
      </c>
      <c r="AN36" s="89"/>
      <c r="AO36" s="89"/>
      <c r="AP36" s="89"/>
      <c r="AQ36" s="89"/>
      <c r="AR36" s="89"/>
      <c r="AS36" s="89"/>
      <c r="AT36" s="89"/>
      <c r="AU36" s="89"/>
      <c r="AV36" s="89"/>
    </row>
    <row r="37" ht="14.25" customHeight="1">
      <c r="A37" s="34">
        <v>20.0</v>
      </c>
      <c r="B37" s="64" t="s">
        <v>104</v>
      </c>
      <c r="C37" s="101">
        <v>1.0</v>
      </c>
      <c r="D37" s="102" t="s">
        <v>63</v>
      </c>
      <c r="E37" s="101" t="s">
        <v>105</v>
      </c>
      <c r="F37" s="97"/>
      <c r="G37" s="103">
        <v>0.4</v>
      </c>
      <c r="H37" s="104">
        <v>17.0</v>
      </c>
      <c r="I37" s="104"/>
      <c r="J37" s="104"/>
      <c r="K37" s="104">
        <v>17.0</v>
      </c>
      <c r="L37" s="105">
        <v>17.0</v>
      </c>
      <c r="M37" s="105">
        <v>17.0</v>
      </c>
      <c r="N37" s="104">
        <v>17.0</v>
      </c>
      <c r="O37" s="104">
        <v>17.0</v>
      </c>
      <c r="P37" s="104"/>
      <c r="Q37" s="104"/>
      <c r="R37" s="104">
        <v>17.0</v>
      </c>
      <c r="S37" s="105">
        <v>17.0</v>
      </c>
      <c r="T37" s="105">
        <v>17.0</v>
      </c>
      <c r="U37" s="104">
        <v>17.0</v>
      </c>
      <c r="V37" s="104">
        <v>17.0</v>
      </c>
      <c r="W37" s="104"/>
      <c r="X37" s="104"/>
      <c r="Y37" s="104">
        <v>17.0</v>
      </c>
      <c r="Z37" s="105">
        <v>17.0</v>
      </c>
      <c r="AA37" s="105">
        <v>17.0</v>
      </c>
      <c r="AB37" s="104">
        <v>17.0</v>
      </c>
      <c r="AC37" s="104">
        <v>17.0</v>
      </c>
      <c r="AD37" s="104"/>
      <c r="AE37" s="104"/>
      <c r="AF37" s="106">
        <v>17.0</v>
      </c>
      <c r="AG37" s="107">
        <v>17.0</v>
      </c>
      <c r="AH37" s="107">
        <v>17.0</v>
      </c>
      <c r="AI37" s="106">
        <v>17.0</v>
      </c>
      <c r="AJ37" s="106">
        <v>17.0</v>
      </c>
      <c r="AK37" s="106"/>
      <c r="AL37" s="31">
        <f t="shared" si="6"/>
        <v>21</v>
      </c>
      <c r="AM37" s="51">
        <f t="shared" si="7"/>
        <v>357</v>
      </c>
    </row>
    <row r="38" ht="14.25" customHeight="1">
      <c r="A38" s="24">
        <v>21.0</v>
      </c>
      <c r="B38" s="67" t="s">
        <v>104</v>
      </c>
      <c r="C38" s="108">
        <v>1.0</v>
      </c>
      <c r="D38" s="100" t="s">
        <v>108</v>
      </c>
      <c r="E38" s="26" t="s">
        <v>105</v>
      </c>
      <c r="F38" s="109"/>
      <c r="G38" s="103">
        <v>0.4</v>
      </c>
      <c r="H38" s="29">
        <v>17.0</v>
      </c>
      <c r="I38" s="29">
        <v>17.0</v>
      </c>
      <c r="J38" s="29">
        <v>17.0</v>
      </c>
      <c r="K38" s="29"/>
      <c r="L38" s="30">
        <v>17.0</v>
      </c>
      <c r="M38" s="30">
        <v>17.0</v>
      </c>
      <c r="N38" s="29">
        <v>17.0</v>
      </c>
      <c r="O38" s="29">
        <v>17.0</v>
      </c>
      <c r="P38" s="29"/>
      <c r="Q38" s="29">
        <v>17.0</v>
      </c>
      <c r="R38" s="29">
        <v>17.0</v>
      </c>
      <c r="S38" s="30">
        <v>17.0</v>
      </c>
      <c r="T38" s="30">
        <v>17.0</v>
      </c>
      <c r="U38" s="29">
        <v>17.0</v>
      </c>
      <c r="V38" s="29">
        <v>17.0</v>
      </c>
      <c r="W38" s="29"/>
      <c r="X38" s="29"/>
      <c r="Y38" s="29"/>
      <c r="Z38" s="30"/>
      <c r="AA38" s="30"/>
      <c r="AB38" s="29"/>
      <c r="AC38" s="29"/>
      <c r="AD38" s="29"/>
      <c r="AE38" s="29"/>
      <c r="AF38" s="24"/>
      <c r="AG38" s="110"/>
      <c r="AH38" s="110"/>
      <c r="AI38" s="24"/>
      <c r="AJ38" s="24"/>
      <c r="AK38" s="24"/>
      <c r="AL38" s="111">
        <f t="shared" si="6"/>
        <v>13</v>
      </c>
      <c r="AM38" s="113">
        <f t="shared" si="7"/>
        <v>221</v>
      </c>
      <c r="AN38" s="115"/>
      <c r="AO38" s="115"/>
      <c r="AP38" s="115"/>
      <c r="AQ38" s="115"/>
      <c r="AR38" s="115"/>
      <c r="AS38" s="115"/>
      <c r="AT38" s="115"/>
      <c r="AU38" s="115"/>
      <c r="AV38" s="115"/>
    </row>
    <row r="39" ht="17.25" customHeight="1">
      <c r="A39" s="34">
        <v>22.0</v>
      </c>
      <c r="B39" s="36" t="s">
        <v>109</v>
      </c>
      <c r="C39" s="65">
        <v>1.0</v>
      </c>
      <c r="D39" s="117" t="s">
        <v>110</v>
      </c>
      <c r="E39" s="27" t="s">
        <v>111</v>
      </c>
      <c r="F39" s="65">
        <v>12.0</v>
      </c>
      <c r="G39" s="118" t="s">
        <v>26</v>
      </c>
      <c r="H39" s="29">
        <v>12.0</v>
      </c>
      <c r="I39" s="29">
        <v>12.0</v>
      </c>
      <c r="J39" s="29">
        <v>12.0</v>
      </c>
      <c r="K39" s="29">
        <v>6.0</v>
      </c>
      <c r="L39" s="30">
        <v>12.0</v>
      </c>
      <c r="M39" s="30">
        <v>12.0</v>
      </c>
      <c r="N39" s="29">
        <v>12.0</v>
      </c>
      <c r="O39" s="29">
        <v>12.0</v>
      </c>
      <c r="P39" s="29">
        <v>12.0</v>
      </c>
      <c r="Q39" s="29">
        <v>12.0</v>
      </c>
      <c r="R39" s="29">
        <v>12.0</v>
      </c>
      <c r="S39" s="30">
        <v>12.0</v>
      </c>
      <c r="T39" s="30">
        <v>12.0</v>
      </c>
      <c r="U39" s="29">
        <v>12.0</v>
      </c>
      <c r="V39" s="29">
        <v>12.0</v>
      </c>
      <c r="W39" s="29">
        <v>6.0</v>
      </c>
      <c r="X39" s="29">
        <v>12.0</v>
      </c>
      <c r="Y39" s="29">
        <v>12.0</v>
      </c>
      <c r="Z39" s="30">
        <v>12.0</v>
      </c>
      <c r="AA39" s="30">
        <v>12.0</v>
      </c>
      <c r="AB39" s="29">
        <v>12.0</v>
      </c>
      <c r="AC39" s="29">
        <v>12.0</v>
      </c>
      <c r="AD39" s="29">
        <v>12.0</v>
      </c>
      <c r="AE39" s="29">
        <v>12.0</v>
      </c>
      <c r="AF39" s="29">
        <v>12.0</v>
      </c>
      <c r="AG39" s="30">
        <v>12.0</v>
      </c>
      <c r="AH39" s="30">
        <v>12.0</v>
      </c>
      <c r="AI39" s="29">
        <v>12.0</v>
      </c>
      <c r="AJ39" s="29">
        <v>12.0</v>
      </c>
      <c r="AK39" s="29">
        <v>6.0</v>
      </c>
      <c r="AL39" s="31">
        <f t="shared" si="6"/>
        <v>30</v>
      </c>
      <c r="AM39" s="51">
        <f t="shared" si="7"/>
        <v>342</v>
      </c>
    </row>
    <row r="40" ht="17.25" customHeight="1">
      <c r="A40" s="34">
        <v>23.0</v>
      </c>
      <c r="B40" s="35" t="s">
        <v>112</v>
      </c>
      <c r="C40" s="65">
        <v>1.0</v>
      </c>
      <c r="D40" s="90" t="s">
        <v>113</v>
      </c>
      <c r="E40" s="27" t="s">
        <v>111</v>
      </c>
      <c r="F40" s="65">
        <v>12.0</v>
      </c>
      <c r="G40" s="118" t="s">
        <v>26</v>
      </c>
      <c r="H40" s="29">
        <v>12.0</v>
      </c>
      <c r="I40" s="29">
        <v>12.0</v>
      </c>
      <c r="J40" s="29"/>
      <c r="K40" s="29">
        <v>12.0</v>
      </c>
      <c r="L40" s="30"/>
      <c r="M40" s="30">
        <v>12.0</v>
      </c>
      <c r="N40" s="29">
        <v>12.0</v>
      </c>
      <c r="O40" s="29">
        <v>12.0</v>
      </c>
      <c r="P40" s="29"/>
      <c r="Q40" s="29">
        <v>12.0</v>
      </c>
      <c r="R40" s="29">
        <v>12.0</v>
      </c>
      <c r="S40" s="30">
        <v>12.0</v>
      </c>
      <c r="T40" s="30">
        <v>12.0</v>
      </c>
      <c r="U40" s="29"/>
      <c r="V40" s="29">
        <v>12.0</v>
      </c>
      <c r="W40" s="29">
        <v>12.0</v>
      </c>
      <c r="X40" s="29"/>
      <c r="Y40" s="29"/>
      <c r="Z40" s="30">
        <v>12.0</v>
      </c>
      <c r="AA40" s="30"/>
      <c r="AB40" s="99">
        <v>12.0</v>
      </c>
      <c r="AC40" s="99">
        <v>12.0</v>
      </c>
      <c r="AD40" s="29">
        <v>12.0</v>
      </c>
      <c r="AE40" s="29"/>
      <c r="AF40" s="29"/>
      <c r="AG40" s="30"/>
      <c r="AH40" s="30"/>
      <c r="AI40" s="29">
        <v>12.0</v>
      </c>
      <c r="AJ40" s="29">
        <v>12.0</v>
      </c>
      <c r="AK40" s="29"/>
      <c r="AL40" s="31">
        <f t="shared" si="6"/>
        <v>18</v>
      </c>
      <c r="AM40" s="51">
        <f t="shared" si="7"/>
        <v>216</v>
      </c>
    </row>
    <row r="41" ht="20.25" customHeight="1">
      <c r="A41" s="34">
        <v>24.0</v>
      </c>
      <c r="B41" s="35" t="s">
        <v>112</v>
      </c>
      <c r="C41" s="65">
        <v>1.0</v>
      </c>
      <c r="D41" s="90" t="s">
        <v>116</v>
      </c>
      <c r="E41" s="27" t="s">
        <v>73</v>
      </c>
      <c r="F41" s="27">
        <v>12.0</v>
      </c>
      <c r="G41" s="123" t="s">
        <v>26</v>
      </c>
      <c r="H41" s="60">
        <v>12.0</v>
      </c>
      <c r="I41" s="60"/>
      <c r="J41" s="60">
        <v>12.0</v>
      </c>
      <c r="K41" s="60"/>
      <c r="L41" s="60">
        <v>12.0</v>
      </c>
      <c r="M41" s="60">
        <v>12.0</v>
      </c>
      <c r="N41" s="60">
        <v>12.0</v>
      </c>
      <c r="O41" s="60">
        <v>12.0</v>
      </c>
      <c r="P41" s="60">
        <v>12.0</v>
      </c>
      <c r="Q41" s="60"/>
      <c r="R41" s="60"/>
      <c r="S41" s="60"/>
      <c r="T41" s="60">
        <v>12.0</v>
      </c>
      <c r="U41" s="60">
        <v>12.0</v>
      </c>
      <c r="V41" s="60"/>
      <c r="W41" s="60"/>
      <c r="X41" s="60">
        <v>12.0</v>
      </c>
      <c r="Y41" s="29">
        <v>12.0</v>
      </c>
      <c r="Z41" s="30">
        <v>12.0</v>
      </c>
      <c r="AA41" s="30">
        <v>12.0</v>
      </c>
      <c r="AB41" s="29"/>
      <c r="AC41" s="29"/>
      <c r="AD41" s="29"/>
      <c r="AE41" s="29">
        <v>12.0</v>
      </c>
      <c r="AF41" s="29">
        <v>12.0</v>
      </c>
      <c r="AG41" s="30">
        <v>12.0</v>
      </c>
      <c r="AH41" s="30">
        <v>12.0</v>
      </c>
      <c r="AI41" s="29">
        <v>12.0</v>
      </c>
      <c r="AJ41" s="29">
        <v>12.0</v>
      </c>
      <c r="AK41" s="29"/>
      <c r="AL41" s="31">
        <f t="shared" si="6"/>
        <v>19</v>
      </c>
      <c r="AM41" s="51">
        <f t="shared" si="7"/>
        <v>228</v>
      </c>
      <c r="AN41" s="33" t="s">
        <v>119</v>
      </c>
      <c r="AT41" s="89"/>
      <c r="AU41" s="89"/>
      <c r="AV41" s="89"/>
    </row>
    <row r="42" ht="20.25" customHeight="1">
      <c r="A42" s="124"/>
      <c r="B42" s="74" t="s">
        <v>112</v>
      </c>
      <c r="C42" s="125">
        <v>1.0</v>
      </c>
      <c r="D42" s="126" t="s">
        <v>77</v>
      </c>
      <c r="E42" s="75" t="s">
        <v>120</v>
      </c>
      <c r="F42" s="27">
        <v>12.0</v>
      </c>
      <c r="G42" s="123"/>
      <c r="H42" s="29"/>
      <c r="I42" s="29"/>
      <c r="J42" s="29"/>
      <c r="K42" s="29"/>
      <c r="L42" s="30"/>
      <c r="M42" s="30"/>
      <c r="N42" s="29"/>
      <c r="O42" s="29"/>
      <c r="P42" s="29"/>
      <c r="Q42" s="29"/>
      <c r="R42" s="29"/>
      <c r="S42" s="30"/>
      <c r="T42" s="30"/>
      <c r="U42" s="29"/>
      <c r="V42" s="29"/>
      <c r="W42" s="29"/>
      <c r="X42" s="29"/>
      <c r="Y42" s="29"/>
      <c r="Z42" s="30"/>
      <c r="AA42" s="30"/>
      <c r="AB42" s="29"/>
      <c r="AC42" s="29">
        <v>12.0</v>
      </c>
      <c r="AD42" s="29"/>
      <c r="AE42" s="29">
        <v>12.0</v>
      </c>
      <c r="AF42" s="29"/>
      <c r="AG42" s="30"/>
      <c r="AH42" s="30"/>
      <c r="AI42" s="29"/>
      <c r="AJ42" s="29"/>
      <c r="AK42" s="29"/>
      <c r="AL42" s="31">
        <f t="shared" si="6"/>
        <v>2</v>
      </c>
      <c r="AM42" s="51">
        <f t="shared" si="7"/>
        <v>24</v>
      </c>
      <c r="AN42" s="127"/>
      <c r="AO42" s="127"/>
      <c r="AP42" s="127"/>
      <c r="AQ42" s="127"/>
      <c r="AR42" s="89"/>
      <c r="AS42" s="89"/>
      <c r="AT42" s="89"/>
      <c r="AU42" s="89"/>
      <c r="AV42" s="89"/>
    </row>
    <row r="43" ht="25.5" customHeight="1">
      <c r="A43" s="124">
        <v>25.0</v>
      </c>
      <c r="B43" s="128" t="s">
        <v>123</v>
      </c>
      <c r="C43" s="129">
        <v>1.0</v>
      </c>
      <c r="D43" s="130" t="s">
        <v>124</v>
      </c>
      <c r="E43" s="129" t="s">
        <v>125</v>
      </c>
      <c r="F43" s="121">
        <v>12.0</v>
      </c>
      <c r="G43" s="131"/>
      <c r="H43" s="29"/>
      <c r="I43" s="29"/>
      <c r="J43" s="29"/>
      <c r="K43" s="29"/>
      <c r="L43" s="30"/>
      <c r="M43" s="30"/>
      <c r="N43" s="29"/>
      <c r="O43" s="29"/>
      <c r="P43" s="29"/>
      <c r="Q43" s="29"/>
      <c r="R43" s="29"/>
      <c r="S43" s="30"/>
      <c r="T43" s="30"/>
      <c r="U43" s="29"/>
      <c r="V43" s="29"/>
      <c r="W43" s="29"/>
      <c r="X43" s="29"/>
      <c r="Y43" s="29"/>
      <c r="Z43" s="132"/>
      <c r="AA43" s="132"/>
      <c r="AB43" s="29"/>
      <c r="AC43" s="29"/>
      <c r="AD43" s="29"/>
      <c r="AE43" s="29"/>
      <c r="AF43" s="29"/>
      <c r="AG43" s="30"/>
      <c r="AH43" s="30"/>
      <c r="AI43" s="29"/>
      <c r="AJ43" s="29"/>
      <c r="AK43" s="29"/>
      <c r="AL43" s="31">
        <f t="shared" si="6"/>
        <v>0</v>
      </c>
      <c r="AM43" s="51">
        <f t="shared" si="7"/>
        <v>0</v>
      </c>
      <c r="AO43" s="89"/>
      <c r="AP43" s="89"/>
      <c r="AQ43" s="89"/>
      <c r="AR43" s="89"/>
      <c r="AS43" s="89"/>
      <c r="AT43" s="89"/>
      <c r="AU43" s="89"/>
      <c r="AV43" s="89"/>
    </row>
    <row r="44" ht="21.75" customHeight="1">
      <c r="A44" s="17"/>
      <c r="B44" s="17"/>
      <c r="C44" s="17"/>
      <c r="D44" s="17"/>
      <c r="E44" s="121" t="s">
        <v>127</v>
      </c>
      <c r="F44" s="121">
        <v>12.0</v>
      </c>
      <c r="G44" s="131"/>
      <c r="H44" s="29"/>
      <c r="I44" s="29"/>
      <c r="J44" s="29"/>
      <c r="K44" s="29"/>
      <c r="L44" s="30"/>
      <c r="M44" s="30"/>
      <c r="N44" s="29"/>
      <c r="O44" s="29"/>
      <c r="P44" s="29"/>
      <c r="Q44" s="29"/>
      <c r="R44" s="29"/>
      <c r="S44" s="30"/>
      <c r="T44" s="30"/>
      <c r="U44" s="29"/>
      <c r="V44" s="29"/>
      <c r="W44" s="29"/>
      <c r="X44" s="29"/>
      <c r="Y44" s="29"/>
      <c r="Z44" s="30"/>
      <c r="AA44" s="30"/>
      <c r="AB44" s="29"/>
      <c r="AC44" s="29"/>
      <c r="AD44" s="29"/>
      <c r="AE44" s="29"/>
      <c r="AF44" s="29"/>
      <c r="AG44" s="30"/>
      <c r="AH44" s="30"/>
      <c r="AI44" s="29"/>
      <c r="AJ44" s="29"/>
      <c r="AK44" s="29"/>
      <c r="AL44" s="31">
        <f t="shared" si="6"/>
        <v>0</v>
      </c>
      <c r="AM44" s="51">
        <f t="shared" si="7"/>
        <v>0</v>
      </c>
      <c r="AO44" s="89"/>
      <c r="AP44" s="89"/>
      <c r="AQ44" s="89"/>
      <c r="AR44" s="89"/>
      <c r="AS44" s="89"/>
      <c r="AT44" s="89"/>
      <c r="AU44" s="89"/>
      <c r="AV44" s="89"/>
    </row>
    <row r="45" ht="19.5" customHeight="1">
      <c r="A45" s="34">
        <v>26.0</v>
      </c>
      <c r="B45" s="35" t="s">
        <v>130</v>
      </c>
      <c r="C45" s="135">
        <v>1.0</v>
      </c>
      <c r="D45" s="35" t="s">
        <v>132</v>
      </c>
      <c r="E45" s="27" t="s">
        <v>133</v>
      </c>
      <c r="F45" s="135">
        <v>12.0</v>
      </c>
      <c r="G45" s="47" t="s">
        <v>65</v>
      </c>
      <c r="H45" s="29">
        <v>12.0</v>
      </c>
      <c r="I45" s="29">
        <v>12.0</v>
      </c>
      <c r="J45" s="29">
        <v>12.0</v>
      </c>
      <c r="K45" s="29">
        <v>12.0</v>
      </c>
      <c r="L45" s="30">
        <v>12.0</v>
      </c>
      <c r="M45" s="30">
        <v>12.0</v>
      </c>
      <c r="N45" s="29">
        <v>12.0</v>
      </c>
      <c r="O45" s="29">
        <v>12.0</v>
      </c>
      <c r="P45" s="29">
        <v>12.0</v>
      </c>
      <c r="Q45" s="29">
        <v>12.0</v>
      </c>
      <c r="R45" s="29">
        <v>12.0</v>
      </c>
      <c r="S45" s="30">
        <v>12.0</v>
      </c>
      <c r="T45" s="30">
        <v>12.0</v>
      </c>
      <c r="U45" s="29">
        <v>12.0</v>
      </c>
      <c r="V45" s="29">
        <v>12.0</v>
      </c>
      <c r="W45" s="29"/>
      <c r="X45" s="29"/>
      <c r="Y45" s="29"/>
      <c r="Z45" s="30"/>
      <c r="AA45" s="30"/>
      <c r="AB45" s="29"/>
      <c r="AC45" s="29"/>
      <c r="AD45" s="29"/>
      <c r="AE45" s="29"/>
      <c r="AF45" s="29"/>
      <c r="AG45" s="30"/>
      <c r="AH45" s="30"/>
      <c r="AI45" s="29"/>
      <c r="AJ45" s="29"/>
      <c r="AK45" s="29"/>
      <c r="AL45" s="31">
        <f t="shared" si="6"/>
        <v>15</v>
      </c>
      <c r="AM45" s="51">
        <f t="shared" si="7"/>
        <v>180</v>
      </c>
      <c r="AO45" s="89"/>
      <c r="AP45" s="89"/>
      <c r="AQ45" s="89"/>
      <c r="AR45" s="89"/>
      <c r="AS45" s="89"/>
      <c r="AT45" s="89"/>
      <c r="AU45" s="89"/>
      <c r="AV45" s="89"/>
    </row>
    <row r="46" ht="18.75" customHeight="1">
      <c r="A46" s="34">
        <v>27.0</v>
      </c>
      <c r="B46" s="35" t="s">
        <v>130</v>
      </c>
      <c r="C46" s="27">
        <v>1.0</v>
      </c>
      <c r="D46" s="35" t="s">
        <v>132</v>
      </c>
      <c r="E46" s="27" t="s">
        <v>133</v>
      </c>
      <c r="F46" s="27">
        <v>12.0</v>
      </c>
      <c r="G46" s="123" t="s">
        <v>26</v>
      </c>
      <c r="H46" s="29"/>
      <c r="I46" s="29"/>
      <c r="J46" s="29"/>
      <c r="K46" s="29"/>
      <c r="L46" s="30"/>
      <c r="M46" s="30">
        <v>12.0</v>
      </c>
      <c r="N46" s="29">
        <v>12.0</v>
      </c>
      <c r="O46" s="29"/>
      <c r="P46" s="29"/>
      <c r="Q46" s="29"/>
      <c r="R46" s="29"/>
      <c r="S46" s="30"/>
      <c r="T46" s="30"/>
      <c r="U46" s="29"/>
      <c r="V46" s="29"/>
      <c r="W46" s="29">
        <v>12.0</v>
      </c>
      <c r="X46" s="29">
        <v>12.0</v>
      </c>
      <c r="Y46" s="29">
        <v>12.0</v>
      </c>
      <c r="Z46" s="30">
        <v>12.0</v>
      </c>
      <c r="AA46" s="30">
        <v>12.0</v>
      </c>
      <c r="AB46" s="29">
        <v>12.0</v>
      </c>
      <c r="AC46" s="29">
        <v>12.0</v>
      </c>
      <c r="AD46" s="29">
        <v>12.0</v>
      </c>
      <c r="AE46" s="29">
        <v>12.0</v>
      </c>
      <c r="AF46" s="29">
        <v>12.0</v>
      </c>
      <c r="AG46" s="30">
        <v>12.0</v>
      </c>
      <c r="AH46" s="30">
        <v>12.0</v>
      </c>
      <c r="AI46" s="29">
        <v>12.0</v>
      </c>
      <c r="AJ46" s="29">
        <v>12.0</v>
      </c>
      <c r="AK46" s="29">
        <v>12.0</v>
      </c>
      <c r="AL46" s="31">
        <f t="shared" si="6"/>
        <v>17</v>
      </c>
      <c r="AM46" s="51">
        <f t="shared" si="7"/>
        <v>204</v>
      </c>
      <c r="AN46" s="73" t="s">
        <v>79</v>
      </c>
    </row>
    <row r="47" ht="19.5" customHeight="1">
      <c r="A47" s="34">
        <v>28.0</v>
      </c>
      <c r="B47" s="35" t="s">
        <v>136</v>
      </c>
      <c r="C47" s="27">
        <v>1.0</v>
      </c>
      <c r="D47" s="117" t="s">
        <v>137</v>
      </c>
      <c r="E47" s="26" t="s">
        <v>138</v>
      </c>
      <c r="F47" s="26">
        <v>12.0</v>
      </c>
      <c r="G47" s="28" t="s">
        <v>26</v>
      </c>
      <c r="H47" s="29">
        <v>11.0</v>
      </c>
      <c r="I47" s="29">
        <v>11.0</v>
      </c>
      <c r="J47" s="29">
        <v>11.0</v>
      </c>
      <c r="K47" s="29"/>
      <c r="L47" s="30">
        <v>11.0</v>
      </c>
      <c r="M47" s="30">
        <v>11.0</v>
      </c>
      <c r="N47" s="29">
        <v>11.0</v>
      </c>
      <c r="O47" s="29">
        <v>11.0</v>
      </c>
      <c r="P47" s="29"/>
      <c r="Q47" s="29">
        <v>11.0</v>
      </c>
      <c r="R47" s="29">
        <v>11.0</v>
      </c>
      <c r="S47" s="30">
        <v>11.0</v>
      </c>
      <c r="T47" s="30">
        <v>6.0</v>
      </c>
      <c r="U47" s="29">
        <v>11.0</v>
      </c>
      <c r="V47" s="29"/>
      <c r="W47" s="29">
        <v>6.0</v>
      </c>
      <c r="X47" s="29">
        <v>11.0</v>
      </c>
      <c r="Y47" s="29">
        <v>11.0</v>
      </c>
      <c r="Z47" s="30">
        <v>11.0</v>
      </c>
      <c r="AA47" s="30">
        <v>11.0</v>
      </c>
      <c r="AB47" s="29">
        <v>11.0</v>
      </c>
      <c r="AC47" s="29"/>
      <c r="AD47" s="29">
        <v>11.0</v>
      </c>
      <c r="AE47" s="29">
        <v>11.0</v>
      </c>
      <c r="AF47" s="29">
        <v>11.0</v>
      </c>
      <c r="AG47" s="30">
        <v>11.0</v>
      </c>
      <c r="AH47" s="30">
        <v>11.0</v>
      </c>
      <c r="AI47" s="29"/>
      <c r="AJ47" s="29">
        <v>11.0</v>
      </c>
      <c r="AK47" s="29">
        <v>6.0</v>
      </c>
      <c r="AL47" s="31">
        <f t="shared" si="6"/>
        <v>25</v>
      </c>
      <c r="AM47" s="51">
        <f t="shared" si="7"/>
        <v>260</v>
      </c>
    </row>
    <row r="48" ht="14.25" customHeight="1">
      <c r="A48" s="21"/>
      <c r="B48" s="20" t="s">
        <v>140</v>
      </c>
      <c r="C48" s="21"/>
      <c r="D48" s="20" t="s">
        <v>140</v>
      </c>
      <c r="E48" s="21"/>
      <c r="F48" s="21"/>
      <c r="G48" s="21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3"/>
      <c r="AM48" s="45"/>
    </row>
    <row r="49" ht="14.25" customHeight="1">
      <c r="A49" s="34">
        <v>29.0</v>
      </c>
      <c r="B49" s="35" t="s">
        <v>140</v>
      </c>
      <c r="C49" s="27">
        <v>1.0</v>
      </c>
      <c r="D49" s="117" t="s">
        <v>143</v>
      </c>
      <c r="E49" s="139" t="s">
        <v>51</v>
      </c>
      <c r="F49" s="139">
        <v>24.0</v>
      </c>
      <c r="G49" s="28" t="s">
        <v>85</v>
      </c>
      <c r="H49" s="29"/>
      <c r="I49" s="29"/>
      <c r="J49" s="29">
        <v>24.0</v>
      </c>
      <c r="K49" s="29"/>
      <c r="L49" s="30"/>
      <c r="M49" s="30"/>
      <c r="N49" s="29">
        <v>24.0</v>
      </c>
      <c r="O49" s="29"/>
      <c r="P49" s="29"/>
      <c r="Q49" s="29">
        <v>24.0</v>
      </c>
      <c r="R49" s="29"/>
      <c r="S49" s="30"/>
      <c r="T49" s="30">
        <v>24.0</v>
      </c>
      <c r="U49" s="29"/>
      <c r="V49" s="29"/>
      <c r="W49" s="29">
        <v>24.0</v>
      </c>
      <c r="X49" s="29"/>
      <c r="Y49" s="29"/>
      <c r="Z49" s="30"/>
      <c r="AA49" s="30"/>
      <c r="AB49" s="29"/>
      <c r="AC49" s="29">
        <v>24.0</v>
      </c>
      <c r="AD49" s="29"/>
      <c r="AE49" s="29"/>
      <c r="AF49" s="29">
        <v>24.0</v>
      </c>
      <c r="AG49" s="30"/>
      <c r="AH49" s="30"/>
      <c r="AI49" s="29">
        <v>24.0</v>
      </c>
      <c r="AJ49" s="29"/>
      <c r="AK49" s="29"/>
      <c r="AL49" s="31">
        <f t="shared" ref="AL49:AL51" si="8">COUNTA(H49:AK49)</f>
        <v>8</v>
      </c>
      <c r="AM49" s="51">
        <f t="shared" ref="AM49:AM51" si="9">SUM(H49:AK49)</f>
        <v>192</v>
      </c>
      <c r="AN49" s="73" t="s">
        <v>147</v>
      </c>
    </row>
    <row r="50" ht="14.25" customHeight="1">
      <c r="A50" s="24">
        <v>30.0</v>
      </c>
      <c r="B50" s="35" t="s">
        <v>140</v>
      </c>
      <c r="C50" s="27">
        <v>1.0</v>
      </c>
      <c r="D50" s="117" t="s">
        <v>137</v>
      </c>
      <c r="E50" s="139" t="s">
        <v>51</v>
      </c>
      <c r="F50" s="139">
        <v>24.0</v>
      </c>
      <c r="G50" s="28" t="s">
        <v>85</v>
      </c>
      <c r="H50" s="29">
        <v>24.0</v>
      </c>
      <c r="I50" s="29"/>
      <c r="J50" s="29"/>
      <c r="K50" s="29">
        <v>24.0</v>
      </c>
      <c r="L50" s="30"/>
      <c r="M50" s="30">
        <v>24.0</v>
      </c>
      <c r="N50" s="29"/>
      <c r="O50" s="29"/>
      <c r="P50" s="29">
        <v>24.0</v>
      </c>
      <c r="Q50" s="29"/>
      <c r="R50" s="29"/>
      <c r="S50" s="30">
        <v>24.0</v>
      </c>
      <c r="T50" s="30"/>
      <c r="U50" s="29"/>
      <c r="V50" s="29">
        <v>24.0</v>
      </c>
      <c r="W50" s="29"/>
      <c r="X50" s="29"/>
      <c r="Y50" s="29">
        <v>24.0</v>
      </c>
      <c r="Z50" s="30">
        <v>24.0</v>
      </c>
      <c r="AA50" s="30"/>
      <c r="AB50" s="29">
        <v>24.0</v>
      </c>
      <c r="AC50" s="29"/>
      <c r="AD50" s="29"/>
      <c r="AE50" s="29">
        <v>24.0</v>
      </c>
      <c r="AF50" s="29"/>
      <c r="AG50" s="30"/>
      <c r="AH50" s="30">
        <v>24.0</v>
      </c>
      <c r="AI50" s="29"/>
      <c r="AJ50" s="29"/>
      <c r="AK50" s="29">
        <v>24.0</v>
      </c>
      <c r="AL50" s="31">
        <f t="shared" si="8"/>
        <v>12</v>
      </c>
      <c r="AM50" s="51">
        <f t="shared" si="9"/>
        <v>288</v>
      </c>
    </row>
    <row r="51" ht="14.25" customHeight="1">
      <c r="A51" s="24">
        <v>31.0</v>
      </c>
      <c r="B51" s="35" t="s">
        <v>140</v>
      </c>
      <c r="C51" s="27">
        <v>1.0</v>
      </c>
      <c r="D51" s="117" t="s">
        <v>150</v>
      </c>
      <c r="E51" s="139" t="s">
        <v>51</v>
      </c>
      <c r="F51" s="139">
        <v>24.0</v>
      </c>
      <c r="G51" s="28" t="s">
        <v>85</v>
      </c>
      <c r="H51" s="29"/>
      <c r="I51" s="29">
        <v>24.0</v>
      </c>
      <c r="J51" s="29"/>
      <c r="K51" s="29"/>
      <c r="L51" s="30">
        <v>24.0</v>
      </c>
      <c r="M51" s="30"/>
      <c r="N51" s="29"/>
      <c r="O51" s="29">
        <v>24.0</v>
      </c>
      <c r="P51" s="29"/>
      <c r="Q51" s="29"/>
      <c r="R51" s="29">
        <v>24.0</v>
      </c>
      <c r="S51" s="30"/>
      <c r="T51" s="30"/>
      <c r="U51" s="29">
        <v>24.0</v>
      </c>
      <c r="V51" s="29"/>
      <c r="W51" s="29"/>
      <c r="X51" s="29">
        <v>24.0</v>
      </c>
      <c r="Y51" s="29"/>
      <c r="Z51" s="30"/>
      <c r="AA51" s="30">
        <v>24.0</v>
      </c>
      <c r="AB51" s="29"/>
      <c r="AC51" s="29"/>
      <c r="AD51" s="29">
        <v>24.0</v>
      </c>
      <c r="AE51" s="29"/>
      <c r="AF51" s="29"/>
      <c r="AG51" s="30">
        <v>24.0</v>
      </c>
      <c r="AH51" s="30"/>
      <c r="AI51" s="29"/>
      <c r="AJ51" s="29">
        <v>24.0</v>
      </c>
      <c r="AK51" s="29"/>
      <c r="AL51" s="31">
        <f t="shared" si="8"/>
        <v>10</v>
      </c>
      <c r="AM51" s="51">
        <f t="shared" si="9"/>
        <v>240</v>
      </c>
    </row>
    <row r="52" ht="14.25" customHeight="1">
      <c r="A52" s="142"/>
      <c r="B52" s="143" t="s">
        <v>151</v>
      </c>
      <c r="C52" s="144">
        <v>33.0</v>
      </c>
      <c r="D52" s="143" t="s">
        <v>152</v>
      </c>
      <c r="E52" s="144"/>
      <c r="F52" s="144"/>
      <c r="G52" s="144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40"/>
      <c r="AM52" s="45"/>
    </row>
    <row r="53" ht="14.25" customHeight="1">
      <c r="A53" s="142"/>
      <c r="B53" s="146" t="s">
        <v>154</v>
      </c>
      <c r="C53" s="147"/>
      <c r="D53" s="147"/>
      <c r="E53" s="147"/>
      <c r="F53" s="147"/>
      <c r="G53" s="148"/>
      <c r="H53" s="145" t="s">
        <v>155</v>
      </c>
      <c r="I53" s="145" t="s">
        <v>155</v>
      </c>
      <c r="J53" s="145" t="s">
        <v>155</v>
      </c>
      <c r="K53" s="145" t="s">
        <v>155</v>
      </c>
      <c r="L53" s="145" t="s">
        <v>155</v>
      </c>
      <c r="M53" s="145" t="s">
        <v>155</v>
      </c>
      <c r="N53" s="145" t="s">
        <v>155</v>
      </c>
      <c r="O53" s="145" t="s">
        <v>155</v>
      </c>
      <c r="P53" s="145" t="s">
        <v>155</v>
      </c>
      <c r="Q53" s="145" t="s">
        <v>155</v>
      </c>
      <c r="R53" s="145" t="s">
        <v>155</v>
      </c>
      <c r="S53" s="145" t="s">
        <v>155</v>
      </c>
      <c r="T53" s="145" t="s">
        <v>155</v>
      </c>
      <c r="U53" s="145" t="s">
        <v>155</v>
      </c>
      <c r="V53" s="145" t="s">
        <v>155</v>
      </c>
      <c r="W53" s="145" t="s">
        <v>155</v>
      </c>
      <c r="X53" s="145" t="s">
        <v>155</v>
      </c>
      <c r="Y53" s="145" t="s">
        <v>155</v>
      </c>
      <c r="Z53" s="145" t="s">
        <v>155</v>
      </c>
      <c r="AA53" s="145" t="s">
        <v>155</v>
      </c>
      <c r="AB53" s="145" t="s">
        <v>155</v>
      </c>
      <c r="AC53" s="145"/>
      <c r="AD53" s="145"/>
      <c r="AE53" s="145" t="s">
        <v>155</v>
      </c>
      <c r="AF53" s="145" t="s">
        <v>155</v>
      </c>
      <c r="AG53" s="145" t="s">
        <v>155</v>
      </c>
      <c r="AH53" s="145" t="s">
        <v>155</v>
      </c>
      <c r="AI53" s="145"/>
      <c r="AJ53" s="145"/>
      <c r="AK53" s="145"/>
      <c r="AL53" s="40"/>
      <c r="AM53" s="45"/>
    </row>
    <row r="54" ht="14.25" customHeight="1">
      <c r="A54" s="142"/>
      <c r="B54" s="146" t="s">
        <v>156</v>
      </c>
      <c r="C54" s="147"/>
      <c r="D54" s="147"/>
      <c r="E54" s="147"/>
      <c r="F54" s="147"/>
      <c r="G54" s="148"/>
      <c r="H54" s="145">
        <f t="shared" ref="H54:AB54" si="10">COUNTA(#REF!,#REF!,#REF!,#REF!,#REF!)</f>
        <v>5</v>
      </c>
      <c r="I54" s="145">
        <f t="shared" si="10"/>
        <v>5</v>
      </c>
      <c r="J54" s="145">
        <f t="shared" si="10"/>
        <v>5</v>
      </c>
      <c r="K54" s="145">
        <f t="shared" si="10"/>
        <v>5</v>
      </c>
      <c r="L54" s="145">
        <f t="shared" si="10"/>
        <v>5</v>
      </c>
      <c r="M54" s="145">
        <f t="shared" si="10"/>
        <v>5</v>
      </c>
      <c r="N54" s="145">
        <f t="shared" si="10"/>
        <v>5</v>
      </c>
      <c r="O54" s="145">
        <f t="shared" si="10"/>
        <v>5</v>
      </c>
      <c r="P54" s="145">
        <f t="shared" si="10"/>
        <v>5</v>
      </c>
      <c r="Q54" s="145">
        <f t="shared" si="10"/>
        <v>5</v>
      </c>
      <c r="R54" s="145">
        <f t="shared" si="10"/>
        <v>5</v>
      </c>
      <c r="S54" s="145">
        <f t="shared" si="10"/>
        <v>5</v>
      </c>
      <c r="T54" s="145">
        <f t="shared" si="10"/>
        <v>5</v>
      </c>
      <c r="U54" s="145">
        <f t="shared" si="10"/>
        <v>5</v>
      </c>
      <c r="V54" s="145">
        <f t="shared" si="10"/>
        <v>5</v>
      </c>
      <c r="W54" s="145">
        <f t="shared" si="10"/>
        <v>5</v>
      </c>
      <c r="X54" s="145">
        <f t="shared" si="10"/>
        <v>5</v>
      </c>
      <c r="Y54" s="145">
        <f t="shared" si="10"/>
        <v>5</v>
      </c>
      <c r="Z54" s="145">
        <f t="shared" si="10"/>
        <v>5</v>
      </c>
      <c r="AA54" s="145">
        <f t="shared" si="10"/>
        <v>5</v>
      </c>
      <c r="AB54" s="145">
        <f t="shared" si="10"/>
        <v>5</v>
      </c>
      <c r="AC54" s="145"/>
      <c r="AD54" s="145"/>
      <c r="AE54" s="145">
        <f t="shared" ref="AE54:AH54" si="11">COUNTA(#REF!,#REF!,#REF!,#REF!,#REF!)</f>
        <v>5</v>
      </c>
      <c r="AF54" s="145">
        <f t="shared" si="11"/>
        <v>5</v>
      </c>
      <c r="AG54" s="145">
        <f t="shared" si="11"/>
        <v>5</v>
      </c>
      <c r="AH54" s="145">
        <f t="shared" si="11"/>
        <v>5</v>
      </c>
      <c r="AI54" s="145"/>
      <c r="AJ54" s="145"/>
      <c r="AK54" s="145"/>
      <c r="AL54" s="40"/>
      <c r="AM54" s="45"/>
    </row>
    <row r="55" ht="14.25" customHeight="1">
      <c r="A55" s="142"/>
      <c r="B55" s="146" t="s">
        <v>157</v>
      </c>
      <c r="C55" s="147"/>
      <c r="D55" s="147"/>
      <c r="E55" s="147"/>
      <c r="F55" s="147"/>
      <c r="G55" s="148"/>
      <c r="H55" s="145">
        <f t="shared" ref="H55:AB55" si="12">COUNTA(#REF!,#REF!)</f>
        <v>2</v>
      </c>
      <c r="I55" s="145">
        <f t="shared" si="12"/>
        <v>2</v>
      </c>
      <c r="J55" s="145">
        <f t="shared" si="12"/>
        <v>2</v>
      </c>
      <c r="K55" s="145">
        <f t="shared" si="12"/>
        <v>2</v>
      </c>
      <c r="L55" s="145">
        <f t="shared" si="12"/>
        <v>2</v>
      </c>
      <c r="M55" s="145">
        <f t="shared" si="12"/>
        <v>2</v>
      </c>
      <c r="N55" s="145">
        <f t="shared" si="12"/>
        <v>2</v>
      </c>
      <c r="O55" s="145">
        <f t="shared" si="12"/>
        <v>2</v>
      </c>
      <c r="P55" s="145">
        <f t="shared" si="12"/>
        <v>2</v>
      </c>
      <c r="Q55" s="145">
        <f t="shared" si="12"/>
        <v>2</v>
      </c>
      <c r="R55" s="145">
        <f t="shared" si="12"/>
        <v>2</v>
      </c>
      <c r="S55" s="145">
        <f t="shared" si="12"/>
        <v>2</v>
      </c>
      <c r="T55" s="145">
        <f t="shared" si="12"/>
        <v>2</v>
      </c>
      <c r="U55" s="145">
        <f t="shared" si="12"/>
        <v>2</v>
      </c>
      <c r="V55" s="145">
        <f t="shared" si="12"/>
        <v>2</v>
      </c>
      <c r="W55" s="145">
        <f t="shared" si="12"/>
        <v>2</v>
      </c>
      <c r="X55" s="145">
        <f t="shared" si="12"/>
        <v>2</v>
      </c>
      <c r="Y55" s="145">
        <f t="shared" si="12"/>
        <v>2</v>
      </c>
      <c r="Z55" s="145">
        <f t="shared" si="12"/>
        <v>2</v>
      </c>
      <c r="AA55" s="145">
        <f t="shared" si="12"/>
        <v>2</v>
      </c>
      <c r="AB55" s="145">
        <f t="shared" si="12"/>
        <v>2</v>
      </c>
      <c r="AC55" s="145"/>
      <c r="AD55" s="145"/>
      <c r="AE55" s="145">
        <f t="shared" ref="AE55:AH55" si="13">COUNTA(#REF!,#REF!)</f>
        <v>2</v>
      </c>
      <c r="AF55" s="145">
        <f t="shared" si="13"/>
        <v>2</v>
      </c>
      <c r="AG55" s="145">
        <f t="shared" si="13"/>
        <v>2</v>
      </c>
      <c r="AH55" s="145">
        <f t="shared" si="13"/>
        <v>2</v>
      </c>
      <c r="AI55" s="145"/>
      <c r="AJ55" s="145"/>
      <c r="AK55" s="145"/>
      <c r="AL55" s="40"/>
      <c r="AM55" s="45"/>
    </row>
    <row r="56" ht="14.25" customHeight="1">
      <c r="A56" s="2"/>
      <c r="B56" s="3"/>
      <c r="C56" s="2"/>
      <c r="D56" s="2"/>
      <c r="E56" s="2"/>
      <c r="F56" s="2"/>
      <c r="G56" s="4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1"/>
      <c r="AM56" s="11"/>
    </row>
    <row r="57" ht="14.25" customHeight="1">
      <c r="A57" s="152"/>
      <c r="B57" s="153"/>
      <c r="C57" s="154"/>
      <c r="D57" s="155" t="s">
        <v>159</v>
      </c>
      <c r="E57" s="155"/>
      <c r="F57" s="155"/>
      <c r="G57" s="156"/>
      <c r="H57" s="49">
        <f t="shared" ref="H57:AB57" si="14">COUNTA(H10,H11:H16,#REF!,H29:H30,H48,H28:H46,#REF!)</f>
        <v>15</v>
      </c>
      <c r="I57" s="49">
        <f t="shared" si="14"/>
        <v>14</v>
      </c>
      <c r="J57" s="49">
        <f t="shared" si="14"/>
        <v>12</v>
      </c>
      <c r="K57" s="49">
        <f t="shared" si="14"/>
        <v>16</v>
      </c>
      <c r="L57" s="49">
        <f t="shared" si="14"/>
        <v>16</v>
      </c>
      <c r="M57" s="49">
        <f t="shared" si="14"/>
        <v>14</v>
      </c>
      <c r="N57" s="49">
        <f t="shared" si="14"/>
        <v>13</v>
      </c>
      <c r="O57" s="49">
        <f t="shared" si="14"/>
        <v>15</v>
      </c>
      <c r="P57" s="49">
        <f t="shared" si="14"/>
        <v>12</v>
      </c>
      <c r="Q57" s="49">
        <f t="shared" si="14"/>
        <v>12</v>
      </c>
      <c r="R57" s="49">
        <f t="shared" si="14"/>
        <v>14</v>
      </c>
      <c r="S57" s="49">
        <f t="shared" si="14"/>
        <v>15</v>
      </c>
      <c r="T57" s="49">
        <f t="shared" si="14"/>
        <v>11</v>
      </c>
      <c r="U57" s="49">
        <f t="shared" si="14"/>
        <v>10</v>
      </c>
      <c r="V57" s="49">
        <f t="shared" si="14"/>
        <v>14</v>
      </c>
      <c r="W57" s="49">
        <f t="shared" si="14"/>
        <v>11</v>
      </c>
      <c r="X57" s="49">
        <f t="shared" si="14"/>
        <v>10</v>
      </c>
      <c r="Y57" s="49">
        <f t="shared" si="14"/>
        <v>14</v>
      </c>
      <c r="Z57" s="49">
        <f t="shared" si="14"/>
        <v>15</v>
      </c>
      <c r="AA57" s="49">
        <f t="shared" si="14"/>
        <v>10</v>
      </c>
      <c r="AB57" s="49">
        <f t="shared" si="14"/>
        <v>9</v>
      </c>
      <c r="AC57" s="49"/>
      <c r="AD57" s="49"/>
      <c r="AE57" s="49">
        <f t="shared" ref="AE57:AH57" si="15">COUNTA(AE10,AE11:AE16,#REF!,AE29:AE30,AE48,AE28:AE46,#REF!)</f>
        <v>13</v>
      </c>
      <c r="AF57" s="49">
        <f t="shared" si="15"/>
        <v>14</v>
      </c>
      <c r="AG57" s="49">
        <f t="shared" si="15"/>
        <v>14</v>
      </c>
      <c r="AH57" s="49">
        <f t="shared" si="15"/>
        <v>14</v>
      </c>
      <c r="AI57" s="49"/>
      <c r="AJ57" s="49"/>
      <c r="AK57" s="49"/>
      <c r="AL57" s="157">
        <f t="shared" ref="AL57:AL60" si="18">SUM(H57:AH57)</f>
        <v>327</v>
      </c>
      <c r="AM57" s="158">
        <v>250.0</v>
      </c>
    </row>
    <row r="58" ht="14.25" customHeight="1">
      <c r="A58" s="159"/>
      <c r="B58" s="160"/>
      <c r="C58" s="161"/>
      <c r="D58" s="162" t="s">
        <v>160</v>
      </c>
      <c r="E58" s="162"/>
      <c r="F58" s="162"/>
      <c r="G58" s="163"/>
      <c r="H58" s="164">
        <f t="shared" ref="H58:AB58" si="16">COUNTA(H10,#REF!,#REF!,H16,H28:H46,H29:H48)</f>
        <v>18</v>
      </c>
      <c r="I58" s="164">
        <f t="shared" si="16"/>
        <v>16</v>
      </c>
      <c r="J58" s="164">
        <f t="shared" si="16"/>
        <v>16</v>
      </c>
      <c r="K58" s="164">
        <f t="shared" si="16"/>
        <v>17</v>
      </c>
      <c r="L58" s="164">
        <f t="shared" si="16"/>
        <v>18</v>
      </c>
      <c r="M58" s="164">
        <f t="shared" si="16"/>
        <v>23</v>
      </c>
      <c r="N58" s="164">
        <f t="shared" si="16"/>
        <v>21</v>
      </c>
      <c r="O58" s="164">
        <f t="shared" si="16"/>
        <v>20</v>
      </c>
      <c r="P58" s="164">
        <f t="shared" si="16"/>
        <v>13</v>
      </c>
      <c r="Q58" s="164">
        <f t="shared" si="16"/>
        <v>16</v>
      </c>
      <c r="R58" s="164">
        <f t="shared" si="16"/>
        <v>18</v>
      </c>
      <c r="S58" s="164">
        <f t="shared" si="16"/>
        <v>18</v>
      </c>
      <c r="T58" s="164">
        <f t="shared" si="16"/>
        <v>19</v>
      </c>
      <c r="U58" s="164">
        <f t="shared" si="16"/>
        <v>17</v>
      </c>
      <c r="V58" s="164">
        <f t="shared" si="16"/>
        <v>15</v>
      </c>
      <c r="W58" s="164">
        <f t="shared" si="16"/>
        <v>14</v>
      </c>
      <c r="X58" s="164">
        <f t="shared" si="16"/>
        <v>12</v>
      </c>
      <c r="Y58" s="164">
        <f t="shared" si="16"/>
        <v>16</v>
      </c>
      <c r="Z58" s="164">
        <f t="shared" si="16"/>
        <v>20</v>
      </c>
      <c r="AA58" s="164">
        <f t="shared" si="16"/>
        <v>17</v>
      </c>
      <c r="AB58" s="164">
        <f t="shared" si="16"/>
        <v>15</v>
      </c>
      <c r="AC58" s="164"/>
      <c r="AD58" s="164"/>
      <c r="AE58" s="164">
        <f t="shared" ref="AE58:AH58" si="17">COUNTA(AE10,#REF!,#REF!,AE16,AE28:AE46,AE29:AE48)</f>
        <v>18</v>
      </c>
      <c r="AF58" s="164">
        <f t="shared" si="17"/>
        <v>18</v>
      </c>
      <c r="AG58" s="164">
        <f t="shared" si="17"/>
        <v>16</v>
      </c>
      <c r="AH58" s="164">
        <f t="shared" si="17"/>
        <v>18</v>
      </c>
      <c r="AI58" s="164"/>
      <c r="AJ58" s="164"/>
      <c r="AK58" s="164"/>
      <c r="AL58" s="165">
        <f t="shared" si="18"/>
        <v>429</v>
      </c>
      <c r="AM58" s="158"/>
    </row>
    <row r="59" ht="14.25" customHeight="1">
      <c r="A59" s="166"/>
      <c r="B59" s="167"/>
      <c r="C59" s="168"/>
      <c r="D59" s="169" t="s">
        <v>161</v>
      </c>
      <c r="E59" s="169"/>
      <c r="F59" s="169"/>
      <c r="G59" s="170"/>
      <c r="H59" s="171">
        <f t="shared" ref="H59:AB59" si="19">COUNTA(H28:H46,#REF!,H48:H49)</f>
        <v>8</v>
      </c>
      <c r="I59" s="171">
        <f t="shared" si="19"/>
        <v>7</v>
      </c>
      <c r="J59" s="171">
        <f t="shared" si="19"/>
        <v>8</v>
      </c>
      <c r="K59" s="171">
        <f t="shared" si="19"/>
        <v>8</v>
      </c>
      <c r="L59" s="171">
        <f t="shared" si="19"/>
        <v>8</v>
      </c>
      <c r="M59" s="171">
        <f t="shared" si="19"/>
        <v>11</v>
      </c>
      <c r="N59" s="171">
        <f t="shared" si="19"/>
        <v>11</v>
      </c>
      <c r="O59" s="171">
        <f t="shared" si="19"/>
        <v>9</v>
      </c>
      <c r="P59" s="171">
        <f t="shared" si="19"/>
        <v>6</v>
      </c>
      <c r="Q59" s="171">
        <f t="shared" si="19"/>
        <v>8</v>
      </c>
      <c r="R59" s="171">
        <f t="shared" si="19"/>
        <v>8</v>
      </c>
      <c r="S59" s="171">
        <f t="shared" si="19"/>
        <v>8</v>
      </c>
      <c r="T59" s="171">
        <f t="shared" si="19"/>
        <v>10</v>
      </c>
      <c r="U59" s="171">
        <f t="shared" si="19"/>
        <v>8</v>
      </c>
      <c r="V59" s="171">
        <f t="shared" si="19"/>
        <v>7</v>
      </c>
      <c r="W59" s="171">
        <f t="shared" si="19"/>
        <v>7</v>
      </c>
      <c r="X59" s="171">
        <f t="shared" si="19"/>
        <v>5</v>
      </c>
      <c r="Y59" s="171">
        <f t="shared" si="19"/>
        <v>7</v>
      </c>
      <c r="Z59" s="171">
        <f t="shared" si="19"/>
        <v>9</v>
      </c>
      <c r="AA59" s="171">
        <f t="shared" si="19"/>
        <v>8</v>
      </c>
      <c r="AB59" s="171">
        <f t="shared" si="19"/>
        <v>7</v>
      </c>
      <c r="AC59" s="171"/>
      <c r="AD59" s="171"/>
      <c r="AE59" s="171">
        <f t="shared" ref="AE59:AH59" si="20">COUNTA(AE28:AE46,#REF!,AE48:AE49)</f>
        <v>8</v>
      </c>
      <c r="AF59" s="171">
        <f t="shared" si="20"/>
        <v>9</v>
      </c>
      <c r="AG59" s="171">
        <f t="shared" si="20"/>
        <v>7</v>
      </c>
      <c r="AH59" s="171">
        <f t="shared" si="20"/>
        <v>8</v>
      </c>
      <c r="AI59" s="171"/>
      <c r="AJ59" s="171"/>
      <c r="AK59" s="171"/>
      <c r="AL59" s="172">
        <f t="shared" si="18"/>
        <v>200</v>
      </c>
      <c r="AM59" s="173">
        <f>AM57*AL61</f>
        <v>264000</v>
      </c>
    </row>
    <row r="60" ht="14.25" customHeight="1">
      <c r="A60" s="174"/>
      <c r="B60" s="175"/>
      <c r="C60" s="176"/>
      <c r="D60" s="177" t="s">
        <v>162</v>
      </c>
      <c r="E60" s="177"/>
      <c r="F60" s="177"/>
      <c r="G60" s="178"/>
      <c r="H60" s="179">
        <f t="shared" ref="H60:AB60" si="21">COUNTA(#REF!,#REF!,#REF!,#REF!)</f>
        <v>4</v>
      </c>
      <c r="I60" s="179">
        <f t="shared" si="21"/>
        <v>4</v>
      </c>
      <c r="J60" s="179">
        <f t="shared" si="21"/>
        <v>4</v>
      </c>
      <c r="K60" s="179">
        <f t="shared" si="21"/>
        <v>4</v>
      </c>
      <c r="L60" s="179">
        <f t="shared" si="21"/>
        <v>4</v>
      </c>
      <c r="M60" s="179">
        <f t="shared" si="21"/>
        <v>4</v>
      </c>
      <c r="N60" s="179">
        <f t="shared" si="21"/>
        <v>4</v>
      </c>
      <c r="O60" s="179">
        <f t="shared" si="21"/>
        <v>4</v>
      </c>
      <c r="P60" s="179">
        <f t="shared" si="21"/>
        <v>4</v>
      </c>
      <c r="Q60" s="179">
        <f t="shared" si="21"/>
        <v>4</v>
      </c>
      <c r="R60" s="179">
        <f t="shared" si="21"/>
        <v>4</v>
      </c>
      <c r="S60" s="179">
        <f t="shared" si="21"/>
        <v>4</v>
      </c>
      <c r="T60" s="179">
        <f t="shared" si="21"/>
        <v>4</v>
      </c>
      <c r="U60" s="179">
        <f t="shared" si="21"/>
        <v>4</v>
      </c>
      <c r="V60" s="179">
        <f t="shared" si="21"/>
        <v>4</v>
      </c>
      <c r="W60" s="179">
        <f t="shared" si="21"/>
        <v>4</v>
      </c>
      <c r="X60" s="179">
        <f t="shared" si="21"/>
        <v>4</v>
      </c>
      <c r="Y60" s="179">
        <f t="shared" si="21"/>
        <v>4</v>
      </c>
      <c r="Z60" s="179">
        <f t="shared" si="21"/>
        <v>4</v>
      </c>
      <c r="AA60" s="179">
        <f t="shared" si="21"/>
        <v>4</v>
      </c>
      <c r="AB60" s="179">
        <f t="shared" si="21"/>
        <v>4</v>
      </c>
      <c r="AC60" s="179"/>
      <c r="AD60" s="179"/>
      <c r="AE60" s="179">
        <f t="shared" ref="AE60:AH60" si="22">COUNTA(#REF!,#REF!,#REF!,#REF!)</f>
        <v>4</v>
      </c>
      <c r="AF60" s="179">
        <f t="shared" si="22"/>
        <v>4</v>
      </c>
      <c r="AG60" s="179">
        <f t="shared" si="22"/>
        <v>4</v>
      </c>
      <c r="AH60" s="179">
        <f t="shared" si="22"/>
        <v>4</v>
      </c>
      <c r="AI60" s="179"/>
      <c r="AJ60" s="179"/>
      <c r="AK60" s="179"/>
      <c r="AL60" s="179">
        <f t="shared" si="18"/>
        <v>100</v>
      </c>
      <c r="AM60" s="180"/>
    </row>
    <row r="61" ht="14.25" customHeight="1">
      <c r="A61" s="146" t="s">
        <v>163</v>
      </c>
      <c r="B61" s="147"/>
      <c r="C61" s="147"/>
      <c r="D61" s="147"/>
      <c r="E61" s="147"/>
      <c r="F61" s="147"/>
      <c r="G61" s="148"/>
      <c r="H61" s="145">
        <f t="shared" ref="H61:AB61" si="23">SUM(H57:H60)</f>
        <v>45</v>
      </c>
      <c r="I61" s="145">
        <f t="shared" si="23"/>
        <v>41</v>
      </c>
      <c r="J61" s="145">
        <f t="shared" si="23"/>
        <v>40</v>
      </c>
      <c r="K61" s="145">
        <f t="shared" si="23"/>
        <v>45</v>
      </c>
      <c r="L61" s="145">
        <f t="shared" si="23"/>
        <v>46</v>
      </c>
      <c r="M61" s="145">
        <f t="shared" si="23"/>
        <v>52</v>
      </c>
      <c r="N61" s="145">
        <f t="shared" si="23"/>
        <v>49</v>
      </c>
      <c r="O61" s="145">
        <f t="shared" si="23"/>
        <v>48</v>
      </c>
      <c r="P61" s="145">
        <f t="shared" si="23"/>
        <v>35</v>
      </c>
      <c r="Q61" s="145">
        <f t="shared" si="23"/>
        <v>40</v>
      </c>
      <c r="R61" s="145">
        <f t="shared" si="23"/>
        <v>44</v>
      </c>
      <c r="S61" s="145">
        <f t="shared" si="23"/>
        <v>45</v>
      </c>
      <c r="T61" s="145">
        <f t="shared" si="23"/>
        <v>44</v>
      </c>
      <c r="U61" s="145">
        <f t="shared" si="23"/>
        <v>39</v>
      </c>
      <c r="V61" s="145">
        <f t="shared" si="23"/>
        <v>40</v>
      </c>
      <c r="W61" s="145">
        <f t="shared" si="23"/>
        <v>36</v>
      </c>
      <c r="X61" s="145">
        <f t="shared" si="23"/>
        <v>31</v>
      </c>
      <c r="Y61" s="145">
        <f t="shared" si="23"/>
        <v>41</v>
      </c>
      <c r="Z61" s="145">
        <f t="shared" si="23"/>
        <v>48</v>
      </c>
      <c r="AA61" s="145">
        <f t="shared" si="23"/>
        <v>39</v>
      </c>
      <c r="AB61" s="145">
        <f t="shared" si="23"/>
        <v>35</v>
      </c>
      <c r="AC61" s="145"/>
      <c r="AD61" s="145"/>
      <c r="AE61" s="145">
        <f t="shared" ref="AE61:AH61" si="24">SUM(AE57:AE60)</f>
        <v>43</v>
      </c>
      <c r="AF61" s="145">
        <f t="shared" si="24"/>
        <v>45</v>
      </c>
      <c r="AG61" s="145">
        <f t="shared" si="24"/>
        <v>41</v>
      </c>
      <c r="AH61" s="145">
        <f t="shared" si="24"/>
        <v>44</v>
      </c>
      <c r="AI61" s="145"/>
      <c r="AJ61" s="145"/>
      <c r="AK61" s="145"/>
      <c r="AL61" s="145">
        <f>SUM(AL57:AL60)</f>
        <v>1056</v>
      </c>
      <c r="AM61" s="181"/>
    </row>
    <row r="62" ht="14.25" customHeight="1">
      <c r="A62" s="2"/>
      <c r="B62" s="182" t="s">
        <v>164</v>
      </c>
      <c r="C62" s="182"/>
      <c r="D62" s="182"/>
      <c r="E62" s="182"/>
      <c r="F62" s="182"/>
      <c r="G62" s="4"/>
      <c r="H62" s="4"/>
      <c r="I62" s="4"/>
      <c r="J62" s="4"/>
      <c r="K62" s="4"/>
      <c r="L62" s="4"/>
      <c r="M62" s="4"/>
      <c r="N62" s="4"/>
      <c r="O62" s="4"/>
      <c r="P62" s="5"/>
      <c r="Q62" s="5"/>
      <c r="R62" s="4"/>
      <c r="S62" s="4"/>
      <c r="T62" s="4"/>
      <c r="U62" s="4"/>
      <c r="V62" s="5"/>
      <c r="W62" s="5"/>
      <c r="X62" s="5"/>
      <c r="Y62" s="4"/>
      <c r="Z62" s="4"/>
      <c r="AA62" s="4"/>
      <c r="AB62" s="4"/>
      <c r="AC62" s="4"/>
      <c r="AD62" s="4"/>
      <c r="AE62" s="5"/>
      <c r="AF62" s="5"/>
      <c r="AG62" s="5"/>
      <c r="AH62" s="5"/>
      <c r="AI62" s="5"/>
      <c r="AJ62" s="5"/>
      <c r="AK62" s="5"/>
      <c r="AL62" s="2"/>
      <c r="AM62" s="183"/>
    </row>
    <row r="63" ht="14.25" customHeight="1">
      <c r="A63" s="2"/>
      <c r="B63" s="182" t="s">
        <v>165</v>
      </c>
      <c r="C63" s="2"/>
      <c r="D63" s="2"/>
      <c r="E63" s="2"/>
      <c r="F63" s="2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11"/>
      <c r="AM63" s="2"/>
    </row>
    <row r="64" ht="14.25" customHeight="1">
      <c r="A64" s="2"/>
      <c r="B64" s="182" t="s">
        <v>166</v>
      </c>
      <c r="C64" s="184"/>
      <c r="D64" s="184"/>
      <c r="E64" s="2"/>
      <c r="F64" s="2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11"/>
      <c r="AM64" s="2"/>
    </row>
    <row r="65" ht="14.25" customHeight="1">
      <c r="A65" s="2"/>
      <c r="B65" s="182"/>
      <c r="C65" s="184"/>
      <c r="D65" s="184"/>
      <c r="E65" s="4" t="s">
        <v>167</v>
      </c>
      <c r="H65" s="5"/>
      <c r="I65" s="5"/>
      <c r="J65" s="5"/>
      <c r="K65" s="5"/>
      <c r="L65" s="5" t="s">
        <v>168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11"/>
      <c r="AM65" s="2"/>
    </row>
    <row r="66" ht="14.25" customHeight="1">
      <c r="A66" s="2"/>
      <c r="B66" s="3"/>
      <c r="C66" s="2"/>
      <c r="D66" s="2"/>
      <c r="E66" s="2"/>
      <c r="F66" s="2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11"/>
      <c r="AM66" s="11"/>
    </row>
    <row r="67" ht="14.25" customHeight="1">
      <c r="A67" s="2"/>
      <c r="B67" s="3"/>
      <c r="C67" s="2"/>
      <c r="D67" s="2"/>
      <c r="E67" s="4" t="s">
        <v>169</v>
      </c>
      <c r="H67" s="5"/>
      <c r="I67" s="5"/>
      <c r="J67" s="5"/>
      <c r="K67" s="5"/>
      <c r="L67" s="5"/>
      <c r="M67" s="5"/>
      <c r="N67" s="5"/>
      <c r="O67" s="5" t="s">
        <v>170</v>
      </c>
      <c r="P67" s="5"/>
      <c r="Q67" s="5"/>
      <c r="R67" s="5" t="s">
        <v>171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11"/>
      <c r="AM67" s="11"/>
    </row>
    <row r="68" ht="14.25" customHeight="1">
      <c r="A68" s="2"/>
      <c r="B68" s="3"/>
      <c r="C68" s="2"/>
      <c r="D68" s="2"/>
      <c r="E68" s="2"/>
      <c r="F68" s="2"/>
      <c r="G68" s="185"/>
      <c r="H68" s="5"/>
      <c r="I68" s="5"/>
      <c r="J68" s="5"/>
      <c r="K68" s="5"/>
      <c r="L68" s="5"/>
      <c r="M68" s="5"/>
      <c r="N68" s="5"/>
      <c r="O68" s="5"/>
      <c r="P68" s="5"/>
      <c r="Q68" s="5"/>
      <c r="R68" s="4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11"/>
      <c r="AM68" s="11"/>
    </row>
    <row r="69" ht="30.75" customHeight="1">
      <c r="A69" s="2"/>
      <c r="B69" s="3"/>
      <c r="C69" s="2"/>
      <c r="D69" s="2"/>
      <c r="E69" s="185" t="s">
        <v>172</v>
      </c>
      <c r="H69" s="5"/>
      <c r="I69" s="5"/>
      <c r="J69" s="5"/>
      <c r="K69" s="5"/>
      <c r="L69" s="5"/>
      <c r="M69" s="5"/>
      <c r="N69" s="5"/>
      <c r="O69" s="5" t="s">
        <v>170</v>
      </c>
      <c r="P69" s="5"/>
      <c r="Q69" s="5"/>
      <c r="R69" s="5" t="s">
        <v>171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11"/>
      <c r="AM69" s="11"/>
    </row>
    <row r="70" ht="14.25" customHeight="1">
      <c r="A70" s="11"/>
      <c r="B70" s="3"/>
      <c r="C70" s="2"/>
      <c r="D70" s="186"/>
      <c r="E70" s="2"/>
      <c r="F70" s="2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11"/>
      <c r="AM70" s="11"/>
    </row>
    <row r="71" ht="14.25" customHeight="1">
      <c r="G71" s="187"/>
    </row>
    <row r="72" ht="14.25" customHeight="1">
      <c r="G72" s="187"/>
    </row>
    <row r="73" ht="14.25" customHeight="1">
      <c r="G73" s="187"/>
    </row>
    <row r="74" ht="14.25" customHeight="1">
      <c r="G74" s="187"/>
    </row>
    <row r="75" ht="15.75" customHeight="1">
      <c r="G75" s="187"/>
    </row>
    <row r="76" ht="14.25" customHeight="1">
      <c r="G76" s="187"/>
    </row>
    <row r="77" ht="14.25" customHeight="1">
      <c r="G77" s="187"/>
    </row>
    <row r="78" ht="14.25" customHeight="1">
      <c r="G78" s="187"/>
    </row>
    <row r="79" ht="14.25" customHeight="1">
      <c r="G79" s="187"/>
    </row>
    <row r="80" ht="14.25" customHeight="1">
      <c r="G80" s="187"/>
    </row>
    <row r="81" ht="14.25" customHeight="1">
      <c r="G81" s="187"/>
    </row>
    <row r="82" ht="14.25" customHeight="1">
      <c r="G82" s="187"/>
    </row>
    <row r="83" ht="14.25" customHeight="1">
      <c r="G83" s="187"/>
    </row>
    <row r="84" ht="14.25" customHeight="1">
      <c r="G84" s="187"/>
    </row>
    <row r="85" ht="14.25" customHeight="1">
      <c r="G85" s="187"/>
    </row>
    <row r="86" ht="14.25" customHeight="1">
      <c r="G86" s="187"/>
    </row>
    <row r="87" ht="14.25" customHeight="1">
      <c r="G87" s="187"/>
    </row>
    <row r="88" ht="14.25" customHeight="1">
      <c r="G88" s="187"/>
    </row>
    <row r="89" ht="14.25" customHeight="1">
      <c r="G89" s="187"/>
    </row>
    <row r="90" ht="14.25" customHeight="1">
      <c r="G90" s="187"/>
    </row>
    <row r="91" ht="14.25" customHeight="1">
      <c r="G91" s="187"/>
    </row>
    <row r="92" ht="14.25" customHeight="1">
      <c r="G92" s="187"/>
    </row>
    <row r="93" ht="14.25" customHeight="1">
      <c r="G93" s="187"/>
    </row>
    <row r="94" ht="14.25" customHeight="1">
      <c r="G94" s="187"/>
    </row>
    <row r="95" ht="14.25" customHeight="1">
      <c r="G95" s="187"/>
    </row>
    <row r="96" ht="14.25" customHeight="1">
      <c r="G96" s="187"/>
    </row>
    <row r="97" ht="14.25" customHeight="1">
      <c r="G97" s="187"/>
    </row>
    <row r="98" ht="14.25" customHeight="1">
      <c r="G98" s="187"/>
    </row>
    <row r="99" ht="14.25" customHeight="1">
      <c r="G99" s="187"/>
    </row>
    <row r="100" ht="14.25" customHeight="1">
      <c r="G100" s="187"/>
    </row>
    <row r="101" ht="14.25" customHeight="1">
      <c r="G101" s="187"/>
    </row>
    <row r="102" ht="14.25" customHeight="1">
      <c r="G102" s="187"/>
    </row>
    <row r="103" ht="14.25" customHeight="1">
      <c r="G103" s="187"/>
    </row>
    <row r="104" ht="14.25" customHeight="1">
      <c r="G104" s="187"/>
    </row>
    <row r="105" ht="14.25" customHeight="1">
      <c r="G105" s="187"/>
    </row>
    <row r="106" ht="14.25" customHeight="1">
      <c r="G106" s="187"/>
    </row>
    <row r="107" ht="14.25" customHeight="1">
      <c r="G107" s="187"/>
    </row>
    <row r="108" ht="14.25" customHeight="1">
      <c r="G108" s="187"/>
    </row>
    <row r="109" ht="14.25" customHeight="1">
      <c r="G109" s="187"/>
    </row>
    <row r="110" ht="14.25" customHeight="1">
      <c r="G110" s="187"/>
    </row>
    <row r="111" ht="14.25" customHeight="1">
      <c r="G111" s="187"/>
    </row>
    <row r="112" ht="14.25" customHeight="1">
      <c r="G112" s="187"/>
    </row>
    <row r="113" ht="14.25" customHeight="1">
      <c r="G113" s="187"/>
    </row>
    <row r="114" ht="14.25" customHeight="1">
      <c r="G114" s="187"/>
    </row>
    <row r="115" ht="14.25" customHeight="1">
      <c r="G115" s="187"/>
    </row>
    <row r="116" ht="14.25" customHeight="1">
      <c r="G116" s="187"/>
    </row>
    <row r="117" ht="14.25" customHeight="1">
      <c r="G117" s="187"/>
    </row>
    <row r="118" ht="14.25" customHeight="1">
      <c r="G118" s="187"/>
    </row>
    <row r="119" ht="14.25" customHeight="1">
      <c r="G119" s="187"/>
    </row>
    <row r="120" ht="14.25" customHeight="1">
      <c r="G120" s="187"/>
    </row>
    <row r="121" ht="14.25" customHeight="1">
      <c r="G121" s="187"/>
    </row>
    <row r="122" ht="14.25" customHeight="1">
      <c r="G122" s="187"/>
    </row>
    <row r="123" ht="14.25" customHeight="1">
      <c r="G123" s="187"/>
    </row>
    <row r="124" ht="14.25" customHeight="1">
      <c r="G124" s="187"/>
    </row>
    <row r="125" ht="14.25" customHeight="1">
      <c r="G125" s="187"/>
    </row>
    <row r="126" ht="14.25" customHeight="1">
      <c r="G126" s="187"/>
    </row>
    <row r="127" ht="14.25" customHeight="1">
      <c r="G127" s="187"/>
    </row>
    <row r="128" ht="14.25" customHeight="1">
      <c r="G128" s="187"/>
    </row>
    <row r="129" ht="14.25" customHeight="1">
      <c r="G129" s="187"/>
    </row>
    <row r="130" ht="14.25" customHeight="1">
      <c r="G130" s="187"/>
    </row>
    <row r="131" ht="14.25" customHeight="1">
      <c r="G131" s="187"/>
    </row>
    <row r="132" ht="14.25" customHeight="1">
      <c r="G132" s="187"/>
    </row>
    <row r="133" ht="14.25" customHeight="1">
      <c r="G133" s="187"/>
    </row>
    <row r="134" ht="14.25" customHeight="1">
      <c r="G134" s="187"/>
    </row>
    <row r="135" ht="14.25" customHeight="1">
      <c r="G135" s="187"/>
    </row>
    <row r="136" ht="14.25" customHeight="1">
      <c r="G136" s="187"/>
    </row>
    <row r="137" ht="14.25" customHeight="1">
      <c r="G137" s="187"/>
    </row>
    <row r="138" ht="14.25" customHeight="1">
      <c r="G138" s="187"/>
    </row>
    <row r="139" ht="14.25" customHeight="1">
      <c r="G139" s="187"/>
    </row>
    <row r="140" ht="14.25" customHeight="1">
      <c r="G140" s="187"/>
    </row>
    <row r="141" ht="14.25" customHeight="1">
      <c r="G141" s="187"/>
    </row>
    <row r="142" ht="14.25" customHeight="1">
      <c r="G142" s="187"/>
    </row>
    <row r="143" ht="14.25" customHeight="1">
      <c r="G143" s="187"/>
    </row>
    <row r="144" ht="14.25" customHeight="1">
      <c r="G144" s="187"/>
    </row>
    <row r="145" ht="14.25" customHeight="1">
      <c r="G145" s="187"/>
    </row>
    <row r="146" ht="14.25" customHeight="1">
      <c r="G146" s="187"/>
    </row>
    <row r="147" ht="14.25" customHeight="1">
      <c r="G147" s="187"/>
    </row>
    <row r="148" ht="14.25" customHeight="1">
      <c r="G148" s="187"/>
    </row>
    <row r="149" ht="14.25" customHeight="1">
      <c r="G149" s="187"/>
    </row>
    <row r="150" ht="14.25" customHeight="1">
      <c r="G150" s="187"/>
    </row>
    <row r="151" ht="14.25" customHeight="1">
      <c r="G151" s="187"/>
    </row>
    <row r="152" ht="14.25" customHeight="1">
      <c r="G152" s="187"/>
    </row>
    <row r="153" ht="14.25" customHeight="1">
      <c r="G153" s="187"/>
    </row>
    <row r="154" ht="14.25" customHeight="1">
      <c r="G154" s="187"/>
    </row>
    <row r="155" ht="14.25" customHeight="1">
      <c r="G155" s="187"/>
    </row>
    <row r="156" ht="14.25" customHeight="1">
      <c r="G156" s="187"/>
    </row>
    <row r="157" ht="14.25" customHeight="1">
      <c r="G157" s="187"/>
    </row>
    <row r="158" ht="14.25" customHeight="1">
      <c r="G158" s="187"/>
    </row>
    <row r="159" ht="14.25" customHeight="1">
      <c r="G159" s="187"/>
    </row>
    <row r="160" ht="14.25" customHeight="1">
      <c r="G160" s="187"/>
    </row>
    <row r="161" ht="14.25" customHeight="1">
      <c r="G161" s="187"/>
    </row>
    <row r="162" ht="14.25" customHeight="1">
      <c r="G162" s="187"/>
    </row>
    <row r="163" ht="14.25" customHeight="1">
      <c r="G163" s="187"/>
    </row>
    <row r="164" ht="14.25" customHeight="1">
      <c r="G164" s="187"/>
    </row>
    <row r="165" ht="14.25" customHeight="1">
      <c r="G165" s="187"/>
    </row>
    <row r="166" ht="14.25" customHeight="1">
      <c r="G166" s="187"/>
    </row>
    <row r="167" ht="14.25" customHeight="1">
      <c r="G167" s="187"/>
    </row>
    <row r="168" ht="14.25" customHeight="1">
      <c r="G168" s="187"/>
    </row>
    <row r="169" ht="14.25" customHeight="1">
      <c r="G169" s="187"/>
    </row>
    <row r="170" ht="14.25" customHeight="1">
      <c r="G170" s="187"/>
    </row>
    <row r="171" ht="14.25" customHeight="1">
      <c r="G171" s="187"/>
    </row>
    <row r="172" ht="14.25" customHeight="1">
      <c r="G172" s="187"/>
    </row>
    <row r="173" ht="14.25" customHeight="1">
      <c r="G173" s="187"/>
    </row>
    <row r="174" ht="14.25" customHeight="1">
      <c r="G174" s="187"/>
    </row>
    <row r="175" ht="14.25" customHeight="1">
      <c r="G175" s="187"/>
    </row>
    <row r="176" ht="14.25" customHeight="1">
      <c r="G176" s="187"/>
    </row>
    <row r="177" ht="14.25" customHeight="1">
      <c r="G177" s="187"/>
    </row>
    <row r="178" ht="14.25" customHeight="1">
      <c r="G178" s="187"/>
    </row>
    <row r="179" ht="14.25" customHeight="1">
      <c r="G179" s="187"/>
    </row>
    <row r="180" ht="14.25" customHeight="1">
      <c r="G180" s="187"/>
    </row>
    <row r="181" ht="14.25" customHeight="1">
      <c r="G181" s="187"/>
    </row>
    <row r="182" ht="14.25" customHeight="1">
      <c r="G182" s="187"/>
    </row>
    <row r="183" ht="14.25" customHeight="1">
      <c r="G183" s="187"/>
    </row>
    <row r="184" ht="14.25" customHeight="1">
      <c r="G184" s="187"/>
    </row>
    <row r="185" ht="14.25" customHeight="1">
      <c r="G185" s="187"/>
    </row>
    <row r="186" ht="14.25" customHeight="1">
      <c r="G186" s="187"/>
    </row>
    <row r="187" ht="14.25" customHeight="1">
      <c r="G187" s="187"/>
    </row>
    <row r="188" ht="14.25" customHeight="1">
      <c r="G188" s="187"/>
    </row>
    <row r="189" ht="14.25" customHeight="1">
      <c r="G189" s="187"/>
    </row>
    <row r="190" ht="14.25" customHeight="1">
      <c r="G190" s="187"/>
    </row>
    <row r="191" ht="14.25" customHeight="1">
      <c r="G191" s="187"/>
    </row>
    <row r="192" ht="14.25" customHeight="1">
      <c r="G192" s="187"/>
    </row>
    <row r="193" ht="14.25" customHeight="1">
      <c r="G193" s="187"/>
    </row>
    <row r="194" ht="14.25" customHeight="1">
      <c r="G194" s="187"/>
    </row>
    <row r="195" ht="14.25" customHeight="1">
      <c r="G195" s="187"/>
    </row>
    <row r="196" ht="14.25" customHeight="1">
      <c r="G196" s="187"/>
    </row>
    <row r="197" ht="14.25" customHeight="1">
      <c r="G197" s="187"/>
    </row>
    <row r="198" ht="14.25" customHeight="1">
      <c r="G198" s="187"/>
    </row>
    <row r="199" ht="14.25" customHeight="1">
      <c r="G199" s="187"/>
    </row>
    <row r="200" ht="14.25" customHeight="1">
      <c r="G200" s="187"/>
    </row>
    <row r="201" ht="14.25" customHeight="1">
      <c r="G201" s="187"/>
    </row>
    <row r="202" ht="14.25" customHeight="1">
      <c r="G202" s="187"/>
    </row>
    <row r="203" ht="14.25" customHeight="1">
      <c r="G203" s="187"/>
    </row>
    <row r="204" ht="14.25" customHeight="1">
      <c r="G204" s="187"/>
    </row>
    <row r="205" ht="14.25" customHeight="1">
      <c r="G205" s="187"/>
    </row>
    <row r="206" ht="14.25" customHeight="1">
      <c r="G206" s="187"/>
    </row>
    <row r="207" ht="14.25" customHeight="1">
      <c r="G207" s="187"/>
    </row>
    <row r="208" ht="14.25" customHeight="1">
      <c r="G208" s="187"/>
    </row>
    <row r="209" ht="14.25" customHeight="1">
      <c r="G209" s="187"/>
    </row>
    <row r="210" ht="14.25" customHeight="1">
      <c r="G210" s="187"/>
    </row>
    <row r="211" ht="14.25" customHeight="1">
      <c r="G211" s="187"/>
    </row>
    <row r="212" ht="14.25" customHeight="1">
      <c r="G212" s="187"/>
    </row>
    <row r="213" ht="14.25" customHeight="1">
      <c r="G213" s="187"/>
    </row>
    <row r="214" ht="14.25" customHeight="1">
      <c r="G214" s="187"/>
    </row>
    <row r="215" ht="14.25" customHeight="1">
      <c r="G215" s="187"/>
    </row>
    <row r="216" ht="14.25" customHeight="1">
      <c r="G216" s="187"/>
    </row>
    <row r="217" ht="14.25" customHeight="1">
      <c r="G217" s="187"/>
    </row>
    <row r="218" ht="14.25" customHeight="1">
      <c r="G218" s="187"/>
    </row>
    <row r="219" ht="14.25" customHeight="1">
      <c r="G219" s="187"/>
    </row>
    <row r="220" ht="14.25" customHeight="1">
      <c r="G220" s="187"/>
    </row>
    <row r="221" ht="14.25" customHeight="1">
      <c r="G221" s="187"/>
    </row>
    <row r="222" ht="14.25" customHeight="1">
      <c r="G222" s="187"/>
    </row>
    <row r="223" ht="14.25" customHeight="1">
      <c r="G223" s="187"/>
    </row>
    <row r="224" ht="14.25" customHeight="1">
      <c r="G224" s="187"/>
    </row>
    <row r="225" ht="14.25" customHeight="1">
      <c r="G225" s="187"/>
    </row>
    <row r="226" ht="14.25" customHeight="1">
      <c r="G226" s="187"/>
    </row>
    <row r="227" ht="14.25" customHeight="1">
      <c r="G227" s="187"/>
    </row>
    <row r="228" ht="14.25" customHeight="1">
      <c r="G228" s="187"/>
    </row>
    <row r="229" ht="14.25" customHeight="1">
      <c r="G229" s="187"/>
    </row>
    <row r="230" ht="14.25" customHeight="1">
      <c r="G230" s="187"/>
    </row>
    <row r="231" ht="14.25" customHeight="1">
      <c r="G231" s="187"/>
    </row>
    <row r="232" ht="14.25" customHeight="1">
      <c r="G232" s="187"/>
    </row>
    <row r="233" ht="14.25" customHeight="1">
      <c r="G233" s="187"/>
    </row>
    <row r="234" ht="14.25" customHeight="1">
      <c r="G234" s="187"/>
    </row>
    <row r="235" ht="14.25" customHeight="1">
      <c r="G235" s="187"/>
    </row>
    <row r="236" ht="14.25" customHeight="1">
      <c r="G236" s="187"/>
    </row>
    <row r="237" ht="14.25" customHeight="1">
      <c r="G237" s="187"/>
    </row>
    <row r="238" ht="14.25" customHeight="1">
      <c r="G238" s="187"/>
    </row>
    <row r="239" ht="14.25" customHeight="1">
      <c r="G239" s="187"/>
    </row>
    <row r="240" ht="14.25" customHeight="1">
      <c r="G240" s="187"/>
    </row>
    <row r="241" ht="14.25" customHeight="1">
      <c r="G241" s="187"/>
    </row>
    <row r="242" ht="14.25" customHeight="1">
      <c r="G242" s="187"/>
    </row>
    <row r="243" ht="14.25" customHeight="1">
      <c r="G243" s="187"/>
    </row>
    <row r="244" ht="14.25" customHeight="1">
      <c r="G244" s="187"/>
    </row>
    <row r="245" ht="14.25" customHeight="1">
      <c r="G245" s="187"/>
    </row>
    <row r="246" ht="14.25" customHeight="1">
      <c r="G246" s="187"/>
    </row>
    <row r="247" ht="14.25" customHeight="1">
      <c r="G247" s="187"/>
    </row>
    <row r="248" ht="14.25" customHeight="1">
      <c r="G248" s="187"/>
    </row>
    <row r="249" ht="14.25" customHeight="1">
      <c r="G249" s="187"/>
    </row>
    <row r="250" ht="14.25" customHeight="1">
      <c r="G250" s="187"/>
    </row>
    <row r="251" ht="14.25" customHeight="1">
      <c r="G251" s="187"/>
    </row>
    <row r="252" ht="14.25" customHeight="1">
      <c r="G252" s="187"/>
    </row>
    <row r="253" ht="14.25" customHeight="1">
      <c r="G253" s="187"/>
    </row>
    <row r="254" ht="14.25" customHeight="1">
      <c r="G254" s="187"/>
    </row>
    <row r="255" ht="14.25" customHeight="1">
      <c r="G255" s="187"/>
    </row>
    <row r="256" ht="14.25" customHeight="1">
      <c r="G256" s="187"/>
    </row>
    <row r="257" ht="14.25" customHeight="1">
      <c r="G257" s="187"/>
    </row>
    <row r="258" ht="14.25" customHeight="1">
      <c r="G258" s="187"/>
    </row>
    <row r="259" ht="14.25" customHeight="1">
      <c r="G259" s="187"/>
    </row>
    <row r="260" ht="14.25" customHeight="1">
      <c r="G260" s="187"/>
    </row>
    <row r="261" ht="14.25" customHeight="1">
      <c r="G261" s="187"/>
    </row>
    <row r="262" ht="14.25" customHeight="1">
      <c r="G262" s="187"/>
    </row>
    <row r="263" ht="14.25" customHeight="1">
      <c r="G263" s="187"/>
    </row>
    <row r="264" ht="14.25" customHeight="1">
      <c r="G264" s="187"/>
    </row>
    <row r="265" ht="14.25" customHeight="1">
      <c r="G265" s="187"/>
    </row>
    <row r="266" ht="14.25" customHeight="1">
      <c r="G266" s="187"/>
    </row>
    <row r="267" ht="14.25" customHeight="1">
      <c r="G267" s="187"/>
    </row>
    <row r="268" ht="14.25" customHeight="1">
      <c r="G268" s="187"/>
    </row>
    <row r="269" ht="14.25" customHeight="1">
      <c r="G269" s="187"/>
    </row>
    <row r="270" ht="14.25" customHeight="1">
      <c r="G270" s="187"/>
    </row>
    <row r="271" ht="14.25" customHeight="1">
      <c r="G271" s="187"/>
    </row>
    <row r="272" ht="14.25" customHeight="1">
      <c r="G272" s="187"/>
    </row>
    <row r="273" ht="14.25" customHeight="1">
      <c r="G273" s="187"/>
    </row>
    <row r="274" ht="14.25" customHeight="1">
      <c r="G274" s="187"/>
    </row>
    <row r="275" ht="14.25" customHeight="1">
      <c r="G275" s="187"/>
    </row>
    <row r="276" ht="14.25" customHeight="1">
      <c r="G276" s="187"/>
    </row>
    <row r="277" ht="14.25" customHeight="1">
      <c r="G277" s="187"/>
    </row>
    <row r="278" ht="14.25" customHeight="1">
      <c r="G278" s="187"/>
    </row>
    <row r="279" ht="14.25" customHeight="1">
      <c r="G279" s="187"/>
    </row>
    <row r="280" ht="14.25" customHeight="1">
      <c r="G280" s="187"/>
    </row>
    <row r="281" ht="14.25" customHeight="1">
      <c r="G281" s="187"/>
    </row>
    <row r="282" ht="14.25" customHeight="1">
      <c r="G282" s="187"/>
    </row>
    <row r="283" ht="14.25" customHeight="1">
      <c r="G283" s="187"/>
    </row>
    <row r="284" ht="14.25" customHeight="1">
      <c r="G284" s="187"/>
    </row>
    <row r="285" ht="14.25" customHeight="1">
      <c r="G285" s="187"/>
    </row>
    <row r="286" ht="14.25" customHeight="1">
      <c r="G286" s="187"/>
    </row>
    <row r="287" ht="14.25" customHeight="1">
      <c r="G287" s="187"/>
    </row>
    <row r="288" ht="14.25" customHeight="1">
      <c r="G288" s="187"/>
    </row>
    <row r="289" ht="14.25" customHeight="1">
      <c r="G289" s="187"/>
    </row>
    <row r="290" ht="14.25" customHeight="1">
      <c r="G290" s="187"/>
    </row>
    <row r="291" ht="14.25" customHeight="1">
      <c r="G291" s="187"/>
    </row>
    <row r="292" ht="14.25" customHeight="1">
      <c r="G292" s="187"/>
    </row>
    <row r="293" ht="14.25" customHeight="1">
      <c r="G293" s="187"/>
    </row>
    <row r="294" ht="14.25" customHeight="1">
      <c r="G294" s="187"/>
    </row>
    <row r="295" ht="14.25" customHeight="1">
      <c r="G295" s="187"/>
    </row>
    <row r="296" ht="14.25" customHeight="1">
      <c r="G296" s="187"/>
    </row>
    <row r="297" ht="14.25" customHeight="1">
      <c r="G297" s="187"/>
    </row>
    <row r="298" ht="14.25" customHeight="1">
      <c r="G298" s="187"/>
    </row>
    <row r="299" ht="14.25" customHeight="1">
      <c r="G299" s="187"/>
    </row>
    <row r="300" ht="14.25" customHeight="1">
      <c r="G300" s="187"/>
    </row>
    <row r="301" ht="14.25" customHeight="1">
      <c r="G301" s="187"/>
    </row>
    <row r="302" ht="14.25" customHeight="1">
      <c r="G302" s="187"/>
    </row>
    <row r="303" ht="14.25" customHeight="1">
      <c r="G303" s="187"/>
    </row>
    <row r="304" ht="14.25" customHeight="1">
      <c r="G304" s="187"/>
    </row>
    <row r="305" ht="14.25" customHeight="1">
      <c r="G305" s="187"/>
    </row>
    <row r="306" ht="14.25" customHeight="1">
      <c r="G306" s="187"/>
    </row>
    <row r="307" ht="14.25" customHeight="1">
      <c r="G307" s="187"/>
    </row>
    <row r="308" ht="14.25" customHeight="1">
      <c r="G308" s="187"/>
    </row>
    <row r="309" ht="14.25" customHeight="1">
      <c r="G309" s="187"/>
    </row>
    <row r="310" ht="14.25" customHeight="1">
      <c r="G310" s="187"/>
    </row>
    <row r="311" ht="14.25" customHeight="1">
      <c r="G311" s="187"/>
    </row>
    <row r="312" ht="14.25" customHeight="1">
      <c r="G312" s="187"/>
    </row>
    <row r="313" ht="14.25" customHeight="1">
      <c r="G313" s="187"/>
    </row>
    <row r="314" ht="14.25" customHeight="1">
      <c r="G314" s="187"/>
    </row>
    <row r="315" ht="14.25" customHeight="1">
      <c r="G315" s="187"/>
    </row>
    <row r="316" ht="14.25" customHeight="1">
      <c r="G316" s="187"/>
    </row>
    <row r="317" ht="14.25" customHeight="1">
      <c r="G317" s="187"/>
    </row>
    <row r="318" ht="14.25" customHeight="1">
      <c r="G318" s="187"/>
    </row>
    <row r="319" ht="14.25" customHeight="1">
      <c r="G319" s="187"/>
    </row>
    <row r="320" ht="14.25" customHeight="1">
      <c r="G320" s="187"/>
    </row>
    <row r="321" ht="14.25" customHeight="1">
      <c r="G321" s="187"/>
    </row>
    <row r="322" ht="14.25" customHeight="1">
      <c r="G322" s="187"/>
    </row>
    <row r="323" ht="14.25" customHeight="1">
      <c r="G323" s="187"/>
    </row>
    <row r="324" ht="14.25" customHeight="1">
      <c r="G324" s="187"/>
    </row>
    <row r="325" ht="14.25" customHeight="1">
      <c r="G325" s="187"/>
    </row>
    <row r="326" ht="14.25" customHeight="1">
      <c r="G326" s="187"/>
    </row>
    <row r="327" ht="14.25" customHeight="1">
      <c r="G327" s="187"/>
    </row>
    <row r="328" ht="14.25" customHeight="1">
      <c r="G328" s="187"/>
    </row>
    <row r="329" ht="14.25" customHeight="1">
      <c r="G329" s="187"/>
    </row>
    <row r="330" ht="14.25" customHeight="1">
      <c r="G330" s="187"/>
    </row>
    <row r="331" ht="14.25" customHeight="1">
      <c r="G331" s="187"/>
    </row>
    <row r="332" ht="14.25" customHeight="1">
      <c r="G332" s="187"/>
    </row>
    <row r="333" ht="14.25" customHeight="1">
      <c r="G333" s="187"/>
    </row>
    <row r="334" ht="14.25" customHeight="1">
      <c r="G334" s="187"/>
    </row>
    <row r="335" ht="14.25" customHeight="1">
      <c r="G335" s="187"/>
    </row>
    <row r="336" ht="14.25" customHeight="1">
      <c r="G336" s="187"/>
    </row>
    <row r="337" ht="14.25" customHeight="1">
      <c r="G337" s="187"/>
    </row>
    <row r="338" ht="14.25" customHeight="1">
      <c r="G338" s="187"/>
    </row>
    <row r="339" ht="14.25" customHeight="1">
      <c r="G339" s="187"/>
    </row>
    <row r="340" ht="14.25" customHeight="1">
      <c r="G340" s="187"/>
    </row>
    <row r="341" ht="14.25" customHeight="1">
      <c r="G341" s="187"/>
    </row>
    <row r="342" ht="14.25" customHeight="1">
      <c r="G342" s="187"/>
    </row>
    <row r="343" ht="14.25" customHeight="1">
      <c r="G343" s="187"/>
    </row>
    <row r="344" ht="14.25" customHeight="1">
      <c r="G344" s="187"/>
    </row>
    <row r="345" ht="14.25" customHeight="1">
      <c r="G345" s="187"/>
    </row>
    <row r="346" ht="14.25" customHeight="1">
      <c r="G346" s="187"/>
    </row>
    <row r="347" ht="14.25" customHeight="1">
      <c r="G347" s="187"/>
    </row>
    <row r="348" ht="14.25" customHeight="1">
      <c r="G348" s="187"/>
    </row>
    <row r="349" ht="14.25" customHeight="1">
      <c r="G349" s="187"/>
    </row>
    <row r="350" ht="14.25" customHeight="1">
      <c r="G350" s="187"/>
    </row>
    <row r="351" ht="14.25" customHeight="1">
      <c r="G351" s="187"/>
    </row>
    <row r="352" ht="14.25" customHeight="1">
      <c r="G352" s="187"/>
    </row>
    <row r="353" ht="14.25" customHeight="1">
      <c r="G353" s="187"/>
    </row>
    <row r="354" ht="14.25" customHeight="1">
      <c r="G354" s="187"/>
    </row>
    <row r="355" ht="14.25" customHeight="1">
      <c r="G355" s="187"/>
    </row>
    <row r="356" ht="14.25" customHeight="1">
      <c r="G356" s="187"/>
    </row>
    <row r="357" ht="14.25" customHeight="1">
      <c r="G357" s="187"/>
    </row>
    <row r="358" ht="14.25" customHeight="1">
      <c r="G358" s="187"/>
    </row>
    <row r="359" ht="14.25" customHeight="1">
      <c r="G359" s="187"/>
    </row>
    <row r="360" ht="14.25" customHeight="1">
      <c r="G360" s="187"/>
    </row>
    <row r="361" ht="14.25" customHeight="1">
      <c r="G361" s="187"/>
    </row>
    <row r="362" ht="14.25" customHeight="1">
      <c r="G362" s="187"/>
    </row>
    <row r="363" ht="14.25" customHeight="1">
      <c r="G363" s="187"/>
    </row>
    <row r="364" ht="14.25" customHeight="1">
      <c r="G364" s="187"/>
    </row>
    <row r="365" ht="14.25" customHeight="1">
      <c r="G365" s="187"/>
    </row>
    <row r="366" ht="14.25" customHeight="1">
      <c r="G366" s="187"/>
    </row>
    <row r="367" ht="14.25" customHeight="1">
      <c r="G367" s="187"/>
    </row>
    <row r="368" ht="14.25" customHeight="1">
      <c r="G368" s="187"/>
    </row>
    <row r="369" ht="14.25" customHeight="1">
      <c r="G369" s="187"/>
    </row>
    <row r="370" ht="14.25" customHeight="1">
      <c r="G370" s="187"/>
    </row>
    <row r="371" ht="14.25" customHeight="1">
      <c r="G371" s="187"/>
    </row>
    <row r="372" ht="14.25" customHeight="1">
      <c r="G372" s="187"/>
    </row>
    <row r="373" ht="14.25" customHeight="1">
      <c r="G373" s="187"/>
    </row>
    <row r="374" ht="14.25" customHeight="1">
      <c r="G374" s="187"/>
    </row>
    <row r="375" ht="14.25" customHeight="1">
      <c r="G375" s="187"/>
    </row>
    <row r="376" ht="14.25" customHeight="1">
      <c r="G376" s="187"/>
    </row>
    <row r="377" ht="14.25" customHeight="1">
      <c r="G377" s="187"/>
    </row>
    <row r="378" ht="14.25" customHeight="1">
      <c r="G378" s="187"/>
    </row>
    <row r="379" ht="14.25" customHeight="1">
      <c r="G379" s="187"/>
    </row>
    <row r="380" ht="14.25" customHeight="1">
      <c r="G380" s="187"/>
    </row>
    <row r="381" ht="14.25" customHeight="1">
      <c r="G381" s="187"/>
    </row>
    <row r="382" ht="14.25" customHeight="1">
      <c r="G382" s="187"/>
    </row>
    <row r="383" ht="14.25" customHeight="1">
      <c r="G383" s="187"/>
    </row>
    <row r="384" ht="14.25" customHeight="1">
      <c r="G384" s="187"/>
    </row>
    <row r="385" ht="14.25" customHeight="1">
      <c r="G385" s="187"/>
    </row>
    <row r="386" ht="14.25" customHeight="1">
      <c r="G386" s="187"/>
    </row>
    <row r="387" ht="14.25" customHeight="1">
      <c r="G387" s="187"/>
    </row>
    <row r="388" ht="14.25" customHeight="1">
      <c r="G388" s="187"/>
    </row>
    <row r="389" ht="14.25" customHeight="1">
      <c r="G389" s="187"/>
    </row>
    <row r="390" ht="14.25" customHeight="1">
      <c r="G390" s="187"/>
    </row>
    <row r="391" ht="14.25" customHeight="1">
      <c r="G391" s="187"/>
    </row>
    <row r="392" ht="14.25" customHeight="1">
      <c r="G392" s="187"/>
    </row>
    <row r="393" ht="14.25" customHeight="1">
      <c r="G393" s="187"/>
    </row>
    <row r="394" ht="14.25" customHeight="1">
      <c r="G394" s="187"/>
    </row>
    <row r="395" ht="14.25" customHeight="1">
      <c r="G395" s="187"/>
    </row>
    <row r="396" ht="14.25" customHeight="1">
      <c r="G396" s="187"/>
    </row>
    <row r="397" ht="14.25" customHeight="1">
      <c r="G397" s="187"/>
    </row>
    <row r="398" ht="14.25" customHeight="1">
      <c r="G398" s="187"/>
    </row>
    <row r="399" ht="14.25" customHeight="1">
      <c r="G399" s="187"/>
    </row>
    <row r="400" ht="14.25" customHeight="1">
      <c r="G400" s="187"/>
    </row>
    <row r="401" ht="14.25" customHeight="1">
      <c r="G401" s="187"/>
    </row>
    <row r="402" ht="14.25" customHeight="1">
      <c r="G402" s="187"/>
    </row>
    <row r="403" ht="14.25" customHeight="1">
      <c r="G403" s="187"/>
    </row>
    <row r="404" ht="14.25" customHeight="1">
      <c r="G404" s="187"/>
    </row>
    <row r="405" ht="14.25" customHeight="1">
      <c r="G405" s="187"/>
    </row>
    <row r="406" ht="14.25" customHeight="1">
      <c r="G406" s="187"/>
    </row>
    <row r="407" ht="14.25" customHeight="1">
      <c r="G407" s="187"/>
    </row>
    <row r="408" ht="14.25" customHeight="1">
      <c r="G408" s="187"/>
    </row>
    <row r="409" ht="14.25" customHeight="1">
      <c r="G409" s="187"/>
    </row>
    <row r="410" ht="14.25" customHeight="1">
      <c r="G410" s="187"/>
    </row>
    <row r="411" ht="14.25" customHeight="1">
      <c r="G411" s="187"/>
    </row>
    <row r="412" ht="14.25" customHeight="1">
      <c r="G412" s="187"/>
    </row>
    <row r="413" ht="14.25" customHeight="1">
      <c r="G413" s="187"/>
    </row>
    <row r="414" ht="14.25" customHeight="1">
      <c r="G414" s="187"/>
    </row>
    <row r="415" ht="14.25" customHeight="1">
      <c r="G415" s="187"/>
    </row>
    <row r="416" ht="14.25" customHeight="1">
      <c r="G416" s="187"/>
    </row>
    <row r="417" ht="14.25" customHeight="1">
      <c r="G417" s="187"/>
    </row>
    <row r="418" ht="14.25" customHeight="1">
      <c r="G418" s="187"/>
    </row>
    <row r="419" ht="14.25" customHeight="1">
      <c r="G419" s="187"/>
    </row>
    <row r="420" ht="14.25" customHeight="1">
      <c r="G420" s="187"/>
    </row>
    <row r="421" ht="14.25" customHeight="1">
      <c r="G421" s="187"/>
    </row>
    <row r="422" ht="14.25" customHeight="1">
      <c r="G422" s="187"/>
    </row>
    <row r="423" ht="14.25" customHeight="1">
      <c r="G423" s="187"/>
    </row>
    <row r="424" ht="14.25" customHeight="1">
      <c r="G424" s="187"/>
    </row>
    <row r="425" ht="14.25" customHeight="1">
      <c r="G425" s="187"/>
    </row>
    <row r="426" ht="14.25" customHeight="1">
      <c r="G426" s="187"/>
    </row>
    <row r="427" ht="14.25" customHeight="1">
      <c r="G427" s="187"/>
    </row>
    <row r="428" ht="14.25" customHeight="1">
      <c r="G428" s="187"/>
    </row>
    <row r="429" ht="14.25" customHeight="1">
      <c r="G429" s="187"/>
    </row>
    <row r="430" ht="14.25" customHeight="1">
      <c r="G430" s="187"/>
    </row>
    <row r="431" ht="14.25" customHeight="1">
      <c r="G431" s="187"/>
    </row>
    <row r="432" ht="14.25" customHeight="1">
      <c r="G432" s="187"/>
    </row>
    <row r="433" ht="14.25" customHeight="1">
      <c r="G433" s="187"/>
    </row>
    <row r="434" ht="14.25" customHeight="1">
      <c r="G434" s="187"/>
    </row>
    <row r="435" ht="14.25" customHeight="1">
      <c r="G435" s="187"/>
    </row>
    <row r="436" ht="14.25" customHeight="1">
      <c r="G436" s="187"/>
    </row>
    <row r="437" ht="14.25" customHeight="1">
      <c r="G437" s="187"/>
    </row>
    <row r="438" ht="14.25" customHeight="1">
      <c r="G438" s="187"/>
    </row>
    <row r="439" ht="14.25" customHeight="1">
      <c r="G439" s="187"/>
    </row>
    <row r="440" ht="14.25" customHeight="1">
      <c r="G440" s="187"/>
    </row>
    <row r="441" ht="14.25" customHeight="1">
      <c r="G441" s="187"/>
    </row>
    <row r="442" ht="14.25" customHeight="1">
      <c r="G442" s="187"/>
    </row>
    <row r="443" ht="14.25" customHeight="1">
      <c r="G443" s="187"/>
    </row>
    <row r="444" ht="14.25" customHeight="1">
      <c r="G444" s="187"/>
    </row>
    <row r="445" ht="14.25" customHeight="1">
      <c r="G445" s="187"/>
    </row>
    <row r="446" ht="14.25" customHeight="1">
      <c r="G446" s="187"/>
    </row>
    <row r="447" ht="14.25" customHeight="1">
      <c r="G447" s="187"/>
    </row>
    <row r="448" ht="14.25" customHeight="1">
      <c r="G448" s="187"/>
    </row>
    <row r="449" ht="14.25" customHeight="1">
      <c r="G449" s="187"/>
    </row>
    <row r="450" ht="14.25" customHeight="1">
      <c r="G450" s="187"/>
    </row>
    <row r="451" ht="14.25" customHeight="1">
      <c r="G451" s="187"/>
    </row>
    <row r="452" ht="14.25" customHeight="1">
      <c r="G452" s="187"/>
    </row>
    <row r="453" ht="14.25" customHeight="1">
      <c r="G453" s="187"/>
    </row>
    <row r="454" ht="14.25" customHeight="1">
      <c r="G454" s="187"/>
    </row>
    <row r="455" ht="14.25" customHeight="1">
      <c r="G455" s="187"/>
    </row>
    <row r="456" ht="14.25" customHeight="1">
      <c r="G456" s="187"/>
    </row>
    <row r="457" ht="14.25" customHeight="1">
      <c r="G457" s="187"/>
    </row>
    <row r="458" ht="14.25" customHeight="1">
      <c r="G458" s="187"/>
    </row>
    <row r="459" ht="14.25" customHeight="1">
      <c r="G459" s="187"/>
    </row>
    <row r="460" ht="14.25" customHeight="1">
      <c r="G460" s="187"/>
    </row>
    <row r="461" ht="14.25" customHeight="1">
      <c r="G461" s="187"/>
    </row>
    <row r="462" ht="14.25" customHeight="1">
      <c r="G462" s="187"/>
    </row>
    <row r="463" ht="14.25" customHeight="1">
      <c r="G463" s="187"/>
    </row>
    <row r="464" ht="14.25" customHeight="1">
      <c r="G464" s="187"/>
    </row>
    <row r="465" ht="14.25" customHeight="1">
      <c r="G465" s="187"/>
    </row>
    <row r="466" ht="14.25" customHeight="1">
      <c r="G466" s="187"/>
    </row>
    <row r="467" ht="14.25" customHeight="1">
      <c r="G467" s="187"/>
    </row>
    <row r="468" ht="14.25" customHeight="1">
      <c r="G468" s="187"/>
    </row>
    <row r="469" ht="14.25" customHeight="1">
      <c r="G469" s="187"/>
    </row>
    <row r="470" ht="14.25" customHeight="1">
      <c r="G470" s="187"/>
    </row>
    <row r="471" ht="14.25" customHeight="1">
      <c r="G471" s="187"/>
    </row>
    <row r="472" ht="14.25" customHeight="1">
      <c r="G472" s="187"/>
    </row>
    <row r="473" ht="14.25" customHeight="1">
      <c r="G473" s="187"/>
    </row>
    <row r="474" ht="14.25" customHeight="1">
      <c r="G474" s="187"/>
    </row>
    <row r="475" ht="14.25" customHeight="1">
      <c r="G475" s="187"/>
    </row>
    <row r="476" ht="14.25" customHeight="1">
      <c r="G476" s="187"/>
    </row>
    <row r="477" ht="14.25" customHeight="1">
      <c r="G477" s="187"/>
    </row>
    <row r="478" ht="14.25" customHeight="1">
      <c r="G478" s="187"/>
    </row>
    <row r="479" ht="14.25" customHeight="1">
      <c r="G479" s="187"/>
    </row>
    <row r="480" ht="14.25" customHeight="1">
      <c r="G480" s="187"/>
    </row>
    <row r="481" ht="14.25" customHeight="1">
      <c r="G481" s="187"/>
    </row>
    <row r="482" ht="14.25" customHeight="1">
      <c r="G482" s="187"/>
    </row>
    <row r="483" ht="14.25" customHeight="1">
      <c r="G483" s="187"/>
    </row>
    <row r="484" ht="14.25" customHeight="1">
      <c r="G484" s="187"/>
    </row>
    <row r="485" ht="14.25" customHeight="1">
      <c r="G485" s="187"/>
    </row>
    <row r="486" ht="14.25" customHeight="1">
      <c r="G486" s="187"/>
    </row>
    <row r="487" ht="14.25" customHeight="1">
      <c r="G487" s="187"/>
    </row>
    <row r="488" ht="14.25" customHeight="1">
      <c r="G488" s="187"/>
    </row>
    <row r="489" ht="14.25" customHeight="1">
      <c r="G489" s="187"/>
    </row>
    <row r="490" ht="14.25" customHeight="1">
      <c r="G490" s="187"/>
    </row>
    <row r="491" ht="14.25" customHeight="1">
      <c r="G491" s="187"/>
    </row>
    <row r="492" ht="14.25" customHeight="1">
      <c r="G492" s="187"/>
    </row>
    <row r="493" ht="14.25" customHeight="1">
      <c r="G493" s="187"/>
    </row>
    <row r="494" ht="14.25" customHeight="1">
      <c r="G494" s="187"/>
    </row>
    <row r="495" ht="14.25" customHeight="1">
      <c r="G495" s="187"/>
    </row>
    <row r="496" ht="14.25" customHeight="1">
      <c r="G496" s="187"/>
    </row>
    <row r="497" ht="14.25" customHeight="1">
      <c r="G497" s="187"/>
    </row>
    <row r="498" ht="14.25" customHeight="1">
      <c r="G498" s="187"/>
    </row>
    <row r="499" ht="14.25" customHeight="1">
      <c r="G499" s="187"/>
    </row>
    <row r="500" ht="14.25" customHeight="1">
      <c r="G500" s="187"/>
    </row>
    <row r="501" ht="14.25" customHeight="1">
      <c r="G501" s="187"/>
    </row>
    <row r="502" ht="14.25" customHeight="1">
      <c r="G502" s="187"/>
    </row>
    <row r="503" ht="14.25" customHeight="1">
      <c r="G503" s="187"/>
    </row>
    <row r="504" ht="14.25" customHeight="1">
      <c r="G504" s="187"/>
    </row>
    <row r="505" ht="14.25" customHeight="1">
      <c r="G505" s="187"/>
    </row>
    <row r="506" ht="14.25" customHeight="1">
      <c r="G506" s="187"/>
    </row>
    <row r="507" ht="14.25" customHeight="1">
      <c r="G507" s="187"/>
    </row>
    <row r="508" ht="14.25" customHeight="1">
      <c r="G508" s="187"/>
    </row>
    <row r="509" ht="14.25" customHeight="1">
      <c r="G509" s="187"/>
    </row>
    <row r="510" ht="14.25" customHeight="1">
      <c r="G510" s="187"/>
    </row>
    <row r="511" ht="14.25" customHeight="1">
      <c r="G511" s="187"/>
    </row>
    <row r="512" ht="14.25" customHeight="1">
      <c r="G512" s="187"/>
    </row>
    <row r="513" ht="14.25" customHeight="1">
      <c r="G513" s="187"/>
    </row>
    <row r="514" ht="14.25" customHeight="1">
      <c r="G514" s="187"/>
    </row>
    <row r="515" ht="14.25" customHeight="1">
      <c r="G515" s="187"/>
    </row>
    <row r="516" ht="14.25" customHeight="1">
      <c r="G516" s="187"/>
    </row>
    <row r="517" ht="14.25" customHeight="1">
      <c r="G517" s="187"/>
    </row>
    <row r="518" ht="14.25" customHeight="1">
      <c r="G518" s="187"/>
    </row>
    <row r="519" ht="14.25" customHeight="1">
      <c r="G519" s="187"/>
    </row>
    <row r="520" ht="14.25" customHeight="1">
      <c r="G520" s="187"/>
    </row>
    <row r="521" ht="14.25" customHeight="1">
      <c r="G521" s="187"/>
    </row>
    <row r="522" ht="14.25" customHeight="1">
      <c r="G522" s="187"/>
    </row>
    <row r="523" ht="14.25" customHeight="1">
      <c r="G523" s="187"/>
    </row>
    <row r="524" ht="14.25" customHeight="1">
      <c r="G524" s="187"/>
    </row>
    <row r="525" ht="14.25" customHeight="1">
      <c r="G525" s="187"/>
    </row>
    <row r="526" ht="14.25" customHeight="1">
      <c r="G526" s="187"/>
    </row>
    <row r="527" ht="14.25" customHeight="1">
      <c r="G527" s="187"/>
    </row>
    <row r="528" ht="14.25" customHeight="1">
      <c r="G528" s="187"/>
    </row>
    <row r="529" ht="14.25" customHeight="1">
      <c r="G529" s="187"/>
    </row>
    <row r="530" ht="14.25" customHeight="1">
      <c r="G530" s="187"/>
    </row>
    <row r="531" ht="14.25" customHeight="1">
      <c r="G531" s="187"/>
    </row>
    <row r="532" ht="14.25" customHeight="1">
      <c r="G532" s="187"/>
    </row>
    <row r="533" ht="14.25" customHeight="1">
      <c r="G533" s="187"/>
    </row>
    <row r="534" ht="14.25" customHeight="1">
      <c r="G534" s="187"/>
    </row>
    <row r="535" ht="14.25" customHeight="1">
      <c r="G535" s="187"/>
    </row>
    <row r="536" ht="14.25" customHeight="1">
      <c r="G536" s="187"/>
    </row>
    <row r="537" ht="14.25" customHeight="1">
      <c r="G537" s="187"/>
    </row>
    <row r="538" ht="14.25" customHeight="1">
      <c r="G538" s="187"/>
    </row>
    <row r="539" ht="14.25" customHeight="1">
      <c r="G539" s="187"/>
    </row>
    <row r="540" ht="14.25" customHeight="1">
      <c r="G540" s="187"/>
    </row>
    <row r="541" ht="14.25" customHeight="1">
      <c r="G541" s="187"/>
    </row>
    <row r="542" ht="14.25" customHeight="1">
      <c r="G542" s="187"/>
    </row>
    <row r="543" ht="14.25" customHeight="1">
      <c r="G543" s="187"/>
    </row>
    <row r="544" ht="14.25" customHeight="1">
      <c r="G544" s="187"/>
    </row>
    <row r="545" ht="14.25" customHeight="1">
      <c r="G545" s="187"/>
    </row>
    <row r="546" ht="14.25" customHeight="1">
      <c r="G546" s="187"/>
    </row>
    <row r="547" ht="14.25" customHeight="1">
      <c r="G547" s="187"/>
    </row>
    <row r="548" ht="14.25" customHeight="1">
      <c r="G548" s="187"/>
    </row>
    <row r="549" ht="14.25" customHeight="1">
      <c r="G549" s="187"/>
    </row>
    <row r="550" ht="14.25" customHeight="1">
      <c r="G550" s="187"/>
    </row>
    <row r="551" ht="14.25" customHeight="1">
      <c r="G551" s="187"/>
    </row>
    <row r="552" ht="14.25" customHeight="1">
      <c r="G552" s="187"/>
    </row>
    <row r="553" ht="14.25" customHeight="1">
      <c r="G553" s="187"/>
    </row>
    <row r="554" ht="14.25" customHeight="1">
      <c r="G554" s="187"/>
    </row>
    <row r="555" ht="14.25" customHeight="1">
      <c r="G555" s="187"/>
    </row>
    <row r="556" ht="14.25" customHeight="1">
      <c r="G556" s="187"/>
    </row>
    <row r="557" ht="14.25" customHeight="1">
      <c r="G557" s="187"/>
    </row>
    <row r="558" ht="14.25" customHeight="1">
      <c r="G558" s="187"/>
    </row>
    <row r="559" ht="14.25" customHeight="1">
      <c r="G559" s="187"/>
    </row>
    <row r="560" ht="14.25" customHeight="1">
      <c r="G560" s="187"/>
    </row>
    <row r="561" ht="14.25" customHeight="1">
      <c r="G561" s="187"/>
    </row>
    <row r="562" ht="14.25" customHeight="1">
      <c r="G562" s="187"/>
    </row>
    <row r="563" ht="14.25" customHeight="1">
      <c r="G563" s="187"/>
    </row>
    <row r="564" ht="14.25" customHeight="1">
      <c r="G564" s="187"/>
    </row>
    <row r="565" ht="14.25" customHeight="1">
      <c r="G565" s="187"/>
    </row>
    <row r="566" ht="14.25" customHeight="1">
      <c r="G566" s="187"/>
    </row>
    <row r="567" ht="14.25" customHeight="1">
      <c r="G567" s="187"/>
    </row>
    <row r="568" ht="14.25" customHeight="1">
      <c r="G568" s="187"/>
    </row>
    <row r="569" ht="14.25" customHeight="1">
      <c r="G569" s="187"/>
    </row>
    <row r="570" ht="14.25" customHeight="1">
      <c r="G570" s="187"/>
    </row>
    <row r="571" ht="14.25" customHeight="1">
      <c r="G571" s="187"/>
    </row>
    <row r="572" ht="14.25" customHeight="1">
      <c r="G572" s="187"/>
    </row>
    <row r="573" ht="14.25" customHeight="1">
      <c r="G573" s="187"/>
    </row>
    <row r="574" ht="14.25" customHeight="1">
      <c r="G574" s="187"/>
    </row>
    <row r="575" ht="14.25" customHeight="1">
      <c r="G575" s="187"/>
    </row>
    <row r="576" ht="14.25" customHeight="1">
      <c r="G576" s="187"/>
    </row>
    <row r="577" ht="14.25" customHeight="1">
      <c r="G577" s="187"/>
    </row>
    <row r="578" ht="14.25" customHeight="1">
      <c r="G578" s="187"/>
    </row>
    <row r="579" ht="14.25" customHeight="1">
      <c r="G579" s="187"/>
    </row>
    <row r="580" ht="14.25" customHeight="1">
      <c r="G580" s="187"/>
    </row>
    <row r="581" ht="14.25" customHeight="1">
      <c r="G581" s="187"/>
    </row>
    <row r="582" ht="14.25" customHeight="1">
      <c r="G582" s="187"/>
    </row>
    <row r="583" ht="14.25" customHeight="1">
      <c r="G583" s="187"/>
    </row>
    <row r="584" ht="14.25" customHeight="1">
      <c r="G584" s="187"/>
    </row>
    <row r="585" ht="14.25" customHeight="1">
      <c r="G585" s="187"/>
    </row>
    <row r="586" ht="14.25" customHeight="1">
      <c r="G586" s="187"/>
    </row>
    <row r="587" ht="14.25" customHeight="1">
      <c r="G587" s="187"/>
    </row>
    <row r="588" ht="14.25" customHeight="1">
      <c r="G588" s="187"/>
    </row>
    <row r="589" ht="14.25" customHeight="1">
      <c r="G589" s="187"/>
    </row>
    <row r="590" ht="14.25" customHeight="1">
      <c r="G590" s="187"/>
    </row>
    <row r="591" ht="14.25" customHeight="1">
      <c r="G591" s="187"/>
    </row>
    <row r="592" ht="14.25" customHeight="1">
      <c r="G592" s="187"/>
    </row>
    <row r="593" ht="14.25" customHeight="1">
      <c r="G593" s="187"/>
    </row>
    <row r="594" ht="14.25" customHeight="1">
      <c r="G594" s="187"/>
    </row>
    <row r="595" ht="14.25" customHeight="1">
      <c r="G595" s="187"/>
    </row>
    <row r="596" ht="14.25" customHeight="1">
      <c r="G596" s="187"/>
    </row>
    <row r="597" ht="14.25" customHeight="1">
      <c r="G597" s="187"/>
    </row>
    <row r="598" ht="14.25" customHeight="1">
      <c r="G598" s="187"/>
    </row>
    <row r="599" ht="14.25" customHeight="1">
      <c r="G599" s="187"/>
    </row>
    <row r="600" ht="14.25" customHeight="1">
      <c r="G600" s="187"/>
    </row>
    <row r="601" ht="14.25" customHeight="1">
      <c r="G601" s="187"/>
    </row>
    <row r="602" ht="14.25" customHeight="1">
      <c r="G602" s="187"/>
    </row>
    <row r="603" ht="14.25" customHeight="1">
      <c r="G603" s="187"/>
    </row>
    <row r="604" ht="14.25" customHeight="1">
      <c r="G604" s="187"/>
    </row>
    <row r="605" ht="14.25" customHeight="1">
      <c r="G605" s="187"/>
    </row>
    <row r="606" ht="14.25" customHeight="1">
      <c r="G606" s="187"/>
    </row>
    <row r="607" ht="14.25" customHeight="1">
      <c r="G607" s="187"/>
    </row>
    <row r="608" ht="14.25" customHeight="1">
      <c r="G608" s="187"/>
    </row>
    <row r="609" ht="14.25" customHeight="1">
      <c r="G609" s="187"/>
    </row>
    <row r="610" ht="14.25" customHeight="1">
      <c r="G610" s="187"/>
    </row>
    <row r="611" ht="14.25" customHeight="1">
      <c r="G611" s="187"/>
    </row>
    <row r="612" ht="14.25" customHeight="1">
      <c r="G612" s="187"/>
    </row>
    <row r="613" ht="14.25" customHeight="1">
      <c r="G613" s="187"/>
    </row>
    <row r="614" ht="14.25" customHeight="1">
      <c r="G614" s="187"/>
    </row>
    <row r="615" ht="14.25" customHeight="1">
      <c r="G615" s="187"/>
    </row>
    <row r="616" ht="14.25" customHeight="1">
      <c r="G616" s="187"/>
    </row>
    <row r="617" ht="14.25" customHeight="1">
      <c r="G617" s="187"/>
    </row>
    <row r="618" ht="14.25" customHeight="1">
      <c r="G618" s="187"/>
    </row>
    <row r="619" ht="14.25" customHeight="1">
      <c r="G619" s="187"/>
    </row>
    <row r="620" ht="14.25" customHeight="1">
      <c r="G620" s="187"/>
    </row>
    <row r="621" ht="14.25" customHeight="1">
      <c r="G621" s="187"/>
    </row>
    <row r="622" ht="14.25" customHeight="1">
      <c r="G622" s="187"/>
    </row>
    <row r="623" ht="14.25" customHeight="1">
      <c r="G623" s="187"/>
    </row>
    <row r="624" ht="14.25" customHeight="1">
      <c r="G624" s="187"/>
    </row>
    <row r="625" ht="14.25" customHeight="1">
      <c r="G625" s="187"/>
    </row>
    <row r="626" ht="14.25" customHeight="1">
      <c r="G626" s="187"/>
    </row>
    <row r="627" ht="14.25" customHeight="1">
      <c r="G627" s="187"/>
    </row>
    <row r="628" ht="14.25" customHeight="1">
      <c r="G628" s="187"/>
    </row>
    <row r="629" ht="14.25" customHeight="1">
      <c r="G629" s="187"/>
    </row>
    <row r="630" ht="14.25" customHeight="1">
      <c r="G630" s="187"/>
    </row>
    <row r="631" ht="14.25" customHeight="1">
      <c r="G631" s="187"/>
    </row>
    <row r="632" ht="14.25" customHeight="1">
      <c r="G632" s="187"/>
    </row>
    <row r="633" ht="14.25" customHeight="1">
      <c r="G633" s="187"/>
    </row>
    <row r="634" ht="14.25" customHeight="1">
      <c r="G634" s="187"/>
    </row>
    <row r="635" ht="14.25" customHeight="1">
      <c r="G635" s="187"/>
    </row>
    <row r="636" ht="14.25" customHeight="1">
      <c r="G636" s="187"/>
    </row>
    <row r="637" ht="14.25" customHeight="1">
      <c r="G637" s="187"/>
    </row>
    <row r="638" ht="14.25" customHeight="1">
      <c r="G638" s="187"/>
    </row>
    <row r="639" ht="14.25" customHeight="1">
      <c r="G639" s="187"/>
    </row>
    <row r="640" ht="14.25" customHeight="1">
      <c r="G640" s="187"/>
    </row>
    <row r="641" ht="14.25" customHeight="1">
      <c r="G641" s="187"/>
    </row>
    <row r="642" ht="14.25" customHeight="1">
      <c r="G642" s="187"/>
    </row>
    <row r="643" ht="14.25" customHeight="1">
      <c r="G643" s="187"/>
    </row>
    <row r="644" ht="14.25" customHeight="1">
      <c r="G644" s="187"/>
    </row>
    <row r="645" ht="14.25" customHeight="1">
      <c r="G645" s="187"/>
    </row>
    <row r="646" ht="14.25" customHeight="1">
      <c r="G646" s="187"/>
    </row>
    <row r="647" ht="14.25" customHeight="1">
      <c r="G647" s="187"/>
    </row>
    <row r="648" ht="14.25" customHeight="1">
      <c r="G648" s="187"/>
    </row>
    <row r="649" ht="14.25" customHeight="1">
      <c r="G649" s="187"/>
    </row>
    <row r="650" ht="14.25" customHeight="1">
      <c r="G650" s="187"/>
    </row>
    <row r="651" ht="14.25" customHeight="1">
      <c r="G651" s="187"/>
    </row>
    <row r="652" ht="14.25" customHeight="1">
      <c r="G652" s="187"/>
    </row>
    <row r="653" ht="14.25" customHeight="1">
      <c r="G653" s="187"/>
    </row>
    <row r="654" ht="14.25" customHeight="1">
      <c r="G654" s="187"/>
    </row>
    <row r="655" ht="14.25" customHeight="1">
      <c r="G655" s="187"/>
    </row>
    <row r="656" ht="14.25" customHeight="1">
      <c r="G656" s="187"/>
    </row>
    <row r="657" ht="14.25" customHeight="1">
      <c r="G657" s="187"/>
    </row>
    <row r="658" ht="14.25" customHeight="1">
      <c r="G658" s="187"/>
    </row>
    <row r="659" ht="14.25" customHeight="1">
      <c r="G659" s="187"/>
    </row>
    <row r="660" ht="14.25" customHeight="1">
      <c r="G660" s="187"/>
    </row>
    <row r="661" ht="14.25" customHeight="1">
      <c r="G661" s="187"/>
    </row>
    <row r="662" ht="14.25" customHeight="1">
      <c r="G662" s="187"/>
    </row>
    <row r="663" ht="14.25" customHeight="1">
      <c r="G663" s="187"/>
    </row>
    <row r="664" ht="14.25" customHeight="1">
      <c r="G664" s="187"/>
    </row>
    <row r="665" ht="14.25" customHeight="1">
      <c r="G665" s="187"/>
    </row>
    <row r="666" ht="14.25" customHeight="1">
      <c r="G666" s="187"/>
    </row>
    <row r="667" ht="14.25" customHeight="1">
      <c r="G667" s="187"/>
    </row>
    <row r="668" ht="14.25" customHeight="1">
      <c r="G668" s="187"/>
    </row>
    <row r="669" ht="14.25" customHeight="1">
      <c r="G669" s="187"/>
    </row>
    <row r="670" ht="14.25" customHeight="1">
      <c r="G670" s="187"/>
    </row>
    <row r="671" ht="14.25" customHeight="1">
      <c r="G671" s="187"/>
    </row>
    <row r="672" ht="14.25" customHeight="1">
      <c r="G672" s="187"/>
    </row>
    <row r="673" ht="14.25" customHeight="1">
      <c r="G673" s="187"/>
    </row>
    <row r="674" ht="14.25" customHeight="1">
      <c r="G674" s="187"/>
    </row>
    <row r="675" ht="14.25" customHeight="1">
      <c r="G675" s="187"/>
    </row>
    <row r="676" ht="14.25" customHeight="1">
      <c r="G676" s="187"/>
    </row>
    <row r="677" ht="14.25" customHeight="1">
      <c r="G677" s="187"/>
    </row>
    <row r="678" ht="14.25" customHeight="1">
      <c r="G678" s="187"/>
    </row>
    <row r="679" ht="14.25" customHeight="1">
      <c r="G679" s="187"/>
    </row>
    <row r="680" ht="14.25" customHeight="1">
      <c r="G680" s="187"/>
    </row>
    <row r="681" ht="14.25" customHeight="1">
      <c r="G681" s="187"/>
    </row>
    <row r="682" ht="14.25" customHeight="1">
      <c r="G682" s="187"/>
    </row>
    <row r="683" ht="14.25" customHeight="1">
      <c r="G683" s="187"/>
    </row>
    <row r="684" ht="14.25" customHeight="1">
      <c r="G684" s="187"/>
    </row>
    <row r="685" ht="14.25" customHeight="1">
      <c r="G685" s="187"/>
    </row>
    <row r="686" ht="14.25" customHeight="1">
      <c r="G686" s="187"/>
    </row>
    <row r="687" ht="14.25" customHeight="1">
      <c r="G687" s="187"/>
    </row>
    <row r="688" ht="14.25" customHeight="1">
      <c r="G688" s="187"/>
    </row>
    <row r="689" ht="14.25" customHeight="1">
      <c r="G689" s="187"/>
    </row>
    <row r="690" ht="14.25" customHeight="1">
      <c r="G690" s="187"/>
    </row>
    <row r="691" ht="14.25" customHeight="1">
      <c r="G691" s="187"/>
    </row>
    <row r="692" ht="14.25" customHeight="1">
      <c r="G692" s="187"/>
    </row>
    <row r="693" ht="14.25" customHeight="1">
      <c r="G693" s="187"/>
    </row>
    <row r="694" ht="14.25" customHeight="1">
      <c r="G694" s="187"/>
    </row>
    <row r="695" ht="14.25" customHeight="1">
      <c r="G695" s="187"/>
    </row>
    <row r="696" ht="14.25" customHeight="1">
      <c r="G696" s="187"/>
    </row>
    <row r="697" ht="14.25" customHeight="1">
      <c r="G697" s="187"/>
    </row>
    <row r="698" ht="14.25" customHeight="1">
      <c r="G698" s="187"/>
    </row>
    <row r="699" ht="14.25" customHeight="1">
      <c r="G699" s="187"/>
    </row>
    <row r="700" ht="14.25" customHeight="1">
      <c r="G700" s="187"/>
    </row>
    <row r="701" ht="14.25" customHeight="1">
      <c r="G701" s="187"/>
    </row>
    <row r="702" ht="14.25" customHeight="1">
      <c r="G702" s="187"/>
    </row>
    <row r="703" ht="14.25" customHeight="1">
      <c r="G703" s="187"/>
    </row>
    <row r="704" ht="14.25" customHeight="1">
      <c r="G704" s="187"/>
    </row>
    <row r="705" ht="14.25" customHeight="1">
      <c r="G705" s="187"/>
    </row>
    <row r="706" ht="14.25" customHeight="1">
      <c r="G706" s="187"/>
    </row>
    <row r="707" ht="14.25" customHeight="1">
      <c r="G707" s="187"/>
    </row>
    <row r="708" ht="14.25" customHeight="1">
      <c r="G708" s="187"/>
    </row>
    <row r="709" ht="14.25" customHeight="1">
      <c r="G709" s="187"/>
    </row>
    <row r="710" ht="14.25" customHeight="1">
      <c r="G710" s="187"/>
    </row>
    <row r="711" ht="14.25" customHeight="1">
      <c r="G711" s="187"/>
    </row>
    <row r="712" ht="14.25" customHeight="1">
      <c r="G712" s="187"/>
    </row>
    <row r="713" ht="14.25" customHeight="1">
      <c r="G713" s="187"/>
    </row>
    <row r="714" ht="14.25" customHeight="1">
      <c r="G714" s="187"/>
    </row>
    <row r="715" ht="14.25" customHeight="1">
      <c r="G715" s="187"/>
    </row>
    <row r="716" ht="14.25" customHeight="1">
      <c r="G716" s="187"/>
    </row>
    <row r="717" ht="14.25" customHeight="1">
      <c r="G717" s="187"/>
    </row>
    <row r="718" ht="14.25" customHeight="1">
      <c r="G718" s="187"/>
    </row>
    <row r="719" ht="14.25" customHeight="1">
      <c r="G719" s="187"/>
    </row>
    <row r="720" ht="14.25" customHeight="1">
      <c r="G720" s="187"/>
    </row>
    <row r="721" ht="14.25" customHeight="1">
      <c r="G721" s="187"/>
    </row>
    <row r="722" ht="14.25" customHeight="1">
      <c r="G722" s="187"/>
    </row>
    <row r="723" ht="14.25" customHeight="1">
      <c r="G723" s="187"/>
    </row>
    <row r="724" ht="14.25" customHeight="1">
      <c r="G724" s="187"/>
    </row>
    <row r="725" ht="14.25" customHeight="1">
      <c r="G725" s="187"/>
    </row>
    <row r="726" ht="14.25" customHeight="1">
      <c r="G726" s="187"/>
    </row>
    <row r="727" ht="14.25" customHeight="1">
      <c r="G727" s="187"/>
    </row>
    <row r="728" ht="14.25" customHeight="1">
      <c r="G728" s="187"/>
    </row>
    <row r="729" ht="14.25" customHeight="1">
      <c r="G729" s="187"/>
    </row>
    <row r="730" ht="14.25" customHeight="1">
      <c r="G730" s="187"/>
    </row>
    <row r="731" ht="14.25" customHeight="1">
      <c r="G731" s="187"/>
    </row>
    <row r="732" ht="14.25" customHeight="1">
      <c r="G732" s="187"/>
    </row>
    <row r="733" ht="14.25" customHeight="1">
      <c r="G733" s="187"/>
    </row>
    <row r="734" ht="14.25" customHeight="1">
      <c r="G734" s="187"/>
    </row>
    <row r="735" ht="14.25" customHeight="1">
      <c r="G735" s="187"/>
    </row>
    <row r="736" ht="14.25" customHeight="1">
      <c r="G736" s="187"/>
    </row>
    <row r="737" ht="14.25" customHeight="1">
      <c r="G737" s="187"/>
    </row>
    <row r="738" ht="14.25" customHeight="1">
      <c r="G738" s="187"/>
    </row>
    <row r="739" ht="14.25" customHeight="1">
      <c r="G739" s="187"/>
    </row>
    <row r="740" ht="14.25" customHeight="1">
      <c r="G740" s="187"/>
    </row>
    <row r="741" ht="14.25" customHeight="1">
      <c r="G741" s="187"/>
    </row>
    <row r="742" ht="14.25" customHeight="1">
      <c r="G742" s="187"/>
    </row>
    <row r="743" ht="14.25" customHeight="1">
      <c r="G743" s="187"/>
    </row>
    <row r="744" ht="14.25" customHeight="1">
      <c r="G744" s="187"/>
    </row>
    <row r="745" ht="14.25" customHeight="1">
      <c r="G745" s="187"/>
    </row>
    <row r="746" ht="14.25" customHeight="1">
      <c r="G746" s="187"/>
    </row>
    <row r="747" ht="14.25" customHeight="1">
      <c r="G747" s="187"/>
    </row>
    <row r="748" ht="14.25" customHeight="1">
      <c r="G748" s="187"/>
    </row>
    <row r="749" ht="14.25" customHeight="1">
      <c r="G749" s="187"/>
    </row>
    <row r="750" ht="14.25" customHeight="1">
      <c r="G750" s="187"/>
    </row>
    <row r="751" ht="14.25" customHeight="1">
      <c r="G751" s="187"/>
    </row>
    <row r="752" ht="14.25" customHeight="1">
      <c r="G752" s="187"/>
    </row>
    <row r="753" ht="14.25" customHeight="1">
      <c r="G753" s="187"/>
    </row>
    <row r="754" ht="14.25" customHeight="1">
      <c r="G754" s="187"/>
    </row>
    <row r="755" ht="14.25" customHeight="1">
      <c r="G755" s="187"/>
    </row>
    <row r="756" ht="14.25" customHeight="1">
      <c r="G756" s="187"/>
    </row>
    <row r="757" ht="14.25" customHeight="1">
      <c r="G757" s="187"/>
    </row>
    <row r="758" ht="14.25" customHeight="1">
      <c r="G758" s="187"/>
    </row>
    <row r="759" ht="14.25" customHeight="1">
      <c r="G759" s="187"/>
    </row>
    <row r="760" ht="14.25" customHeight="1">
      <c r="G760" s="187"/>
    </row>
    <row r="761" ht="14.25" customHeight="1">
      <c r="G761" s="187"/>
    </row>
    <row r="762" ht="14.25" customHeight="1">
      <c r="G762" s="187"/>
    </row>
    <row r="763" ht="14.25" customHeight="1">
      <c r="G763" s="187"/>
    </row>
    <row r="764" ht="14.25" customHeight="1">
      <c r="G764" s="187"/>
    </row>
    <row r="765" ht="14.25" customHeight="1">
      <c r="G765" s="187"/>
    </row>
    <row r="766" ht="14.25" customHeight="1">
      <c r="G766" s="187"/>
    </row>
    <row r="767" ht="14.25" customHeight="1">
      <c r="G767" s="187"/>
    </row>
    <row r="768" ht="14.25" customHeight="1">
      <c r="G768" s="187"/>
    </row>
    <row r="769" ht="14.25" customHeight="1">
      <c r="G769" s="187"/>
    </row>
    <row r="770" ht="14.25" customHeight="1">
      <c r="G770" s="187"/>
    </row>
    <row r="771" ht="14.25" customHeight="1">
      <c r="G771" s="187"/>
    </row>
    <row r="772" ht="14.25" customHeight="1">
      <c r="G772" s="187"/>
    </row>
    <row r="773" ht="14.25" customHeight="1">
      <c r="G773" s="187"/>
    </row>
    <row r="774" ht="14.25" customHeight="1">
      <c r="G774" s="187"/>
    </row>
    <row r="775" ht="14.25" customHeight="1">
      <c r="G775" s="187"/>
    </row>
    <row r="776" ht="14.25" customHeight="1">
      <c r="G776" s="187"/>
    </row>
    <row r="777" ht="14.25" customHeight="1">
      <c r="G777" s="187"/>
    </row>
    <row r="778" ht="14.25" customHeight="1">
      <c r="G778" s="187"/>
    </row>
    <row r="779" ht="14.25" customHeight="1">
      <c r="G779" s="187"/>
    </row>
    <row r="780" ht="14.25" customHeight="1">
      <c r="G780" s="187"/>
    </row>
    <row r="781" ht="14.25" customHeight="1">
      <c r="G781" s="187"/>
    </row>
    <row r="782" ht="14.25" customHeight="1">
      <c r="G782" s="187"/>
    </row>
    <row r="783" ht="14.25" customHeight="1">
      <c r="G783" s="187"/>
    </row>
    <row r="784" ht="14.25" customHeight="1">
      <c r="G784" s="187"/>
    </row>
    <row r="785" ht="14.25" customHeight="1">
      <c r="G785" s="187"/>
    </row>
    <row r="786" ht="14.25" customHeight="1">
      <c r="G786" s="187"/>
    </row>
    <row r="787" ht="14.25" customHeight="1">
      <c r="G787" s="187"/>
    </row>
    <row r="788" ht="14.25" customHeight="1">
      <c r="G788" s="187"/>
    </row>
    <row r="789" ht="14.25" customHeight="1">
      <c r="G789" s="187"/>
    </row>
    <row r="790" ht="14.25" customHeight="1">
      <c r="G790" s="187"/>
    </row>
    <row r="791" ht="14.25" customHeight="1">
      <c r="G791" s="187"/>
    </row>
    <row r="792" ht="14.25" customHeight="1">
      <c r="G792" s="187"/>
    </row>
    <row r="793" ht="14.25" customHeight="1">
      <c r="G793" s="187"/>
    </row>
    <row r="794" ht="14.25" customHeight="1">
      <c r="G794" s="187"/>
    </row>
    <row r="795" ht="14.25" customHeight="1">
      <c r="G795" s="187"/>
    </row>
    <row r="796" ht="14.25" customHeight="1">
      <c r="G796" s="187"/>
    </row>
    <row r="797" ht="14.25" customHeight="1">
      <c r="G797" s="187"/>
    </row>
    <row r="798" ht="14.25" customHeight="1">
      <c r="G798" s="187"/>
    </row>
    <row r="799" ht="14.25" customHeight="1">
      <c r="G799" s="187"/>
    </row>
    <row r="800" ht="14.25" customHeight="1">
      <c r="G800" s="187"/>
    </row>
    <row r="801" ht="14.25" customHeight="1">
      <c r="G801" s="187"/>
    </row>
    <row r="802" ht="14.25" customHeight="1">
      <c r="G802" s="187"/>
    </row>
    <row r="803" ht="14.25" customHeight="1">
      <c r="G803" s="187"/>
    </row>
    <row r="804" ht="14.25" customHeight="1">
      <c r="G804" s="187"/>
    </row>
    <row r="805" ht="14.25" customHeight="1">
      <c r="G805" s="187"/>
    </row>
    <row r="806" ht="14.25" customHeight="1">
      <c r="G806" s="187"/>
    </row>
    <row r="807" ht="14.25" customHeight="1">
      <c r="G807" s="187"/>
    </row>
    <row r="808" ht="14.25" customHeight="1">
      <c r="G808" s="187"/>
    </row>
    <row r="809" ht="14.25" customHeight="1">
      <c r="G809" s="187"/>
    </row>
    <row r="810" ht="14.25" customHeight="1">
      <c r="G810" s="187"/>
    </row>
    <row r="811" ht="14.25" customHeight="1">
      <c r="G811" s="187"/>
    </row>
    <row r="812" ht="14.25" customHeight="1">
      <c r="G812" s="187"/>
    </row>
    <row r="813" ht="14.25" customHeight="1">
      <c r="G813" s="187"/>
    </row>
    <row r="814" ht="14.25" customHeight="1">
      <c r="G814" s="187"/>
    </row>
    <row r="815" ht="14.25" customHeight="1">
      <c r="G815" s="187"/>
    </row>
    <row r="816" ht="14.25" customHeight="1">
      <c r="G816" s="187"/>
    </row>
    <row r="817" ht="14.25" customHeight="1">
      <c r="G817" s="187"/>
    </row>
    <row r="818" ht="14.25" customHeight="1">
      <c r="G818" s="187"/>
    </row>
    <row r="819" ht="14.25" customHeight="1">
      <c r="G819" s="187"/>
    </row>
    <row r="820" ht="14.25" customHeight="1">
      <c r="G820" s="187"/>
    </row>
    <row r="821" ht="14.25" customHeight="1">
      <c r="G821" s="187"/>
    </row>
    <row r="822" ht="14.25" customHeight="1">
      <c r="G822" s="187"/>
    </row>
    <row r="823" ht="14.25" customHeight="1">
      <c r="G823" s="187"/>
    </row>
    <row r="824" ht="14.25" customHeight="1">
      <c r="G824" s="187"/>
    </row>
    <row r="825" ht="14.25" customHeight="1">
      <c r="G825" s="187"/>
    </row>
    <row r="826" ht="14.25" customHeight="1">
      <c r="G826" s="187"/>
    </row>
    <row r="827" ht="14.25" customHeight="1">
      <c r="G827" s="187"/>
    </row>
    <row r="828" ht="14.25" customHeight="1">
      <c r="G828" s="187"/>
    </row>
    <row r="829" ht="14.25" customHeight="1">
      <c r="G829" s="187"/>
    </row>
    <row r="830" ht="14.25" customHeight="1">
      <c r="G830" s="187"/>
    </row>
    <row r="831" ht="14.25" customHeight="1">
      <c r="G831" s="187"/>
    </row>
    <row r="832" ht="14.25" customHeight="1">
      <c r="G832" s="187"/>
    </row>
    <row r="833" ht="14.25" customHeight="1">
      <c r="G833" s="187"/>
    </row>
    <row r="834" ht="14.25" customHeight="1">
      <c r="G834" s="187"/>
    </row>
    <row r="835" ht="14.25" customHeight="1">
      <c r="G835" s="187"/>
    </row>
    <row r="836" ht="14.25" customHeight="1">
      <c r="G836" s="187"/>
    </row>
    <row r="837" ht="14.25" customHeight="1">
      <c r="G837" s="187"/>
    </row>
    <row r="838" ht="14.25" customHeight="1">
      <c r="G838" s="187"/>
    </row>
    <row r="839" ht="14.25" customHeight="1">
      <c r="G839" s="187"/>
    </row>
    <row r="840" ht="14.25" customHeight="1">
      <c r="G840" s="187"/>
    </row>
    <row r="841" ht="14.25" customHeight="1">
      <c r="G841" s="187"/>
    </row>
    <row r="842" ht="14.25" customHeight="1">
      <c r="G842" s="187"/>
    </row>
    <row r="843" ht="14.25" customHeight="1">
      <c r="G843" s="187"/>
    </row>
    <row r="844" ht="14.25" customHeight="1">
      <c r="G844" s="187"/>
    </row>
    <row r="845" ht="14.25" customHeight="1">
      <c r="G845" s="187"/>
    </row>
    <row r="846" ht="14.25" customHeight="1">
      <c r="G846" s="187"/>
    </row>
    <row r="847" ht="14.25" customHeight="1">
      <c r="G847" s="187"/>
    </row>
    <row r="848" ht="14.25" customHeight="1">
      <c r="G848" s="187"/>
    </row>
    <row r="849" ht="14.25" customHeight="1">
      <c r="G849" s="187"/>
    </row>
    <row r="850" ht="14.25" customHeight="1">
      <c r="G850" s="187"/>
    </row>
    <row r="851" ht="14.25" customHeight="1">
      <c r="G851" s="187"/>
    </row>
    <row r="852" ht="14.25" customHeight="1">
      <c r="G852" s="187"/>
    </row>
    <row r="853" ht="14.25" customHeight="1">
      <c r="G853" s="187"/>
    </row>
    <row r="854" ht="14.25" customHeight="1">
      <c r="G854" s="187"/>
    </row>
    <row r="855" ht="14.25" customHeight="1">
      <c r="G855" s="187"/>
    </row>
    <row r="856" ht="14.25" customHeight="1">
      <c r="G856" s="187"/>
    </row>
    <row r="857" ht="14.25" customHeight="1">
      <c r="G857" s="187"/>
    </row>
    <row r="858" ht="14.25" customHeight="1">
      <c r="G858" s="187"/>
    </row>
    <row r="859" ht="14.25" customHeight="1">
      <c r="G859" s="187"/>
    </row>
    <row r="860" ht="14.25" customHeight="1">
      <c r="G860" s="187"/>
    </row>
    <row r="861" ht="14.25" customHeight="1">
      <c r="G861" s="187"/>
    </row>
    <row r="862" ht="14.25" customHeight="1">
      <c r="G862" s="187"/>
    </row>
    <row r="863" ht="14.25" customHeight="1">
      <c r="G863" s="187"/>
    </row>
    <row r="864" ht="14.25" customHeight="1">
      <c r="G864" s="187"/>
    </row>
    <row r="865" ht="14.25" customHeight="1">
      <c r="G865" s="187"/>
    </row>
    <row r="866" ht="14.25" customHeight="1">
      <c r="G866" s="187"/>
    </row>
    <row r="867" ht="14.25" customHeight="1">
      <c r="G867" s="187"/>
    </row>
    <row r="868" ht="14.25" customHeight="1">
      <c r="G868" s="187"/>
    </row>
    <row r="869" ht="14.25" customHeight="1">
      <c r="G869" s="187"/>
    </row>
    <row r="870" ht="14.25" customHeight="1">
      <c r="G870" s="187"/>
    </row>
    <row r="871" ht="14.25" customHeight="1">
      <c r="G871" s="187"/>
    </row>
    <row r="872" ht="14.25" customHeight="1">
      <c r="G872" s="187"/>
    </row>
    <row r="873" ht="14.25" customHeight="1">
      <c r="G873" s="187"/>
    </row>
    <row r="874" ht="14.25" customHeight="1">
      <c r="G874" s="187"/>
    </row>
    <row r="875" ht="14.25" customHeight="1">
      <c r="G875" s="187"/>
    </row>
    <row r="876" ht="14.25" customHeight="1">
      <c r="G876" s="187"/>
    </row>
    <row r="877" ht="14.25" customHeight="1">
      <c r="G877" s="187"/>
    </row>
    <row r="878" ht="14.25" customHeight="1">
      <c r="G878" s="187"/>
    </row>
    <row r="879" ht="14.25" customHeight="1">
      <c r="G879" s="187"/>
    </row>
    <row r="880" ht="14.25" customHeight="1">
      <c r="G880" s="187"/>
    </row>
    <row r="881" ht="14.25" customHeight="1">
      <c r="G881" s="187"/>
    </row>
    <row r="882" ht="14.25" customHeight="1">
      <c r="G882" s="187"/>
    </row>
    <row r="883" ht="14.25" customHeight="1">
      <c r="G883" s="187"/>
    </row>
    <row r="884" ht="14.25" customHeight="1">
      <c r="G884" s="187"/>
    </row>
    <row r="885" ht="14.25" customHeight="1">
      <c r="G885" s="187"/>
    </row>
    <row r="886" ht="14.25" customHeight="1">
      <c r="G886" s="187"/>
    </row>
    <row r="887" ht="14.25" customHeight="1">
      <c r="G887" s="187"/>
    </row>
    <row r="888" ht="14.25" customHeight="1">
      <c r="G888" s="187"/>
    </row>
    <row r="889" ht="14.25" customHeight="1">
      <c r="G889" s="187"/>
    </row>
    <row r="890" ht="14.25" customHeight="1">
      <c r="G890" s="187"/>
    </row>
    <row r="891" ht="14.25" customHeight="1">
      <c r="G891" s="187"/>
    </row>
    <row r="892" ht="14.25" customHeight="1">
      <c r="G892" s="187"/>
    </row>
    <row r="893" ht="14.25" customHeight="1">
      <c r="G893" s="187"/>
    </row>
    <row r="894" ht="14.25" customHeight="1">
      <c r="G894" s="187"/>
    </row>
    <row r="895" ht="14.25" customHeight="1">
      <c r="G895" s="187"/>
    </row>
    <row r="896" ht="14.25" customHeight="1">
      <c r="G896" s="187"/>
    </row>
    <row r="897" ht="14.25" customHeight="1">
      <c r="G897" s="187"/>
    </row>
    <row r="898" ht="14.25" customHeight="1">
      <c r="G898" s="187"/>
    </row>
    <row r="899" ht="14.25" customHeight="1">
      <c r="G899" s="187"/>
    </row>
    <row r="900" ht="14.25" customHeight="1">
      <c r="G900" s="187"/>
    </row>
    <row r="901" ht="14.25" customHeight="1">
      <c r="G901" s="187"/>
    </row>
    <row r="902" ht="14.25" customHeight="1">
      <c r="G902" s="187"/>
    </row>
    <row r="903" ht="14.25" customHeight="1">
      <c r="G903" s="187"/>
    </row>
    <row r="904" ht="14.25" customHeight="1">
      <c r="G904" s="187"/>
    </row>
    <row r="905" ht="14.25" customHeight="1">
      <c r="G905" s="187"/>
    </row>
    <row r="906" ht="14.25" customHeight="1">
      <c r="G906" s="187"/>
    </row>
    <row r="907" ht="14.25" customHeight="1">
      <c r="G907" s="187"/>
    </row>
    <row r="908" ht="14.25" customHeight="1">
      <c r="G908" s="187"/>
    </row>
    <row r="909" ht="14.25" customHeight="1">
      <c r="G909" s="187"/>
    </row>
    <row r="910" ht="14.25" customHeight="1">
      <c r="G910" s="187"/>
    </row>
    <row r="911" ht="14.25" customHeight="1">
      <c r="G911" s="187"/>
    </row>
    <row r="912" ht="14.25" customHeight="1">
      <c r="G912" s="187"/>
    </row>
    <row r="913" ht="14.25" customHeight="1">
      <c r="G913" s="187"/>
    </row>
    <row r="914" ht="14.25" customHeight="1">
      <c r="G914" s="187"/>
    </row>
    <row r="915" ht="14.25" customHeight="1">
      <c r="G915" s="187"/>
    </row>
    <row r="916" ht="14.25" customHeight="1">
      <c r="G916" s="187"/>
    </row>
    <row r="917" ht="14.25" customHeight="1">
      <c r="G917" s="187"/>
    </row>
    <row r="918" ht="14.25" customHeight="1">
      <c r="G918" s="187"/>
    </row>
    <row r="919" ht="14.25" customHeight="1">
      <c r="G919" s="187"/>
    </row>
    <row r="920" ht="14.25" customHeight="1">
      <c r="G920" s="187"/>
    </row>
    <row r="921" ht="14.25" customHeight="1">
      <c r="G921" s="187"/>
    </row>
    <row r="922" ht="14.25" customHeight="1">
      <c r="G922" s="187"/>
    </row>
    <row r="923" ht="14.25" customHeight="1">
      <c r="G923" s="187"/>
    </row>
    <row r="924" ht="14.25" customHeight="1">
      <c r="G924" s="187"/>
    </row>
    <row r="925" ht="14.25" customHeight="1">
      <c r="G925" s="187"/>
    </row>
    <row r="926" ht="14.25" customHeight="1">
      <c r="G926" s="187"/>
    </row>
    <row r="927" ht="14.25" customHeight="1">
      <c r="G927" s="187"/>
    </row>
    <row r="928" ht="14.25" customHeight="1">
      <c r="G928" s="187"/>
    </row>
    <row r="929" ht="14.25" customHeight="1">
      <c r="G929" s="187"/>
    </row>
    <row r="930" ht="14.25" customHeight="1">
      <c r="G930" s="187"/>
    </row>
    <row r="931" ht="14.25" customHeight="1">
      <c r="G931" s="187"/>
    </row>
    <row r="932" ht="14.25" customHeight="1">
      <c r="G932" s="187"/>
    </row>
    <row r="933" ht="14.25" customHeight="1">
      <c r="G933" s="187"/>
    </row>
    <row r="934" ht="14.25" customHeight="1">
      <c r="G934" s="187"/>
    </row>
    <row r="935" ht="14.25" customHeight="1">
      <c r="G935" s="187"/>
    </row>
    <row r="936" ht="14.25" customHeight="1">
      <c r="G936" s="187"/>
    </row>
    <row r="937" ht="14.25" customHeight="1">
      <c r="G937" s="187"/>
    </row>
    <row r="938" ht="14.25" customHeight="1">
      <c r="G938" s="187"/>
    </row>
    <row r="939" ht="14.25" customHeight="1">
      <c r="G939" s="187"/>
    </row>
    <row r="940" ht="14.25" customHeight="1">
      <c r="G940" s="187"/>
    </row>
    <row r="941" ht="14.25" customHeight="1">
      <c r="G941" s="187"/>
    </row>
    <row r="942" ht="14.25" customHeight="1">
      <c r="G942" s="187"/>
    </row>
    <row r="943" ht="14.25" customHeight="1">
      <c r="G943" s="187"/>
    </row>
    <row r="944" ht="14.25" customHeight="1">
      <c r="G944" s="187"/>
    </row>
    <row r="945" ht="14.25" customHeight="1">
      <c r="G945" s="187"/>
    </row>
    <row r="946" ht="14.25" customHeight="1">
      <c r="G946" s="187"/>
    </row>
    <row r="947" ht="14.25" customHeight="1">
      <c r="G947" s="187"/>
    </row>
    <row r="948" ht="14.25" customHeight="1">
      <c r="G948" s="187"/>
    </row>
    <row r="949" ht="14.25" customHeight="1">
      <c r="G949" s="187"/>
    </row>
    <row r="950" ht="14.25" customHeight="1">
      <c r="G950" s="187"/>
    </row>
    <row r="951" ht="14.25" customHeight="1">
      <c r="G951" s="187"/>
    </row>
    <row r="952" ht="14.25" customHeight="1">
      <c r="G952" s="187"/>
    </row>
    <row r="953" ht="14.25" customHeight="1">
      <c r="G953" s="187"/>
    </row>
    <row r="954" ht="14.25" customHeight="1">
      <c r="G954" s="187"/>
    </row>
    <row r="955" ht="14.25" customHeight="1">
      <c r="G955" s="187"/>
    </row>
    <row r="956" ht="14.25" customHeight="1">
      <c r="G956" s="187"/>
    </row>
    <row r="957" ht="14.25" customHeight="1">
      <c r="G957" s="187"/>
    </row>
    <row r="958" ht="14.25" customHeight="1">
      <c r="G958" s="187"/>
    </row>
    <row r="959" ht="14.25" customHeight="1">
      <c r="G959" s="187"/>
    </row>
    <row r="960" ht="14.25" customHeight="1">
      <c r="G960" s="187"/>
    </row>
    <row r="961" ht="14.25" customHeight="1">
      <c r="G961" s="187"/>
    </row>
    <row r="962" ht="14.25" customHeight="1">
      <c r="G962" s="187"/>
    </row>
    <row r="963" ht="14.25" customHeight="1">
      <c r="G963" s="187"/>
    </row>
    <row r="964" ht="14.25" customHeight="1">
      <c r="G964" s="187"/>
    </row>
    <row r="965" ht="14.25" customHeight="1">
      <c r="G965" s="187"/>
    </row>
    <row r="966" ht="14.25" customHeight="1">
      <c r="G966" s="187"/>
    </row>
    <row r="967" ht="14.25" customHeight="1">
      <c r="G967" s="187"/>
    </row>
    <row r="968" ht="14.25" customHeight="1">
      <c r="G968" s="187"/>
    </row>
    <row r="969" ht="14.25" customHeight="1">
      <c r="G969" s="187"/>
    </row>
    <row r="970" ht="14.25" customHeight="1">
      <c r="G970" s="187"/>
    </row>
    <row r="971" ht="14.25" customHeight="1">
      <c r="G971" s="187"/>
    </row>
    <row r="972" ht="14.25" customHeight="1">
      <c r="G972" s="187"/>
    </row>
    <row r="973" ht="14.25" customHeight="1">
      <c r="G973" s="187"/>
    </row>
    <row r="974" ht="14.25" customHeight="1">
      <c r="G974" s="187"/>
    </row>
    <row r="975" ht="14.25" customHeight="1">
      <c r="G975" s="187"/>
    </row>
    <row r="976" ht="14.25" customHeight="1">
      <c r="G976" s="187"/>
    </row>
    <row r="977" ht="14.25" customHeight="1">
      <c r="G977" s="187"/>
    </row>
    <row r="978" ht="14.25" customHeight="1">
      <c r="G978" s="187"/>
    </row>
    <row r="979" ht="14.25" customHeight="1">
      <c r="G979" s="187"/>
    </row>
    <row r="980" ht="14.25" customHeight="1">
      <c r="G980" s="187"/>
    </row>
    <row r="981" ht="14.25" customHeight="1">
      <c r="G981" s="187"/>
    </row>
    <row r="982" ht="14.25" customHeight="1">
      <c r="G982" s="187"/>
    </row>
    <row r="983" ht="14.25" customHeight="1">
      <c r="G983" s="187"/>
    </row>
    <row r="984" ht="14.25" customHeight="1">
      <c r="G984" s="187"/>
    </row>
    <row r="985" ht="14.25" customHeight="1">
      <c r="G985" s="187"/>
    </row>
    <row r="986" ht="14.25" customHeight="1">
      <c r="G986" s="187"/>
    </row>
    <row r="987" ht="14.25" customHeight="1">
      <c r="G987" s="187"/>
    </row>
    <row r="988" ht="14.25" customHeight="1">
      <c r="G988" s="187"/>
    </row>
    <row r="989" ht="14.25" customHeight="1">
      <c r="G989" s="187"/>
    </row>
    <row r="990" ht="14.25" customHeight="1">
      <c r="G990" s="187"/>
    </row>
    <row r="991" ht="14.25" customHeight="1">
      <c r="G991" s="187"/>
    </row>
    <row r="992" ht="14.25" customHeight="1">
      <c r="G992" s="187"/>
    </row>
    <row r="993" ht="14.25" customHeight="1">
      <c r="G993" s="187"/>
    </row>
    <row r="994" ht="14.25" customHeight="1">
      <c r="G994" s="187"/>
    </row>
    <row r="995" ht="14.25" customHeight="1">
      <c r="G995" s="187"/>
    </row>
    <row r="996" ht="14.25" customHeight="1">
      <c r="G996" s="187"/>
    </row>
    <row r="997" ht="14.25" customHeight="1">
      <c r="G997" s="187"/>
    </row>
    <row r="998" ht="14.25" customHeight="1">
      <c r="G998" s="187"/>
    </row>
    <row r="999" ht="14.25" customHeight="1">
      <c r="G999" s="187"/>
    </row>
    <row r="1000" ht="14.25" customHeight="1">
      <c r="G1000" s="187"/>
    </row>
  </sheetData>
  <mergeCells count="27">
    <mergeCell ref="AL6:AL7"/>
    <mergeCell ref="AM6:AM7"/>
    <mergeCell ref="AN9:AV9"/>
    <mergeCell ref="AN15:AP15"/>
    <mergeCell ref="AN34:AT34"/>
    <mergeCell ref="AN41:AS41"/>
    <mergeCell ref="A5:D5"/>
    <mergeCell ref="B6:B7"/>
    <mergeCell ref="C6:C7"/>
    <mergeCell ref="D6:D7"/>
    <mergeCell ref="E6:E7"/>
    <mergeCell ref="F6:F7"/>
    <mergeCell ref="G6:G7"/>
    <mergeCell ref="B54:G54"/>
    <mergeCell ref="B55:G55"/>
    <mergeCell ref="A61:G61"/>
    <mergeCell ref="E65:G65"/>
    <mergeCell ref="L65:S65"/>
    <mergeCell ref="E67:G67"/>
    <mergeCell ref="E69:G69"/>
    <mergeCell ref="G29:G32"/>
    <mergeCell ref="G33:G36"/>
    <mergeCell ref="A43:A44"/>
    <mergeCell ref="B43:B44"/>
    <mergeCell ref="C43:C44"/>
    <mergeCell ref="D43:D44"/>
    <mergeCell ref="B53:G5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10.14"/>
    <col customWidth="1" min="4" max="4" width="30.43"/>
    <col customWidth="1" min="5" max="5" width="25.57"/>
    <col customWidth="1" min="6" max="6" width="9.29"/>
    <col customWidth="1" min="7" max="7" width="7.43"/>
    <col customWidth="1" min="8" max="8" width="5.14"/>
    <col customWidth="1" min="9" max="9" width="4.71"/>
    <col customWidth="1" min="10" max="10" width="4.43"/>
    <col customWidth="1" min="11" max="11" width="4.71"/>
    <col customWidth="1" min="12" max="14" width="5.29"/>
    <col customWidth="1" min="15" max="15" width="5.14"/>
    <col customWidth="1" min="16" max="16" width="5.29"/>
    <col customWidth="1" min="17" max="17" width="4.57"/>
    <col customWidth="1" min="18" max="18" width="5.29"/>
    <col customWidth="1" min="19" max="19" width="5.0"/>
    <col customWidth="1" min="20" max="20" width="5.29"/>
    <col customWidth="1" min="21" max="21" width="5.0"/>
    <col customWidth="1" min="22" max="23" width="5.29"/>
    <col customWidth="1" min="24" max="24" width="5.14"/>
    <col customWidth="1" min="25" max="25" width="4.71"/>
    <col customWidth="1" min="26" max="26" width="5.0"/>
    <col customWidth="1" min="27" max="27" width="4.86"/>
    <col customWidth="1" min="28" max="30" width="5.0"/>
    <col customWidth="1" min="31" max="31" width="5.29"/>
    <col customWidth="1" min="32" max="32" width="4.86"/>
    <col customWidth="1" min="33" max="33" width="4.71"/>
    <col customWidth="1" min="34" max="37" width="4.57"/>
    <col customWidth="1" min="38" max="38" width="12.71"/>
    <col customWidth="1" min="39" max="39" width="17.43"/>
    <col customWidth="1" min="40" max="40" width="17.57"/>
    <col customWidth="1" min="41" max="41" width="11.71"/>
    <col customWidth="1" min="42" max="48" width="8.71"/>
  </cols>
  <sheetData>
    <row r="1" ht="14.25" customHeight="1">
      <c r="A1" s="2"/>
      <c r="B1" s="3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2"/>
      <c r="G3" s="4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2"/>
      <c r="G4" s="4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7</v>
      </c>
      <c r="B5" s="9"/>
      <c r="C5" s="9"/>
      <c r="D5" s="9"/>
      <c r="E5" s="2"/>
      <c r="F5" s="2"/>
      <c r="G5" s="4"/>
      <c r="H5" s="5"/>
      <c r="I5" s="5"/>
      <c r="J5" s="5"/>
      <c r="K5" s="5"/>
      <c r="L5" s="5"/>
      <c r="M5" s="5"/>
      <c r="N5" s="5"/>
      <c r="O5" s="5"/>
      <c r="P5" s="5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 t="s">
        <v>12</v>
      </c>
      <c r="G6" s="13" t="s">
        <v>13</v>
      </c>
      <c r="H6" s="15">
        <v>1.0</v>
      </c>
      <c r="I6" s="15">
        <f t="shared" ref="I6:AB6" si="1">H6+1</f>
        <v>2</v>
      </c>
      <c r="J6" s="15">
        <f t="shared" si="1"/>
        <v>3</v>
      </c>
      <c r="K6" s="15">
        <f t="shared" si="1"/>
        <v>4</v>
      </c>
      <c r="L6" s="15">
        <f t="shared" si="1"/>
        <v>5</v>
      </c>
      <c r="M6" s="15">
        <f t="shared" si="1"/>
        <v>6</v>
      </c>
      <c r="N6" s="15">
        <f t="shared" si="1"/>
        <v>7</v>
      </c>
      <c r="O6" s="15">
        <f t="shared" si="1"/>
        <v>8</v>
      </c>
      <c r="P6" s="15">
        <f t="shared" si="1"/>
        <v>9</v>
      </c>
      <c r="Q6" s="15">
        <f t="shared" si="1"/>
        <v>10</v>
      </c>
      <c r="R6" s="15">
        <f t="shared" si="1"/>
        <v>11</v>
      </c>
      <c r="S6" s="15">
        <f t="shared" si="1"/>
        <v>12</v>
      </c>
      <c r="T6" s="15">
        <f t="shared" si="1"/>
        <v>13</v>
      </c>
      <c r="U6" s="15">
        <f t="shared" si="1"/>
        <v>14</v>
      </c>
      <c r="V6" s="15">
        <f t="shared" si="1"/>
        <v>15</v>
      </c>
      <c r="W6" s="15">
        <f t="shared" si="1"/>
        <v>16</v>
      </c>
      <c r="X6" s="15">
        <f t="shared" si="1"/>
        <v>17</v>
      </c>
      <c r="Y6" s="15">
        <f t="shared" si="1"/>
        <v>18</v>
      </c>
      <c r="Z6" s="15">
        <f t="shared" si="1"/>
        <v>19</v>
      </c>
      <c r="AA6" s="15">
        <f t="shared" si="1"/>
        <v>20</v>
      </c>
      <c r="AB6" s="15">
        <f t="shared" si="1"/>
        <v>21</v>
      </c>
      <c r="AC6" s="15">
        <v>22.0</v>
      </c>
      <c r="AD6" s="15">
        <v>23.0</v>
      </c>
      <c r="AE6" s="15">
        <v>24.0</v>
      </c>
      <c r="AF6" s="15">
        <v>25.0</v>
      </c>
      <c r="AG6" s="15">
        <v>26.0</v>
      </c>
      <c r="AH6" s="15">
        <v>27.0</v>
      </c>
      <c r="AI6" s="15">
        <v>28.0</v>
      </c>
      <c r="AJ6" s="15">
        <v>29.0</v>
      </c>
      <c r="AK6" s="15">
        <v>30.0</v>
      </c>
      <c r="AL6" s="13" t="s">
        <v>14</v>
      </c>
      <c r="AM6" s="13" t="s">
        <v>15</v>
      </c>
    </row>
    <row r="7" ht="14.25" customHeight="1">
      <c r="A7" s="16"/>
      <c r="B7" s="17"/>
      <c r="C7" s="17"/>
      <c r="D7" s="17"/>
      <c r="E7" s="17"/>
      <c r="F7" s="17"/>
      <c r="G7" s="17"/>
      <c r="H7" s="18" t="s">
        <v>21</v>
      </c>
      <c r="I7" s="18" t="s">
        <v>22</v>
      </c>
      <c r="J7" s="18" t="s">
        <v>16</v>
      </c>
      <c r="K7" s="18" t="s">
        <v>17</v>
      </c>
      <c r="L7" s="18" t="s">
        <v>18</v>
      </c>
      <c r="M7" s="18" t="s">
        <v>19</v>
      </c>
      <c r="N7" s="18" t="s">
        <v>20</v>
      </c>
      <c r="O7" s="18" t="s">
        <v>21</v>
      </c>
      <c r="P7" s="18" t="s">
        <v>22</v>
      </c>
      <c r="Q7" s="18" t="s">
        <v>16</v>
      </c>
      <c r="R7" s="18" t="s">
        <v>17</v>
      </c>
      <c r="S7" s="18" t="s">
        <v>18</v>
      </c>
      <c r="T7" s="18" t="s">
        <v>19</v>
      </c>
      <c r="U7" s="18" t="s">
        <v>20</v>
      </c>
      <c r="V7" s="18" t="s">
        <v>21</v>
      </c>
      <c r="W7" s="18" t="s">
        <v>22</v>
      </c>
      <c r="X7" s="18" t="s">
        <v>16</v>
      </c>
      <c r="Y7" s="18" t="s">
        <v>17</v>
      </c>
      <c r="Z7" s="18" t="s">
        <v>18</v>
      </c>
      <c r="AA7" s="18" t="s">
        <v>19</v>
      </c>
      <c r="AB7" s="18" t="s">
        <v>20</v>
      </c>
      <c r="AC7" s="18" t="s">
        <v>21</v>
      </c>
      <c r="AD7" s="18" t="s">
        <v>22</v>
      </c>
      <c r="AE7" s="18" t="s">
        <v>16</v>
      </c>
      <c r="AF7" s="18" t="s">
        <v>17</v>
      </c>
      <c r="AG7" s="18" t="s">
        <v>18</v>
      </c>
      <c r="AH7" s="18" t="s">
        <v>19</v>
      </c>
      <c r="AI7" s="18" t="s">
        <v>20</v>
      </c>
      <c r="AJ7" s="18" t="s">
        <v>21</v>
      </c>
      <c r="AK7" s="18" t="s">
        <v>22</v>
      </c>
      <c r="AL7" s="17"/>
      <c r="AM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2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7">
        <v>12.0</v>
      </c>
      <c r="G9" s="28" t="s">
        <v>26</v>
      </c>
      <c r="H9" s="29">
        <v>12.0</v>
      </c>
      <c r="I9" s="29">
        <v>12.0</v>
      </c>
      <c r="J9" s="29">
        <v>12.0</v>
      </c>
      <c r="K9" s="29">
        <v>12.0</v>
      </c>
      <c r="L9" s="30">
        <v>12.0</v>
      </c>
      <c r="M9" s="30">
        <v>12.0</v>
      </c>
      <c r="N9" s="29"/>
      <c r="O9" s="29">
        <v>12.0</v>
      </c>
      <c r="P9" s="29">
        <v>12.0</v>
      </c>
      <c r="Q9" s="29">
        <v>12.0</v>
      </c>
      <c r="R9" s="29">
        <v>12.0</v>
      </c>
      <c r="S9" s="30">
        <v>12.0</v>
      </c>
      <c r="T9" s="30">
        <v>12.0</v>
      </c>
      <c r="U9" s="29"/>
      <c r="V9" s="29">
        <v>12.0</v>
      </c>
      <c r="W9" s="29">
        <v>12.0</v>
      </c>
      <c r="X9" s="29">
        <v>12.0</v>
      </c>
      <c r="Y9" s="29">
        <v>12.0</v>
      </c>
      <c r="Z9" s="30">
        <v>12.0</v>
      </c>
      <c r="AA9" s="30">
        <v>12.0</v>
      </c>
      <c r="AB9" s="29"/>
      <c r="AC9" s="29">
        <v>12.0</v>
      </c>
      <c r="AD9" s="29">
        <v>12.0</v>
      </c>
      <c r="AE9" s="29">
        <v>12.0</v>
      </c>
      <c r="AF9" s="29">
        <v>12.0</v>
      </c>
      <c r="AG9" s="30">
        <v>12.0</v>
      </c>
      <c r="AH9" s="30">
        <v>12.0</v>
      </c>
      <c r="AI9" s="29"/>
      <c r="AJ9" s="29">
        <v>12.0</v>
      </c>
      <c r="AK9" s="29">
        <v>12.0</v>
      </c>
      <c r="AL9" s="31">
        <f t="shared" ref="AL9:AL14" si="2">COUNTA(H9:AK9)</f>
        <v>26</v>
      </c>
      <c r="AM9" s="32">
        <f t="shared" ref="AM9:AM14" si="3">SUM(H9:AK9)</f>
        <v>312</v>
      </c>
      <c r="AN9" s="33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7">
        <v>9.0</v>
      </c>
      <c r="G10" s="28" t="s">
        <v>30</v>
      </c>
      <c r="H10" s="29">
        <v>9.0</v>
      </c>
      <c r="I10" s="29">
        <v>9.0</v>
      </c>
      <c r="J10" s="29">
        <v>9.0</v>
      </c>
      <c r="K10" s="29">
        <v>9.0</v>
      </c>
      <c r="L10" s="30">
        <v>9.0</v>
      </c>
      <c r="M10" s="30"/>
      <c r="N10" s="29"/>
      <c r="O10" s="29">
        <v>9.0</v>
      </c>
      <c r="P10" s="29">
        <v>9.0</v>
      </c>
      <c r="Q10" s="29">
        <v>9.0</v>
      </c>
      <c r="R10" s="29">
        <v>9.0</v>
      </c>
      <c r="S10" s="30">
        <v>9.0</v>
      </c>
      <c r="T10" s="30"/>
      <c r="U10" s="29"/>
      <c r="V10" s="29">
        <v>9.0</v>
      </c>
      <c r="W10" s="29">
        <v>9.0</v>
      </c>
      <c r="X10" s="29">
        <v>9.0</v>
      </c>
      <c r="Y10" s="29">
        <v>9.0</v>
      </c>
      <c r="Z10" s="30">
        <v>9.0</v>
      </c>
      <c r="AA10" s="30"/>
      <c r="AB10" s="29"/>
      <c r="AC10" s="29">
        <v>9.0</v>
      </c>
      <c r="AD10" s="29">
        <v>9.0</v>
      </c>
      <c r="AE10" s="29">
        <v>9.0</v>
      </c>
      <c r="AF10" s="29">
        <v>9.0</v>
      </c>
      <c r="AG10" s="30">
        <v>9.0</v>
      </c>
      <c r="AH10" s="30">
        <v>9.0</v>
      </c>
      <c r="AI10" s="29">
        <v>9.0</v>
      </c>
      <c r="AJ10" s="29">
        <v>9.0</v>
      </c>
      <c r="AK10" s="29">
        <v>9.0</v>
      </c>
      <c r="AL10" s="31">
        <f t="shared" si="2"/>
        <v>24</v>
      </c>
      <c r="AM10" s="32">
        <f t="shared" si="3"/>
        <v>216</v>
      </c>
    </row>
    <row r="11" ht="14.25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6">
        <v>9.0</v>
      </c>
      <c r="G11" s="28" t="s">
        <v>30</v>
      </c>
      <c r="H11" s="29">
        <v>9.0</v>
      </c>
      <c r="I11" s="29">
        <v>9.0</v>
      </c>
      <c r="J11" s="29">
        <v>9.0</v>
      </c>
      <c r="K11" s="29">
        <v>9.0</v>
      </c>
      <c r="L11" s="30">
        <v>9.0</v>
      </c>
      <c r="M11" s="30"/>
      <c r="N11" s="29"/>
      <c r="O11" s="29">
        <v>9.0</v>
      </c>
      <c r="P11" s="29">
        <v>9.0</v>
      </c>
      <c r="Q11" s="29">
        <v>9.0</v>
      </c>
      <c r="R11" s="29">
        <v>9.0</v>
      </c>
      <c r="S11" s="30">
        <v>9.0</v>
      </c>
      <c r="T11" s="30"/>
      <c r="U11" s="29"/>
      <c r="V11" s="29">
        <v>9.0</v>
      </c>
      <c r="W11" s="29">
        <v>9.0</v>
      </c>
      <c r="X11" s="29">
        <v>9.0</v>
      </c>
      <c r="Y11" s="29">
        <v>9.0</v>
      </c>
      <c r="Z11" s="30">
        <v>9.0</v>
      </c>
      <c r="AA11" s="30"/>
      <c r="AB11" s="29"/>
      <c r="AC11" s="29">
        <v>9.0</v>
      </c>
      <c r="AD11" s="29">
        <v>9.0</v>
      </c>
      <c r="AE11" s="29">
        <v>9.0</v>
      </c>
      <c r="AF11" s="29">
        <v>9.0</v>
      </c>
      <c r="AG11" s="30">
        <v>9.0</v>
      </c>
      <c r="AH11" s="30">
        <v>9.0</v>
      </c>
      <c r="AI11" s="29">
        <v>9.0</v>
      </c>
      <c r="AJ11" s="29">
        <v>9.0</v>
      </c>
      <c r="AK11" s="29">
        <v>9.0</v>
      </c>
      <c r="AL11" s="31">
        <f t="shared" si="2"/>
        <v>24</v>
      </c>
      <c r="AM11" s="32">
        <f t="shared" si="3"/>
        <v>216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7">
        <v>9.0</v>
      </c>
      <c r="G12" s="28" t="s">
        <v>30</v>
      </c>
      <c r="H12" s="29">
        <v>9.0</v>
      </c>
      <c r="I12" s="29">
        <v>9.0</v>
      </c>
      <c r="J12" s="29">
        <v>9.0</v>
      </c>
      <c r="K12" s="29">
        <v>9.0</v>
      </c>
      <c r="L12" s="30">
        <v>9.0</v>
      </c>
      <c r="M12" s="30"/>
      <c r="N12" s="29"/>
      <c r="O12" s="29">
        <v>9.0</v>
      </c>
      <c r="P12" s="29">
        <v>9.0</v>
      </c>
      <c r="Q12" s="29">
        <v>9.0</v>
      </c>
      <c r="R12" s="29">
        <v>9.0</v>
      </c>
      <c r="S12" s="30">
        <v>9.0</v>
      </c>
      <c r="T12" s="30"/>
      <c r="U12" s="29"/>
      <c r="V12" s="29">
        <v>9.0</v>
      </c>
      <c r="W12" s="29">
        <v>9.0</v>
      </c>
      <c r="X12" s="29">
        <v>9.0</v>
      </c>
      <c r="Y12" s="29">
        <v>9.0</v>
      </c>
      <c r="Z12" s="30">
        <v>9.0</v>
      </c>
      <c r="AA12" s="30"/>
      <c r="AB12" s="29"/>
      <c r="AC12" s="29">
        <v>9.0</v>
      </c>
      <c r="AD12" s="29">
        <v>9.0</v>
      </c>
      <c r="AE12" s="29">
        <v>9.0</v>
      </c>
      <c r="AF12" s="29">
        <v>9.0</v>
      </c>
      <c r="AG12" s="30">
        <v>9.0</v>
      </c>
      <c r="AH12" s="30">
        <v>9.0</v>
      </c>
      <c r="AI12" s="29">
        <v>9.0</v>
      </c>
      <c r="AJ12" s="29">
        <v>9.0</v>
      </c>
      <c r="AK12" s="29">
        <v>9.0</v>
      </c>
      <c r="AL12" s="31">
        <f t="shared" si="2"/>
        <v>24</v>
      </c>
      <c r="AM12" s="32">
        <f t="shared" si="3"/>
        <v>216</v>
      </c>
    </row>
    <row r="13" ht="14.25" customHeight="1">
      <c r="A13" s="24">
        <v>5.0</v>
      </c>
      <c r="B13" s="35" t="s">
        <v>36</v>
      </c>
      <c r="C13" s="27">
        <v>1.0</v>
      </c>
      <c r="D13" s="36" t="s">
        <v>37</v>
      </c>
      <c r="E13" s="27" t="s">
        <v>33</v>
      </c>
      <c r="F13" s="27">
        <v>9.0</v>
      </c>
      <c r="G13" s="28" t="s">
        <v>30</v>
      </c>
      <c r="H13" s="29">
        <v>9.0</v>
      </c>
      <c r="I13" s="29">
        <v>9.0</v>
      </c>
      <c r="J13" s="29">
        <v>9.0</v>
      </c>
      <c r="K13" s="29">
        <v>9.0</v>
      </c>
      <c r="L13" s="30">
        <v>9.0</v>
      </c>
      <c r="M13" s="30"/>
      <c r="N13" s="29"/>
      <c r="O13" s="29">
        <v>9.0</v>
      </c>
      <c r="P13" s="29">
        <v>9.0</v>
      </c>
      <c r="Q13" s="29">
        <v>9.0</v>
      </c>
      <c r="R13" s="29">
        <v>9.0</v>
      </c>
      <c r="S13" s="30">
        <v>9.0</v>
      </c>
      <c r="T13" s="30"/>
      <c r="U13" s="29"/>
      <c r="V13" s="29">
        <v>9.0</v>
      </c>
      <c r="W13" s="29">
        <v>9.0</v>
      </c>
      <c r="X13" s="29">
        <v>9.0</v>
      </c>
      <c r="Y13" s="29">
        <v>9.0</v>
      </c>
      <c r="Z13" s="30">
        <v>9.0</v>
      </c>
      <c r="AA13" s="30"/>
      <c r="AB13" s="29"/>
      <c r="AC13" s="29">
        <v>9.0</v>
      </c>
      <c r="AD13" s="29">
        <v>9.0</v>
      </c>
      <c r="AE13" s="29">
        <v>9.0</v>
      </c>
      <c r="AF13" s="29">
        <v>9.0</v>
      </c>
      <c r="AG13" s="30">
        <v>9.0</v>
      </c>
      <c r="AH13" s="30">
        <v>9.0</v>
      </c>
      <c r="AI13" s="29">
        <v>9.0</v>
      </c>
      <c r="AJ13" s="29">
        <v>9.0</v>
      </c>
      <c r="AK13" s="29">
        <v>9.0</v>
      </c>
      <c r="AL13" s="31">
        <f t="shared" si="2"/>
        <v>24</v>
      </c>
      <c r="AM13" s="32">
        <f t="shared" si="3"/>
        <v>216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42</v>
      </c>
      <c r="E14" s="27" t="s">
        <v>40</v>
      </c>
      <c r="F14" s="27">
        <v>12.0</v>
      </c>
      <c r="G14" s="28" t="s">
        <v>30</v>
      </c>
      <c r="H14" s="29">
        <v>12.0</v>
      </c>
      <c r="I14" s="44"/>
      <c r="J14" s="44"/>
      <c r="K14" s="29">
        <v>12.0</v>
      </c>
      <c r="L14" s="30">
        <v>12.0</v>
      </c>
      <c r="M14" s="30">
        <v>12.0</v>
      </c>
      <c r="N14" s="29">
        <v>12.0</v>
      </c>
      <c r="O14" s="29">
        <v>12.0</v>
      </c>
      <c r="P14" s="29"/>
      <c r="Q14" s="29"/>
      <c r="R14" s="29">
        <v>12.0</v>
      </c>
      <c r="S14" s="30">
        <v>12.0</v>
      </c>
      <c r="T14" s="30">
        <v>12.0</v>
      </c>
      <c r="U14" s="29">
        <v>12.0</v>
      </c>
      <c r="V14" s="29">
        <v>12.0</v>
      </c>
      <c r="W14" s="29"/>
      <c r="X14" s="29"/>
      <c r="Y14" s="29">
        <v>12.0</v>
      </c>
      <c r="Z14" s="30">
        <v>12.0</v>
      </c>
      <c r="AA14" s="30">
        <v>12.0</v>
      </c>
      <c r="AB14" s="29">
        <v>12.0</v>
      </c>
      <c r="AC14" s="29">
        <v>12.0</v>
      </c>
      <c r="AD14" s="29"/>
      <c r="AE14" s="29"/>
      <c r="AF14" s="29">
        <v>12.0</v>
      </c>
      <c r="AG14" s="30">
        <v>12.0</v>
      </c>
      <c r="AH14" s="30">
        <v>12.0</v>
      </c>
      <c r="AI14" s="29">
        <v>12.0</v>
      </c>
      <c r="AJ14" s="29">
        <v>12.0</v>
      </c>
      <c r="AK14" s="29">
        <v>12.0</v>
      </c>
      <c r="AL14" s="31">
        <f t="shared" si="2"/>
        <v>22</v>
      </c>
      <c r="AM14" s="32">
        <f t="shared" si="3"/>
        <v>264</v>
      </c>
    </row>
    <row r="15" ht="14.25" customHeight="1">
      <c r="A15" s="34"/>
      <c r="B15" s="25" t="s">
        <v>38</v>
      </c>
      <c r="C15" s="27">
        <v>1.0</v>
      </c>
      <c r="D15" s="37" t="s">
        <v>47</v>
      </c>
      <c r="E15" s="27"/>
      <c r="F15" s="65"/>
      <c r="G15" s="66"/>
      <c r="H15" s="29"/>
      <c r="I15" s="44"/>
      <c r="J15" s="44"/>
      <c r="K15" s="29"/>
      <c r="L15" s="30"/>
      <c r="M15" s="30"/>
      <c r="N15" s="29"/>
      <c r="O15" s="29"/>
      <c r="P15" s="29"/>
      <c r="Q15" s="29"/>
      <c r="R15" s="29"/>
      <c r="S15" s="30"/>
      <c r="T15" s="30"/>
      <c r="U15" s="29"/>
      <c r="V15" s="29"/>
      <c r="W15" s="29"/>
      <c r="X15" s="29"/>
      <c r="Y15" s="29"/>
      <c r="Z15" s="30"/>
      <c r="AA15" s="30"/>
      <c r="AB15" s="29"/>
      <c r="AC15" s="29"/>
      <c r="AD15" s="29"/>
      <c r="AE15" s="29"/>
      <c r="AF15" s="29"/>
      <c r="AG15" s="30"/>
      <c r="AH15" s="30"/>
      <c r="AI15" s="29"/>
      <c r="AJ15" s="29"/>
      <c r="AK15" s="29"/>
      <c r="AL15" s="31"/>
      <c r="AM15" s="32"/>
    </row>
    <row r="16" ht="14.25" customHeight="1">
      <c r="A16" s="19"/>
      <c r="B16" s="20" t="s">
        <v>41</v>
      </c>
      <c r="C16" s="21"/>
      <c r="D16" s="20" t="s">
        <v>41</v>
      </c>
      <c r="E16" s="21"/>
      <c r="F16" s="38"/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5"/>
    </row>
    <row r="17" ht="14.25" customHeight="1">
      <c r="A17" s="24">
        <v>7.0</v>
      </c>
      <c r="B17" s="35" t="s">
        <v>53</v>
      </c>
      <c r="C17" s="27">
        <v>1.0</v>
      </c>
      <c r="D17" s="36" t="s">
        <v>54</v>
      </c>
      <c r="E17" s="27" t="s">
        <v>55</v>
      </c>
      <c r="F17" s="27">
        <v>12.0</v>
      </c>
      <c r="G17" s="47" t="s">
        <v>46</v>
      </c>
      <c r="H17" s="29"/>
      <c r="I17" s="48">
        <v>12.0</v>
      </c>
      <c r="J17" s="48">
        <v>12.0</v>
      </c>
      <c r="K17" s="48">
        <v>12.0</v>
      </c>
      <c r="L17" s="49">
        <v>12.0</v>
      </c>
      <c r="M17" s="49">
        <v>12.0</v>
      </c>
      <c r="N17" s="48">
        <v>12.0</v>
      </c>
      <c r="O17" s="29"/>
      <c r="P17" s="48">
        <v>12.0</v>
      </c>
      <c r="Q17" s="48">
        <v>12.0</v>
      </c>
      <c r="R17" s="48">
        <v>12.0</v>
      </c>
      <c r="S17" s="49">
        <v>12.0</v>
      </c>
      <c r="T17" s="49">
        <v>12.0</v>
      </c>
      <c r="U17" s="48">
        <v>12.0</v>
      </c>
      <c r="V17" s="29"/>
      <c r="W17" s="48">
        <v>12.0</v>
      </c>
      <c r="X17" s="48">
        <v>12.0</v>
      </c>
      <c r="Y17" s="48">
        <v>12.0</v>
      </c>
      <c r="Z17" s="49">
        <v>12.0</v>
      </c>
      <c r="AA17" s="49">
        <v>12.0</v>
      </c>
      <c r="AB17" s="48">
        <v>12.0</v>
      </c>
      <c r="AC17" s="29"/>
      <c r="AD17" s="48">
        <v>12.0</v>
      </c>
      <c r="AE17" s="48">
        <v>12.0</v>
      </c>
      <c r="AF17" s="48">
        <v>12.0</v>
      </c>
      <c r="AG17" s="49">
        <v>12.0</v>
      </c>
      <c r="AH17" s="49">
        <v>12.0</v>
      </c>
      <c r="AI17" s="48">
        <v>12.0</v>
      </c>
      <c r="AJ17" s="48"/>
      <c r="AK17" s="48">
        <v>12.0</v>
      </c>
      <c r="AL17" s="31">
        <f t="shared" ref="AL17:AL22" si="4">COUNTA(H17:AK17)</f>
        <v>25</v>
      </c>
      <c r="AM17" s="51">
        <f t="shared" ref="AM17:AM22" si="5">SUM(H17:AK17)</f>
        <v>300</v>
      </c>
    </row>
    <row r="18" ht="14.25" customHeight="1">
      <c r="A18" s="24">
        <v>8.0</v>
      </c>
      <c r="B18" s="35" t="s">
        <v>49</v>
      </c>
      <c r="C18" s="27">
        <v>1.0</v>
      </c>
      <c r="D18" s="36" t="s">
        <v>60</v>
      </c>
      <c r="E18" s="27" t="s">
        <v>51</v>
      </c>
      <c r="F18" s="27">
        <v>24.0</v>
      </c>
      <c r="G18" s="47" t="s">
        <v>52</v>
      </c>
      <c r="H18" s="29">
        <v>24.0</v>
      </c>
      <c r="I18" s="29"/>
      <c r="J18" s="29">
        <v>24.0</v>
      </c>
      <c r="K18" s="29"/>
      <c r="L18" s="30">
        <v>24.0</v>
      </c>
      <c r="M18" s="30"/>
      <c r="N18" s="29">
        <v>24.0</v>
      </c>
      <c r="O18" s="29"/>
      <c r="P18" s="29">
        <v>24.0</v>
      </c>
      <c r="Q18" s="29"/>
      <c r="R18" s="29">
        <v>24.0</v>
      </c>
      <c r="S18" s="30"/>
      <c r="T18" s="30">
        <v>24.0</v>
      </c>
      <c r="U18" s="29"/>
      <c r="V18" s="29">
        <v>24.0</v>
      </c>
      <c r="W18" s="29"/>
      <c r="X18" s="29">
        <v>24.0</v>
      </c>
      <c r="Y18" s="29"/>
      <c r="Z18" s="30">
        <v>24.0</v>
      </c>
      <c r="AA18" s="30"/>
      <c r="AB18" s="29">
        <v>24.0</v>
      </c>
      <c r="AC18" s="29"/>
      <c r="AD18" s="29">
        <v>24.0</v>
      </c>
      <c r="AE18" s="29"/>
      <c r="AF18" s="29">
        <v>24.0</v>
      </c>
      <c r="AG18" s="30"/>
      <c r="AH18" s="30">
        <v>24.0</v>
      </c>
      <c r="AI18" s="29"/>
      <c r="AJ18" s="29">
        <v>24.0</v>
      </c>
      <c r="AK18" s="29"/>
      <c r="AL18" s="31">
        <f t="shared" si="4"/>
        <v>15</v>
      </c>
      <c r="AM18" s="51">
        <f t="shared" si="5"/>
        <v>360</v>
      </c>
    </row>
    <row r="19" ht="14.25" customHeight="1">
      <c r="A19" s="24">
        <v>9.0</v>
      </c>
      <c r="B19" s="35" t="s">
        <v>49</v>
      </c>
      <c r="C19" s="27">
        <v>1.0</v>
      </c>
      <c r="D19" s="36" t="s">
        <v>56</v>
      </c>
      <c r="E19" s="27" t="s">
        <v>51</v>
      </c>
      <c r="F19" s="27">
        <v>24.0</v>
      </c>
      <c r="G19" s="47" t="s">
        <v>52</v>
      </c>
      <c r="H19" s="29"/>
      <c r="I19" s="29">
        <v>24.0</v>
      </c>
      <c r="J19" s="29"/>
      <c r="K19" s="29">
        <v>24.0</v>
      </c>
      <c r="L19" s="30"/>
      <c r="M19" s="30">
        <v>24.0</v>
      </c>
      <c r="N19" s="29"/>
      <c r="O19" s="29">
        <v>24.0</v>
      </c>
      <c r="P19" s="29"/>
      <c r="Q19" s="29">
        <v>24.0</v>
      </c>
      <c r="R19" s="29"/>
      <c r="S19" s="30">
        <v>24.0</v>
      </c>
      <c r="T19" s="30"/>
      <c r="U19" s="29">
        <v>24.0</v>
      </c>
      <c r="V19" s="29"/>
      <c r="W19" s="29">
        <v>24.0</v>
      </c>
      <c r="X19" s="29"/>
      <c r="Y19" s="29">
        <v>24.0</v>
      </c>
      <c r="Z19" s="30"/>
      <c r="AA19" s="30">
        <v>24.0</v>
      </c>
      <c r="AB19" s="29"/>
      <c r="AC19" s="29">
        <v>24.0</v>
      </c>
      <c r="AD19" s="29"/>
      <c r="AE19" s="29">
        <v>24.0</v>
      </c>
      <c r="AF19" s="29"/>
      <c r="AG19" s="30">
        <v>24.0</v>
      </c>
      <c r="AH19" s="30"/>
      <c r="AI19" s="29">
        <v>24.0</v>
      </c>
      <c r="AJ19" s="29"/>
      <c r="AK19" s="29"/>
      <c r="AL19" s="31">
        <f t="shared" si="4"/>
        <v>14</v>
      </c>
      <c r="AM19" s="51">
        <f t="shared" si="5"/>
        <v>336</v>
      </c>
    </row>
    <row r="20" ht="14.25" customHeight="1">
      <c r="A20" s="24">
        <v>10.0</v>
      </c>
      <c r="B20" s="35" t="s">
        <v>62</v>
      </c>
      <c r="C20" s="27">
        <v>1.0</v>
      </c>
      <c r="D20" s="67" t="s">
        <v>66</v>
      </c>
      <c r="E20" s="27" t="s">
        <v>64</v>
      </c>
      <c r="F20" s="27">
        <v>12.0</v>
      </c>
      <c r="G20" s="47" t="s">
        <v>65</v>
      </c>
      <c r="H20" s="48"/>
      <c r="I20" s="48">
        <v>12.0</v>
      </c>
      <c r="J20" s="48">
        <v>12.0</v>
      </c>
      <c r="K20" s="48">
        <v>12.0</v>
      </c>
      <c r="L20" s="49">
        <v>12.0</v>
      </c>
      <c r="M20" s="49">
        <v>12.0</v>
      </c>
      <c r="N20" s="48">
        <v>12.0</v>
      </c>
      <c r="O20" s="48"/>
      <c r="P20" s="48">
        <v>12.0</v>
      </c>
      <c r="Q20" s="48">
        <v>12.0</v>
      </c>
      <c r="R20" s="48">
        <v>12.0</v>
      </c>
      <c r="S20" s="49">
        <v>12.0</v>
      </c>
      <c r="T20" s="49">
        <v>12.0</v>
      </c>
      <c r="U20" s="48">
        <v>12.0</v>
      </c>
      <c r="V20" s="69"/>
      <c r="W20" s="48">
        <v>12.0</v>
      </c>
      <c r="X20" s="48">
        <v>12.0</v>
      </c>
      <c r="Y20" s="48">
        <v>12.0</v>
      </c>
      <c r="Z20" s="49">
        <v>12.0</v>
      </c>
      <c r="AA20" s="49">
        <v>12.0</v>
      </c>
      <c r="AB20" s="48">
        <v>12.0</v>
      </c>
      <c r="AC20" s="48"/>
      <c r="AD20" s="48">
        <v>12.0</v>
      </c>
      <c r="AE20" s="48">
        <v>12.0</v>
      </c>
      <c r="AF20" s="48">
        <v>12.0</v>
      </c>
      <c r="AG20" s="49">
        <v>12.0</v>
      </c>
      <c r="AH20" s="49">
        <v>12.0</v>
      </c>
      <c r="AI20" s="48">
        <v>12.0</v>
      </c>
      <c r="AJ20" s="48">
        <v>12.0</v>
      </c>
      <c r="AK20" s="48">
        <v>12.0</v>
      </c>
      <c r="AL20" s="31">
        <f t="shared" si="4"/>
        <v>26</v>
      </c>
      <c r="AM20" s="51">
        <f t="shared" si="5"/>
        <v>312</v>
      </c>
    </row>
    <row r="21" ht="14.25" customHeight="1">
      <c r="A21" s="24">
        <v>11.0</v>
      </c>
      <c r="B21" s="35" t="s">
        <v>67</v>
      </c>
      <c r="C21" s="27">
        <v>1.0</v>
      </c>
      <c r="D21" s="36" t="s">
        <v>68</v>
      </c>
      <c r="E21" s="27" t="s">
        <v>70</v>
      </c>
      <c r="F21" s="27">
        <v>12.0</v>
      </c>
      <c r="G21" s="28" t="s">
        <v>30</v>
      </c>
      <c r="H21" s="29">
        <v>12.0</v>
      </c>
      <c r="I21" s="29"/>
      <c r="J21" s="29"/>
      <c r="K21" s="29">
        <v>12.0</v>
      </c>
      <c r="L21" s="30">
        <v>12.0</v>
      </c>
      <c r="M21" s="30">
        <v>12.0</v>
      </c>
      <c r="N21" s="29">
        <v>12.0</v>
      </c>
      <c r="O21" s="29">
        <v>12.0</v>
      </c>
      <c r="P21" s="29"/>
      <c r="Q21" s="29"/>
      <c r="R21" s="29">
        <v>12.0</v>
      </c>
      <c r="S21" s="30">
        <v>12.0</v>
      </c>
      <c r="T21" s="30">
        <v>12.0</v>
      </c>
      <c r="U21" s="29">
        <v>12.0</v>
      </c>
      <c r="V21" s="29">
        <v>12.0</v>
      </c>
      <c r="W21" s="29"/>
      <c r="X21" s="29"/>
      <c r="Y21" s="29">
        <v>12.0</v>
      </c>
      <c r="Z21" s="30">
        <v>12.0</v>
      </c>
      <c r="AA21" s="30">
        <v>12.0</v>
      </c>
      <c r="AB21" s="29">
        <v>12.0</v>
      </c>
      <c r="AC21" s="29">
        <v>12.0</v>
      </c>
      <c r="AD21" s="29"/>
      <c r="AE21" s="29"/>
      <c r="AF21" s="29">
        <v>12.0</v>
      </c>
      <c r="AG21" s="30">
        <v>12.0</v>
      </c>
      <c r="AH21" s="30">
        <v>12.0</v>
      </c>
      <c r="AI21" s="29">
        <v>12.0</v>
      </c>
      <c r="AJ21" s="29">
        <v>12.0</v>
      </c>
      <c r="AK21" s="29"/>
      <c r="AL21" s="31">
        <f t="shared" si="4"/>
        <v>21</v>
      </c>
      <c r="AM21" s="51">
        <f t="shared" si="5"/>
        <v>252</v>
      </c>
    </row>
    <row r="22" ht="14.25" customHeight="1">
      <c r="A22" s="24">
        <v>12.0</v>
      </c>
      <c r="B22" s="35" t="s">
        <v>71</v>
      </c>
      <c r="C22" s="27">
        <v>1.0</v>
      </c>
      <c r="D22" s="36" t="s">
        <v>76</v>
      </c>
      <c r="E22" s="27" t="s">
        <v>73</v>
      </c>
      <c r="F22" s="27">
        <v>12.0</v>
      </c>
      <c r="G22" s="28" t="s">
        <v>26</v>
      </c>
      <c r="H22" s="29">
        <v>12.0</v>
      </c>
      <c r="I22" s="29">
        <v>12.0</v>
      </c>
      <c r="J22" s="29">
        <v>12.0</v>
      </c>
      <c r="K22" s="29"/>
      <c r="L22" s="30">
        <v>12.0</v>
      </c>
      <c r="M22" s="30">
        <v>12.0</v>
      </c>
      <c r="N22" s="29">
        <v>12.0</v>
      </c>
      <c r="O22" s="29">
        <v>12.0</v>
      </c>
      <c r="P22" s="29">
        <v>12.0</v>
      </c>
      <c r="Q22" s="29">
        <v>12.0</v>
      </c>
      <c r="R22" s="29"/>
      <c r="S22" s="30">
        <v>12.0</v>
      </c>
      <c r="T22" s="30">
        <v>12.0</v>
      </c>
      <c r="U22" s="29">
        <v>12.0</v>
      </c>
      <c r="V22" s="29">
        <v>12.0</v>
      </c>
      <c r="W22" s="29">
        <v>12.0</v>
      </c>
      <c r="X22" s="29">
        <v>12.0</v>
      </c>
      <c r="Y22" s="29"/>
      <c r="Z22" s="30">
        <v>12.0</v>
      </c>
      <c r="AA22" s="30">
        <v>12.0</v>
      </c>
      <c r="AB22" s="29">
        <v>12.0</v>
      </c>
      <c r="AC22" s="29">
        <v>12.0</v>
      </c>
      <c r="AD22" s="29">
        <v>12.0</v>
      </c>
      <c r="AE22" s="29">
        <v>12.0</v>
      </c>
      <c r="AF22" s="29"/>
      <c r="AG22" s="30">
        <v>12.0</v>
      </c>
      <c r="AH22" s="30">
        <v>12.0</v>
      </c>
      <c r="AI22" s="29">
        <v>12.0</v>
      </c>
      <c r="AJ22" s="29">
        <v>12.0</v>
      </c>
      <c r="AK22" s="29">
        <v>12.0</v>
      </c>
      <c r="AL22" s="31">
        <f t="shared" si="4"/>
        <v>26</v>
      </c>
      <c r="AM22" s="51">
        <f t="shared" si="5"/>
        <v>312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38"/>
      <c r="G23" s="78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3"/>
      <c r="AM23" s="21"/>
    </row>
    <row r="24" ht="14.25" customHeight="1">
      <c r="A24" s="34">
        <v>13.0</v>
      </c>
      <c r="B24" s="35" t="s">
        <v>81</v>
      </c>
      <c r="C24" s="27">
        <v>1.0</v>
      </c>
      <c r="D24" s="37" t="s">
        <v>82</v>
      </c>
      <c r="E24" s="27" t="s">
        <v>83</v>
      </c>
      <c r="F24" s="65">
        <v>24.0</v>
      </c>
      <c r="G24" s="66" t="s">
        <v>85</v>
      </c>
      <c r="H24" s="81">
        <v>24.0</v>
      </c>
      <c r="I24" s="81"/>
      <c r="J24" s="81"/>
      <c r="K24" s="81">
        <v>24.0</v>
      </c>
      <c r="L24" s="82"/>
      <c r="M24" s="82"/>
      <c r="N24" s="81">
        <v>24.0</v>
      </c>
      <c r="O24" s="81"/>
      <c r="P24" s="81"/>
      <c r="Q24" s="81">
        <v>24.0</v>
      </c>
      <c r="R24" s="81"/>
      <c r="S24" s="82"/>
      <c r="T24" s="82">
        <v>24.0</v>
      </c>
      <c r="U24" s="81"/>
      <c r="V24" s="81"/>
      <c r="W24" s="81">
        <v>24.0</v>
      </c>
      <c r="X24" s="81"/>
      <c r="Y24" s="81"/>
      <c r="Z24" s="82">
        <v>24.0</v>
      </c>
      <c r="AA24" s="82"/>
      <c r="AB24" s="81"/>
      <c r="AC24" s="81">
        <v>24.0</v>
      </c>
      <c r="AD24" s="81"/>
      <c r="AE24" s="81"/>
      <c r="AF24" s="81">
        <v>24.0</v>
      </c>
      <c r="AG24" s="82"/>
      <c r="AH24" s="82"/>
      <c r="AI24" s="81">
        <v>24.0</v>
      </c>
      <c r="AJ24" s="81"/>
      <c r="AK24" s="81"/>
      <c r="AL24" s="31">
        <f t="shared" ref="AL24:AL40" si="6">COUNTA(H24:AK24)</f>
        <v>10</v>
      </c>
      <c r="AM24" s="51">
        <f t="shared" ref="AM24:AM40" si="7">SUM(H24:AK24)</f>
        <v>240</v>
      </c>
    </row>
    <row r="25" ht="14.25" customHeight="1">
      <c r="A25" s="119">
        <v>14.0</v>
      </c>
      <c r="B25" s="120" t="s">
        <v>86</v>
      </c>
      <c r="C25" s="121">
        <v>1.0</v>
      </c>
      <c r="D25" s="122" t="s">
        <v>115</v>
      </c>
      <c r="E25" s="27" t="s">
        <v>83</v>
      </c>
      <c r="F25" s="65">
        <v>24.0</v>
      </c>
      <c r="G25" s="88"/>
      <c r="H25" s="81"/>
      <c r="I25" s="81">
        <v>24.0</v>
      </c>
      <c r="J25" s="81"/>
      <c r="K25" s="81"/>
      <c r="L25" s="82">
        <v>24.0</v>
      </c>
      <c r="M25" s="82"/>
      <c r="N25" s="91"/>
      <c r="O25" s="81">
        <v>24.0</v>
      </c>
      <c r="P25" s="81"/>
      <c r="Q25" s="81"/>
      <c r="R25" s="81">
        <v>24.0</v>
      </c>
      <c r="S25" s="82"/>
      <c r="T25" s="82"/>
      <c r="U25" s="81">
        <v>24.0</v>
      </c>
      <c r="V25" s="91"/>
      <c r="W25" s="81"/>
      <c r="X25" s="81">
        <v>24.0</v>
      </c>
      <c r="Y25" s="81"/>
      <c r="Z25" s="82"/>
      <c r="AA25" s="82">
        <v>24.0</v>
      </c>
      <c r="AB25" s="91"/>
      <c r="AC25" s="81"/>
      <c r="AD25" s="81">
        <v>24.0</v>
      </c>
      <c r="AE25" s="81"/>
      <c r="AF25" s="81"/>
      <c r="AG25" s="82">
        <v>24.0</v>
      </c>
      <c r="AH25" s="82"/>
      <c r="AI25" s="81"/>
      <c r="AJ25" s="81">
        <v>24.0</v>
      </c>
      <c r="AK25" s="81"/>
      <c r="AL25" s="31">
        <f t="shared" si="6"/>
        <v>10</v>
      </c>
      <c r="AM25" s="51">
        <f t="shared" si="7"/>
        <v>240</v>
      </c>
      <c r="AN25" s="89"/>
      <c r="AO25" s="89"/>
      <c r="AP25" s="89"/>
      <c r="AQ25" s="89"/>
      <c r="AR25" s="89"/>
      <c r="AS25" s="89"/>
      <c r="AT25" s="89"/>
      <c r="AU25" s="89"/>
      <c r="AV25" s="89"/>
    </row>
    <row r="26" ht="14.25" customHeight="1">
      <c r="A26" s="34">
        <v>15.0</v>
      </c>
      <c r="B26" s="35" t="s">
        <v>86</v>
      </c>
      <c r="C26" s="65">
        <v>1.0</v>
      </c>
      <c r="D26" s="90" t="s">
        <v>91</v>
      </c>
      <c r="E26" s="27" t="s">
        <v>83</v>
      </c>
      <c r="F26" s="65">
        <v>24.0</v>
      </c>
      <c r="G26" s="88"/>
      <c r="H26" s="91"/>
      <c r="I26" s="81"/>
      <c r="J26" s="81">
        <v>24.0</v>
      </c>
      <c r="K26" s="81"/>
      <c r="L26" s="82"/>
      <c r="M26" s="82">
        <v>24.0</v>
      </c>
      <c r="N26" s="91"/>
      <c r="O26" s="81"/>
      <c r="P26" s="81">
        <v>24.0</v>
      </c>
      <c r="Q26" s="81"/>
      <c r="R26" s="81"/>
      <c r="S26" s="82">
        <v>24.0</v>
      </c>
      <c r="T26" s="82"/>
      <c r="U26" s="81"/>
      <c r="V26" s="81">
        <v>24.0</v>
      </c>
      <c r="W26" s="81"/>
      <c r="X26" s="81"/>
      <c r="Y26" s="81">
        <v>24.0</v>
      </c>
      <c r="Z26" s="82"/>
      <c r="AA26" s="82"/>
      <c r="AB26" s="81">
        <v>24.0</v>
      </c>
      <c r="AC26" s="91"/>
      <c r="AD26" s="81"/>
      <c r="AE26" s="81">
        <v>24.0</v>
      </c>
      <c r="AF26" s="81"/>
      <c r="AG26" s="82"/>
      <c r="AH26" s="82">
        <v>24.0</v>
      </c>
      <c r="AI26" s="81"/>
      <c r="AJ26" s="81"/>
      <c r="AK26" s="81">
        <v>24.0</v>
      </c>
      <c r="AL26" s="31">
        <f t="shared" si="6"/>
        <v>10</v>
      </c>
      <c r="AM26" s="51">
        <f t="shared" si="7"/>
        <v>240</v>
      </c>
    </row>
    <row r="27" ht="14.25" customHeight="1">
      <c r="A27" s="119">
        <v>16.0</v>
      </c>
      <c r="B27" s="120" t="s">
        <v>95</v>
      </c>
      <c r="C27" s="129">
        <v>1.0</v>
      </c>
      <c r="D27" s="130" t="s">
        <v>124</v>
      </c>
      <c r="E27" s="27" t="s">
        <v>83</v>
      </c>
      <c r="F27" s="97"/>
      <c r="G27" s="66" t="s">
        <v>85</v>
      </c>
      <c r="H27" s="81">
        <v>24.0</v>
      </c>
      <c r="I27" s="81"/>
      <c r="J27" s="81"/>
      <c r="K27" s="81">
        <v>24.0</v>
      </c>
      <c r="L27" s="82"/>
      <c r="M27" s="82"/>
      <c r="N27" s="81">
        <v>24.0</v>
      </c>
      <c r="O27" s="81"/>
      <c r="P27" s="81"/>
      <c r="Q27" s="81">
        <v>17.0</v>
      </c>
      <c r="R27" s="81">
        <v>17.0</v>
      </c>
      <c r="S27" s="82">
        <v>17.0</v>
      </c>
      <c r="T27" s="82">
        <v>17.0</v>
      </c>
      <c r="U27" s="81">
        <v>17.0</v>
      </c>
      <c r="V27" s="81"/>
      <c r="W27" s="81"/>
      <c r="X27" s="81">
        <v>24.0</v>
      </c>
      <c r="Y27" s="81"/>
      <c r="Z27" s="82"/>
      <c r="AA27" s="82">
        <v>24.0</v>
      </c>
      <c r="AB27" s="81"/>
      <c r="AC27" s="81"/>
      <c r="AD27" s="81">
        <v>24.0</v>
      </c>
      <c r="AE27" s="81"/>
      <c r="AF27" s="81"/>
      <c r="AG27" s="82">
        <v>24.0</v>
      </c>
      <c r="AH27" s="82"/>
      <c r="AI27" s="81"/>
      <c r="AJ27" s="81">
        <v>24.0</v>
      </c>
      <c r="AK27" s="81"/>
      <c r="AL27" s="31">
        <f t="shared" si="6"/>
        <v>13</v>
      </c>
      <c r="AM27" s="51">
        <f t="shared" si="7"/>
        <v>277</v>
      </c>
    </row>
    <row r="28" ht="14.25" customHeight="1">
      <c r="A28" s="34">
        <v>17.0</v>
      </c>
      <c r="B28" s="35" t="s">
        <v>95</v>
      </c>
      <c r="C28" s="65">
        <v>1.0</v>
      </c>
      <c r="D28" s="90" t="s">
        <v>97</v>
      </c>
      <c r="E28" s="27" t="s">
        <v>83</v>
      </c>
      <c r="F28" s="97"/>
      <c r="G28" s="88"/>
      <c r="H28" s="29"/>
      <c r="I28" s="29">
        <v>24.0</v>
      </c>
      <c r="J28" s="29"/>
      <c r="K28" s="29"/>
      <c r="L28" s="30">
        <v>24.0</v>
      </c>
      <c r="M28" s="30"/>
      <c r="N28" s="29"/>
      <c r="O28" s="29">
        <v>24.0</v>
      </c>
      <c r="P28" s="29"/>
      <c r="Q28" s="29"/>
      <c r="R28" s="29">
        <v>24.0</v>
      </c>
      <c r="S28" s="30"/>
      <c r="T28" s="30"/>
      <c r="U28" s="29">
        <v>24.0</v>
      </c>
      <c r="V28" s="29"/>
      <c r="W28" s="29"/>
      <c r="X28" s="29">
        <v>17.0</v>
      </c>
      <c r="Y28" s="29">
        <v>17.0</v>
      </c>
      <c r="Z28" s="30">
        <v>17.0</v>
      </c>
      <c r="AA28" s="30">
        <v>17.0</v>
      </c>
      <c r="AB28" s="29">
        <v>17.0</v>
      </c>
      <c r="AC28" s="29"/>
      <c r="AD28" s="29"/>
      <c r="AE28" s="29">
        <v>24.0</v>
      </c>
      <c r="AF28" s="29"/>
      <c r="AG28" s="30"/>
      <c r="AH28" s="30">
        <v>24.0</v>
      </c>
      <c r="AI28" s="29"/>
      <c r="AJ28" s="29"/>
      <c r="AK28" s="29">
        <v>24.0</v>
      </c>
      <c r="AL28" s="31">
        <f t="shared" si="6"/>
        <v>13</v>
      </c>
      <c r="AM28" s="51">
        <f t="shared" si="7"/>
        <v>277</v>
      </c>
      <c r="AN28" s="33"/>
    </row>
    <row r="29" ht="14.25" customHeight="1">
      <c r="A29" s="34">
        <v>18.0</v>
      </c>
      <c r="B29" s="35" t="s">
        <v>95</v>
      </c>
      <c r="C29" s="65">
        <v>1.0</v>
      </c>
      <c r="D29" s="90" t="s">
        <v>114</v>
      </c>
      <c r="E29" s="27" t="s">
        <v>83</v>
      </c>
      <c r="F29" s="97"/>
      <c r="G29" s="88"/>
      <c r="H29" s="29"/>
      <c r="I29" s="29"/>
      <c r="J29" s="29">
        <v>17.0</v>
      </c>
      <c r="K29" s="29">
        <v>17.0</v>
      </c>
      <c r="L29" s="30">
        <v>17.0</v>
      </c>
      <c r="M29" s="30">
        <v>17.0</v>
      </c>
      <c r="N29" s="29">
        <v>17.0</v>
      </c>
      <c r="O29" s="29"/>
      <c r="P29" s="29"/>
      <c r="Q29" s="29">
        <v>24.0</v>
      </c>
      <c r="R29" s="29"/>
      <c r="S29" s="30"/>
      <c r="T29" s="30">
        <v>24.0</v>
      </c>
      <c r="U29" s="29"/>
      <c r="V29" s="29"/>
      <c r="W29" s="29">
        <v>24.0</v>
      </c>
      <c r="X29" s="29"/>
      <c r="Y29" s="29"/>
      <c r="Z29" s="30">
        <v>24.0</v>
      </c>
      <c r="AA29" s="30"/>
      <c r="AB29" s="29"/>
      <c r="AC29" s="29">
        <v>24.0</v>
      </c>
      <c r="AD29" s="29"/>
      <c r="AE29" s="29"/>
      <c r="AF29" s="29">
        <v>24.0</v>
      </c>
      <c r="AG29" s="30"/>
      <c r="AH29" s="30"/>
      <c r="AI29" s="29">
        <v>24.0</v>
      </c>
      <c r="AJ29" s="29"/>
      <c r="AK29" s="29"/>
      <c r="AL29" s="31">
        <f t="shared" si="6"/>
        <v>12</v>
      </c>
      <c r="AM29" s="51">
        <f t="shared" si="7"/>
        <v>253</v>
      </c>
    </row>
    <row r="30" ht="14.25" customHeight="1">
      <c r="A30" s="34">
        <v>19.0</v>
      </c>
      <c r="B30" s="36" t="s">
        <v>95</v>
      </c>
      <c r="C30" s="65">
        <v>1.0</v>
      </c>
      <c r="D30" s="90" t="s">
        <v>100</v>
      </c>
      <c r="E30" s="27" t="s">
        <v>102</v>
      </c>
      <c r="F30" s="97"/>
      <c r="G30" s="88"/>
      <c r="H30" s="29"/>
      <c r="I30" s="29"/>
      <c r="J30" s="29">
        <v>24.0</v>
      </c>
      <c r="K30" s="29"/>
      <c r="L30" s="30"/>
      <c r="M30" s="30">
        <v>24.0</v>
      </c>
      <c r="N30" s="29"/>
      <c r="O30" s="29"/>
      <c r="P30" s="29">
        <v>24.0</v>
      </c>
      <c r="Q30" s="29"/>
      <c r="R30" s="29"/>
      <c r="S30" s="30">
        <v>24.0</v>
      </c>
      <c r="T30" s="30"/>
      <c r="U30" s="29"/>
      <c r="V30" s="29">
        <v>24.0</v>
      </c>
      <c r="W30" s="29"/>
      <c r="X30" s="29"/>
      <c r="Y30" s="29">
        <v>24.0</v>
      </c>
      <c r="Z30" s="30"/>
      <c r="AA30" s="30"/>
      <c r="AB30" s="29">
        <v>24.0</v>
      </c>
      <c r="AC30" s="29"/>
      <c r="AD30" s="29"/>
      <c r="AE30" s="29">
        <v>17.0</v>
      </c>
      <c r="AF30" s="29">
        <v>17.0</v>
      </c>
      <c r="AG30" s="30">
        <v>17.0</v>
      </c>
      <c r="AH30" s="30">
        <v>17.0</v>
      </c>
      <c r="AI30" s="29">
        <v>17.0</v>
      </c>
      <c r="AJ30" s="29"/>
      <c r="AK30" s="29"/>
      <c r="AL30" s="31">
        <f t="shared" si="6"/>
        <v>12</v>
      </c>
      <c r="AM30" s="51">
        <f t="shared" si="7"/>
        <v>253</v>
      </c>
      <c r="AN30" s="89"/>
      <c r="AO30" s="89"/>
      <c r="AP30" s="89"/>
      <c r="AQ30" s="89"/>
      <c r="AR30" s="89"/>
      <c r="AS30" s="89"/>
      <c r="AT30" s="89"/>
      <c r="AU30" s="89"/>
      <c r="AV30" s="89"/>
    </row>
    <row r="31" ht="14.25" customHeight="1">
      <c r="A31" s="34">
        <v>20.0</v>
      </c>
      <c r="B31" s="64" t="s">
        <v>104</v>
      </c>
      <c r="C31" s="101">
        <v>1.0</v>
      </c>
      <c r="D31" s="102" t="s">
        <v>63</v>
      </c>
      <c r="E31" s="101" t="s">
        <v>105</v>
      </c>
      <c r="F31" s="97"/>
      <c r="G31" s="103">
        <v>0.4</v>
      </c>
      <c r="H31" s="104">
        <v>17.0</v>
      </c>
      <c r="I31" s="104"/>
      <c r="J31" s="104"/>
      <c r="K31" s="104">
        <v>17.0</v>
      </c>
      <c r="L31" s="105">
        <v>17.0</v>
      </c>
      <c r="M31" s="105">
        <v>17.0</v>
      </c>
      <c r="N31" s="104">
        <v>17.0</v>
      </c>
      <c r="O31" s="104">
        <v>17.0</v>
      </c>
      <c r="P31" s="104"/>
      <c r="Q31" s="104"/>
      <c r="R31" s="104">
        <v>17.0</v>
      </c>
      <c r="S31" s="105">
        <v>17.0</v>
      </c>
      <c r="T31" s="105">
        <v>17.0</v>
      </c>
      <c r="U31" s="104">
        <v>17.0</v>
      </c>
      <c r="V31" s="104">
        <v>17.0</v>
      </c>
      <c r="W31" s="104"/>
      <c r="X31" s="104"/>
      <c r="Y31" s="104">
        <v>17.0</v>
      </c>
      <c r="Z31" s="105">
        <v>17.0</v>
      </c>
      <c r="AA31" s="105">
        <v>17.0</v>
      </c>
      <c r="AB31" s="104">
        <v>17.0</v>
      </c>
      <c r="AC31" s="104">
        <v>17.0</v>
      </c>
      <c r="AD31" s="104"/>
      <c r="AE31" s="104"/>
      <c r="AF31" s="106">
        <v>17.0</v>
      </c>
      <c r="AG31" s="107">
        <v>17.0</v>
      </c>
      <c r="AH31" s="107">
        <v>17.0</v>
      </c>
      <c r="AI31" s="106">
        <v>17.0</v>
      </c>
      <c r="AJ31" s="106">
        <v>17.0</v>
      </c>
      <c r="AK31" s="106"/>
      <c r="AL31" s="31">
        <f t="shared" si="6"/>
        <v>21</v>
      </c>
      <c r="AM31" s="51">
        <f t="shared" si="7"/>
        <v>357</v>
      </c>
    </row>
    <row r="32" ht="14.25" customHeight="1">
      <c r="A32" s="34">
        <v>21.0</v>
      </c>
      <c r="B32" s="137" t="s">
        <v>104</v>
      </c>
      <c r="C32" s="129">
        <v>1.0</v>
      </c>
      <c r="D32" s="102" t="s">
        <v>63</v>
      </c>
      <c r="E32" s="121" t="s">
        <v>105</v>
      </c>
      <c r="F32" s="97"/>
      <c r="G32" s="103">
        <v>0.4</v>
      </c>
      <c r="H32" s="104"/>
      <c r="I32" s="104"/>
      <c r="J32" s="104"/>
      <c r="K32" s="104">
        <v>17.0</v>
      </c>
      <c r="L32" s="105">
        <v>17.0</v>
      </c>
      <c r="M32" s="105">
        <v>17.0</v>
      </c>
      <c r="N32" s="104">
        <v>17.0</v>
      </c>
      <c r="O32" s="104"/>
      <c r="P32" s="104"/>
      <c r="Q32" s="104"/>
      <c r="R32" s="104">
        <v>17.0</v>
      </c>
      <c r="S32" s="105">
        <v>17.0</v>
      </c>
      <c r="T32" s="105">
        <v>17.0</v>
      </c>
      <c r="U32" s="104">
        <v>17.0</v>
      </c>
      <c r="V32" s="104"/>
      <c r="W32" s="104"/>
      <c r="X32" s="104"/>
      <c r="Y32" s="104">
        <v>17.0</v>
      </c>
      <c r="Z32" s="105">
        <v>17.0</v>
      </c>
      <c r="AA32" s="105">
        <v>17.0</v>
      </c>
      <c r="AB32" s="104">
        <v>17.0</v>
      </c>
      <c r="AC32" s="104"/>
      <c r="AD32" s="104"/>
      <c r="AE32" s="104"/>
      <c r="AF32" s="106"/>
      <c r="AG32" s="107">
        <v>17.0</v>
      </c>
      <c r="AH32" s="107">
        <v>17.0</v>
      </c>
      <c r="AI32" s="106">
        <v>17.0</v>
      </c>
      <c r="AJ32" s="106"/>
      <c r="AK32" s="106"/>
      <c r="AL32" s="31">
        <f t="shared" si="6"/>
        <v>15</v>
      </c>
      <c r="AM32" s="51">
        <f t="shared" si="7"/>
        <v>255</v>
      </c>
    </row>
    <row r="33" ht="17.25" customHeight="1">
      <c r="A33" s="34">
        <v>22.0</v>
      </c>
      <c r="B33" s="36" t="s">
        <v>109</v>
      </c>
      <c r="C33" s="65">
        <v>1.0</v>
      </c>
      <c r="D33" s="117" t="s">
        <v>131</v>
      </c>
      <c r="E33" s="27" t="s">
        <v>111</v>
      </c>
      <c r="F33" s="65">
        <v>12.0</v>
      </c>
      <c r="G33" s="118" t="s">
        <v>26</v>
      </c>
      <c r="H33" s="29">
        <v>12.0</v>
      </c>
      <c r="I33" s="29">
        <v>12.0</v>
      </c>
      <c r="J33" s="29">
        <v>12.0</v>
      </c>
      <c r="K33" s="29"/>
      <c r="L33" s="30">
        <v>12.0</v>
      </c>
      <c r="M33" s="30">
        <v>12.0</v>
      </c>
      <c r="N33" s="29">
        <v>12.0</v>
      </c>
      <c r="O33" s="29">
        <v>12.0</v>
      </c>
      <c r="P33" s="29">
        <v>12.0</v>
      </c>
      <c r="Q33" s="29">
        <v>12.0</v>
      </c>
      <c r="R33" s="29"/>
      <c r="S33" s="30">
        <v>12.0</v>
      </c>
      <c r="T33" s="30">
        <v>12.0</v>
      </c>
      <c r="U33" s="29">
        <v>12.0</v>
      </c>
      <c r="V33" s="29">
        <v>12.0</v>
      </c>
      <c r="W33" s="29">
        <v>12.0</v>
      </c>
      <c r="X33" s="29">
        <v>12.0</v>
      </c>
      <c r="Y33" s="29"/>
      <c r="Z33" s="30">
        <v>12.0</v>
      </c>
      <c r="AA33" s="30">
        <v>12.0</v>
      </c>
      <c r="AB33" s="29">
        <v>12.0</v>
      </c>
      <c r="AC33" s="29">
        <v>12.0</v>
      </c>
      <c r="AD33" s="29">
        <v>12.0</v>
      </c>
      <c r="AE33" s="29">
        <v>12.0</v>
      </c>
      <c r="AF33" s="29"/>
      <c r="AG33" s="30">
        <v>12.0</v>
      </c>
      <c r="AH33" s="30">
        <v>12.0</v>
      </c>
      <c r="AI33" s="29">
        <v>12.0</v>
      </c>
      <c r="AJ33" s="29">
        <v>12.0</v>
      </c>
      <c r="AK33" s="29">
        <v>12.0</v>
      </c>
      <c r="AL33" s="31">
        <f t="shared" si="6"/>
        <v>26</v>
      </c>
      <c r="AM33" s="51">
        <f t="shared" si="7"/>
        <v>312</v>
      </c>
    </row>
    <row r="34" ht="17.25" customHeight="1">
      <c r="A34" s="34">
        <v>23.0</v>
      </c>
      <c r="B34" s="35" t="s">
        <v>112</v>
      </c>
      <c r="C34" s="65">
        <v>1.0</v>
      </c>
      <c r="D34" s="90" t="s">
        <v>113</v>
      </c>
      <c r="E34" s="27" t="s">
        <v>111</v>
      </c>
      <c r="F34" s="65">
        <v>12.0</v>
      </c>
      <c r="G34" s="118" t="s">
        <v>26</v>
      </c>
      <c r="H34" s="29">
        <v>12.0</v>
      </c>
      <c r="I34" s="29"/>
      <c r="J34" s="29">
        <v>12.0</v>
      </c>
      <c r="K34" s="29">
        <v>12.0</v>
      </c>
      <c r="L34" s="30">
        <v>12.0</v>
      </c>
      <c r="M34" s="30">
        <v>12.0</v>
      </c>
      <c r="N34" s="29">
        <v>12.0</v>
      </c>
      <c r="O34" s="29">
        <v>12.0</v>
      </c>
      <c r="P34" s="29"/>
      <c r="Q34" s="29">
        <v>12.0</v>
      </c>
      <c r="R34" s="29">
        <v>12.0</v>
      </c>
      <c r="S34" s="30">
        <v>12.0</v>
      </c>
      <c r="T34" s="30">
        <v>12.0</v>
      </c>
      <c r="U34" s="29">
        <v>12.0</v>
      </c>
      <c r="V34" s="29">
        <v>12.0</v>
      </c>
      <c r="W34" s="29"/>
      <c r="X34" s="29">
        <v>12.0</v>
      </c>
      <c r="Y34" s="29">
        <v>12.0</v>
      </c>
      <c r="Z34" s="30">
        <v>12.0</v>
      </c>
      <c r="AA34" s="30">
        <v>12.0</v>
      </c>
      <c r="AB34" s="29">
        <v>12.0</v>
      </c>
      <c r="AC34" s="29">
        <v>12.0</v>
      </c>
      <c r="AD34" s="29"/>
      <c r="AE34" s="29">
        <v>12.0</v>
      </c>
      <c r="AF34" s="29">
        <v>12.0</v>
      </c>
      <c r="AG34" s="30">
        <v>12.0</v>
      </c>
      <c r="AH34" s="30">
        <v>12.0</v>
      </c>
      <c r="AI34" s="29">
        <v>12.0</v>
      </c>
      <c r="AJ34" s="29">
        <v>12.0</v>
      </c>
      <c r="AK34" s="29"/>
      <c r="AL34" s="31">
        <f t="shared" si="6"/>
        <v>25</v>
      </c>
      <c r="AM34" s="51">
        <f t="shared" si="7"/>
        <v>300</v>
      </c>
    </row>
    <row r="35" ht="20.25" customHeight="1">
      <c r="A35" s="34">
        <v>24.0</v>
      </c>
      <c r="B35" s="35" t="s">
        <v>112</v>
      </c>
      <c r="C35" s="65">
        <v>1.0</v>
      </c>
      <c r="D35" s="90" t="s">
        <v>124</v>
      </c>
      <c r="E35" s="27" t="s">
        <v>73</v>
      </c>
      <c r="F35" s="27">
        <v>12.0</v>
      </c>
      <c r="G35" s="123" t="s">
        <v>26</v>
      </c>
      <c r="H35" s="29">
        <v>12.0</v>
      </c>
      <c r="I35" s="29">
        <v>12.0</v>
      </c>
      <c r="J35" s="29"/>
      <c r="K35" s="29">
        <v>12.0</v>
      </c>
      <c r="L35" s="30">
        <v>12.0</v>
      </c>
      <c r="M35" s="30">
        <v>12.0</v>
      </c>
      <c r="N35" s="29">
        <v>12.0</v>
      </c>
      <c r="O35" s="29">
        <v>12.0</v>
      </c>
      <c r="P35" s="29">
        <v>12.0</v>
      </c>
      <c r="Q35" s="29"/>
      <c r="R35" s="29">
        <v>12.0</v>
      </c>
      <c r="S35" s="30">
        <v>12.0</v>
      </c>
      <c r="T35" s="30">
        <v>12.0</v>
      </c>
      <c r="U35" s="29">
        <v>12.0</v>
      </c>
      <c r="V35" s="29">
        <v>12.0</v>
      </c>
      <c r="W35" s="29">
        <v>12.0</v>
      </c>
      <c r="X35" s="29"/>
      <c r="Y35" s="29">
        <v>12.0</v>
      </c>
      <c r="Z35" s="30">
        <v>12.0</v>
      </c>
      <c r="AA35" s="30">
        <v>12.0</v>
      </c>
      <c r="AB35" s="29">
        <v>12.0</v>
      </c>
      <c r="AC35" s="29">
        <v>12.0</v>
      </c>
      <c r="AD35" s="29">
        <v>12.0</v>
      </c>
      <c r="AE35" s="29"/>
      <c r="AF35" s="29">
        <v>12.0</v>
      </c>
      <c r="AG35" s="30">
        <v>12.0</v>
      </c>
      <c r="AH35" s="30">
        <v>12.0</v>
      </c>
      <c r="AI35" s="29">
        <v>12.0</v>
      </c>
      <c r="AJ35" s="29">
        <v>12.0</v>
      </c>
      <c r="AK35" s="29">
        <v>12.0</v>
      </c>
      <c r="AL35" s="31">
        <f t="shared" si="6"/>
        <v>26</v>
      </c>
      <c r="AM35" s="51">
        <f t="shared" si="7"/>
        <v>312</v>
      </c>
      <c r="AN35" s="133"/>
      <c r="AR35" s="89"/>
      <c r="AS35" s="89"/>
      <c r="AT35" s="89"/>
      <c r="AU35" s="89"/>
      <c r="AV35" s="89"/>
    </row>
    <row r="36" ht="25.5" customHeight="1">
      <c r="A36" s="124">
        <v>25.0</v>
      </c>
      <c r="B36" s="128" t="s">
        <v>123</v>
      </c>
      <c r="C36" s="129">
        <v>1.0</v>
      </c>
      <c r="D36" s="130" t="s">
        <v>158</v>
      </c>
      <c r="E36" s="129" t="s">
        <v>125</v>
      </c>
      <c r="F36" s="121">
        <v>12.0</v>
      </c>
      <c r="G36" s="131"/>
      <c r="H36" s="29"/>
      <c r="I36" s="29"/>
      <c r="J36" s="29"/>
      <c r="K36" s="29"/>
      <c r="L36" s="30"/>
      <c r="M36" s="30"/>
      <c r="N36" s="29"/>
      <c r="O36" s="29"/>
      <c r="P36" s="29"/>
      <c r="Q36" s="29"/>
      <c r="R36" s="29"/>
      <c r="S36" s="30"/>
      <c r="T36" s="30"/>
      <c r="U36" s="29"/>
      <c r="V36" s="29"/>
      <c r="W36" s="29"/>
      <c r="X36" s="29"/>
      <c r="Y36" s="29"/>
      <c r="Z36" s="132"/>
      <c r="AA36" s="132"/>
      <c r="AB36" s="29"/>
      <c r="AC36" s="29"/>
      <c r="AD36" s="29"/>
      <c r="AE36" s="29"/>
      <c r="AF36" s="29"/>
      <c r="AG36" s="30"/>
      <c r="AH36" s="30"/>
      <c r="AI36" s="29"/>
      <c r="AJ36" s="29"/>
      <c r="AK36" s="29"/>
      <c r="AL36" s="31">
        <f t="shared" si="6"/>
        <v>0</v>
      </c>
      <c r="AM36" s="51">
        <f t="shared" si="7"/>
        <v>0</v>
      </c>
      <c r="AO36" s="89"/>
      <c r="AP36" s="89"/>
      <c r="AQ36" s="89"/>
      <c r="AR36" s="89"/>
      <c r="AS36" s="89"/>
      <c r="AT36" s="89"/>
      <c r="AU36" s="89"/>
      <c r="AV36" s="89"/>
    </row>
    <row r="37" ht="21.75" customHeight="1">
      <c r="A37" s="17"/>
      <c r="B37" s="17"/>
      <c r="C37" s="17"/>
      <c r="D37" s="17"/>
      <c r="E37" s="121" t="s">
        <v>127</v>
      </c>
      <c r="F37" s="121">
        <v>12.0</v>
      </c>
      <c r="G37" s="131"/>
      <c r="H37" s="29"/>
      <c r="I37" s="29"/>
      <c r="J37" s="29"/>
      <c r="K37" s="29"/>
      <c r="L37" s="30"/>
      <c r="M37" s="30"/>
      <c r="N37" s="29"/>
      <c r="O37" s="29"/>
      <c r="P37" s="29"/>
      <c r="Q37" s="29"/>
      <c r="R37" s="29"/>
      <c r="S37" s="30"/>
      <c r="T37" s="30"/>
      <c r="U37" s="29"/>
      <c r="V37" s="29"/>
      <c r="W37" s="29"/>
      <c r="X37" s="29"/>
      <c r="Y37" s="29"/>
      <c r="Z37" s="30"/>
      <c r="AA37" s="30"/>
      <c r="AB37" s="29"/>
      <c r="AC37" s="29"/>
      <c r="AD37" s="29"/>
      <c r="AE37" s="29"/>
      <c r="AF37" s="29"/>
      <c r="AG37" s="30"/>
      <c r="AH37" s="30"/>
      <c r="AI37" s="29"/>
      <c r="AJ37" s="29"/>
      <c r="AK37" s="29"/>
      <c r="AL37" s="31">
        <f t="shared" si="6"/>
        <v>0</v>
      </c>
      <c r="AM37" s="51">
        <f t="shared" si="7"/>
        <v>0</v>
      </c>
      <c r="AO37" s="89"/>
      <c r="AP37" s="89"/>
      <c r="AQ37" s="89"/>
      <c r="AR37" s="89"/>
      <c r="AS37" s="89"/>
      <c r="AT37" s="89"/>
      <c r="AU37" s="89"/>
      <c r="AV37" s="89"/>
    </row>
    <row r="38" ht="19.5" customHeight="1">
      <c r="A38" s="34">
        <v>26.0</v>
      </c>
      <c r="B38" s="35" t="s">
        <v>130</v>
      </c>
      <c r="C38" s="135">
        <v>1.0</v>
      </c>
      <c r="D38" s="35" t="s">
        <v>132</v>
      </c>
      <c r="E38" s="27" t="s">
        <v>133</v>
      </c>
      <c r="F38" s="135">
        <v>12.0</v>
      </c>
      <c r="G38" s="47" t="s">
        <v>65</v>
      </c>
      <c r="H38" s="29">
        <v>12.0</v>
      </c>
      <c r="I38" s="29"/>
      <c r="J38" s="29"/>
      <c r="K38" s="29">
        <v>12.0</v>
      </c>
      <c r="L38" s="30">
        <v>12.0</v>
      </c>
      <c r="M38" s="30">
        <v>12.0</v>
      </c>
      <c r="N38" s="29">
        <v>12.0</v>
      </c>
      <c r="O38" s="29">
        <v>12.0</v>
      </c>
      <c r="P38" s="29"/>
      <c r="Q38" s="29"/>
      <c r="R38" s="29">
        <v>12.0</v>
      </c>
      <c r="S38" s="30">
        <v>12.0</v>
      </c>
      <c r="T38" s="30">
        <v>12.0</v>
      </c>
      <c r="U38" s="29">
        <v>12.0</v>
      </c>
      <c r="V38" s="29">
        <v>12.0</v>
      </c>
      <c r="W38" s="29"/>
      <c r="X38" s="29"/>
      <c r="Y38" s="29">
        <v>12.0</v>
      </c>
      <c r="Z38" s="30">
        <v>12.0</v>
      </c>
      <c r="AA38" s="30">
        <v>12.0</v>
      </c>
      <c r="AB38" s="29">
        <v>12.0</v>
      </c>
      <c r="AC38" s="29">
        <v>12.0</v>
      </c>
      <c r="AD38" s="29"/>
      <c r="AE38" s="29"/>
      <c r="AF38" s="29">
        <v>12.0</v>
      </c>
      <c r="AG38" s="30">
        <v>12.0</v>
      </c>
      <c r="AH38" s="30">
        <v>12.0</v>
      </c>
      <c r="AI38" s="29">
        <v>12.0</v>
      </c>
      <c r="AJ38" s="29">
        <v>12.0</v>
      </c>
      <c r="AK38" s="29"/>
      <c r="AL38" s="31">
        <f t="shared" si="6"/>
        <v>21</v>
      </c>
      <c r="AM38" s="51">
        <f t="shared" si="7"/>
        <v>252</v>
      </c>
      <c r="AO38" s="89"/>
      <c r="AP38" s="89"/>
      <c r="AQ38" s="89"/>
      <c r="AR38" s="89"/>
      <c r="AS38" s="89"/>
      <c r="AT38" s="89"/>
      <c r="AU38" s="89"/>
      <c r="AV38" s="89"/>
    </row>
    <row r="39" ht="18.75" customHeight="1">
      <c r="A39" s="34">
        <v>27.0</v>
      </c>
      <c r="B39" s="35" t="s">
        <v>130</v>
      </c>
      <c r="C39" s="27">
        <v>1.0</v>
      </c>
      <c r="D39" s="35" t="s">
        <v>132</v>
      </c>
      <c r="E39" s="27" t="s">
        <v>133</v>
      </c>
      <c r="F39" s="27">
        <v>12.0</v>
      </c>
      <c r="G39" s="123" t="s">
        <v>26</v>
      </c>
      <c r="H39" s="29"/>
      <c r="I39" s="29">
        <v>12.0</v>
      </c>
      <c r="J39" s="29">
        <v>12.0</v>
      </c>
      <c r="K39" s="29">
        <v>12.0</v>
      </c>
      <c r="L39" s="30">
        <v>12.0</v>
      </c>
      <c r="M39" s="30">
        <v>12.0</v>
      </c>
      <c r="N39" s="29">
        <v>12.0</v>
      </c>
      <c r="O39" s="29"/>
      <c r="P39" s="29">
        <v>12.0</v>
      </c>
      <c r="Q39" s="29">
        <v>12.0</v>
      </c>
      <c r="R39" s="29">
        <v>12.0</v>
      </c>
      <c r="S39" s="30">
        <v>12.0</v>
      </c>
      <c r="T39" s="30">
        <v>12.0</v>
      </c>
      <c r="U39" s="29">
        <v>12.0</v>
      </c>
      <c r="V39" s="29"/>
      <c r="W39" s="29">
        <v>12.0</v>
      </c>
      <c r="X39" s="29">
        <v>12.0</v>
      </c>
      <c r="Y39" s="29">
        <v>12.0</v>
      </c>
      <c r="Z39" s="30">
        <v>12.0</v>
      </c>
      <c r="AA39" s="30">
        <v>12.0</v>
      </c>
      <c r="AB39" s="29">
        <v>12.0</v>
      </c>
      <c r="AC39" s="29"/>
      <c r="AD39" s="29">
        <v>12.0</v>
      </c>
      <c r="AE39" s="29">
        <v>12.0</v>
      </c>
      <c r="AF39" s="29">
        <v>12.0</v>
      </c>
      <c r="AG39" s="30">
        <v>12.0</v>
      </c>
      <c r="AH39" s="30">
        <v>12.0</v>
      </c>
      <c r="AI39" s="29">
        <v>12.0</v>
      </c>
      <c r="AJ39" s="29"/>
      <c r="AK39" s="29">
        <v>12.0</v>
      </c>
      <c r="AL39" s="31">
        <f t="shared" si="6"/>
        <v>25</v>
      </c>
      <c r="AM39" s="51">
        <f t="shared" si="7"/>
        <v>300</v>
      </c>
    </row>
    <row r="40" ht="19.5" customHeight="1">
      <c r="A40" s="34">
        <v>28.0</v>
      </c>
      <c r="B40" s="35" t="s">
        <v>136</v>
      </c>
      <c r="C40" s="27">
        <v>1.0</v>
      </c>
      <c r="D40" s="117" t="s">
        <v>137</v>
      </c>
      <c r="E40" s="26" t="s">
        <v>138</v>
      </c>
      <c r="F40" s="26">
        <v>12.0</v>
      </c>
      <c r="G40" s="28" t="s">
        <v>26</v>
      </c>
      <c r="H40" s="29">
        <v>11.0</v>
      </c>
      <c r="I40" s="29">
        <v>11.0</v>
      </c>
      <c r="J40" s="29"/>
      <c r="K40" s="29">
        <v>11.0</v>
      </c>
      <c r="L40" s="30">
        <v>11.0</v>
      </c>
      <c r="M40" s="30">
        <v>11.0</v>
      </c>
      <c r="N40" s="29">
        <v>11.0</v>
      </c>
      <c r="O40" s="29">
        <v>11.0</v>
      </c>
      <c r="P40" s="29">
        <v>11.0</v>
      </c>
      <c r="Q40" s="29"/>
      <c r="R40" s="29">
        <v>11.0</v>
      </c>
      <c r="S40" s="30">
        <v>11.0</v>
      </c>
      <c r="T40" s="30">
        <v>11.0</v>
      </c>
      <c r="U40" s="29">
        <v>11.0</v>
      </c>
      <c r="V40" s="29">
        <v>11.0</v>
      </c>
      <c r="W40" s="29">
        <v>11.0</v>
      </c>
      <c r="X40" s="29"/>
      <c r="Y40" s="29">
        <v>11.0</v>
      </c>
      <c r="Z40" s="30">
        <v>11.0</v>
      </c>
      <c r="AA40" s="30">
        <v>11.0</v>
      </c>
      <c r="AB40" s="29">
        <v>11.0</v>
      </c>
      <c r="AC40" s="29">
        <v>11.0</v>
      </c>
      <c r="AD40" s="29">
        <v>11.0</v>
      </c>
      <c r="AE40" s="29"/>
      <c r="AF40" s="29">
        <v>11.0</v>
      </c>
      <c r="AG40" s="30">
        <v>11.0</v>
      </c>
      <c r="AH40" s="30">
        <v>11.0</v>
      </c>
      <c r="AI40" s="29">
        <v>11.0</v>
      </c>
      <c r="AJ40" s="29"/>
      <c r="AK40" s="29"/>
      <c r="AL40" s="31">
        <f t="shared" si="6"/>
        <v>24</v>
      </c>
      <c r="AM40" s="51">
        <f t="shared" si="7"/>
        <v>264</v>
      </c>
    </row>
    <row r="41" ht="14.25" customHeight="1">
      <c r="A41" s="21"/>
      <c r="B41" s="20" t="s">
        <v>140</v>
      </c>
      <c r="C41" s="21"/>
      <c r="D41" s="20" t="s">
        <v>140</v>
      </c>
      <c r="E41" s="21"/>
      <c r="F41" s="21"/>
      <c r="G41" s="21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3"/>
      <c r="AM41" s="45"/>
    </row>
    <row r="42" ht="14.25" customHeight="1">
      <c r="A42" s="34">
        <v>29.0</v>
      </c>
      <c r="B42" s="35" t="s">
        <v>140</v>
      </c>
      <c r="C42" s="27">
        <v>1.0</v>
      </c>
      <c r="D42" s="117" t="s">
        <v>153</v>
      </c>
      <c r="E42" s="139" t="s">
        <v>51</v>
      </c>
      <c r="F42" s="139">
        <v>24.0</v>
      </c>
      <c r="G42" s="28" t="s">
        <v>85</v>
      </c>
      <c r="H42" s="29"/>
      <c r="I42" s="29"/>
      <c r="J42" s="29">
        <v>24.0</v>
      </c>
      <c r="K42" s="29"/>
      <c r="L42" s="30"/>
      <c r="M42" s="30">
        <v>24.0</v>
      </c>
      <c r="N42" s="29"/>
      <c r="O42" s="29"/>
      <c r="P42" s="29">
        <v>24.0</v>
      </c>
      <c r="Q42" s="29"/>
      <c r="R42" s="29"/>
      <c r="S42" s="30">
        <v>24.0</v>
      </c>
      <c r="T42" s="30"/>
      <c r="U42" s="29"/>
      <c r="V42" s="29">
        <v>24.0</v>
      </c>
      <c r="W42" s="29"/>
      <c r="X42" s="29"/>
      <c r="Y42" s="29">
        <v>24.0</v>
      </c>
      <c r="Z42" s="30"/>
      <c r="AA42" s="30"/>
      <c r="AB42" s="29">
        <v>24.0</v>
      </c>
      <c r="AC42" s="29"/>
      <c r="AD42" s="29"/>
      <c r="AE42" s="29">
        <v>24.0</v>
      </c>
      <c r="AF42" s="29"/>
      <c r="AG42" s="30"/>
      <c r="AH42" s="30">
        <v>24.0</v>
      </c>
      <c r="AI42" s="29"/>
      <c r="AJ42" s="29"/>
      <c r="AK42" s="29">
        <v>24.0</v>
      </c>
      <c r="AL42" s="31">
        <f t="shared" ref="AL42:AL44" si="8">COUNTA(H42:AK42)</f>
        <v>10</v>
      </c>
      <c r="AM42" s="51">
        <f t="shared" ref="AM42:AM44" si="9">SUM(H42:AK42)</f>
        <v>240</v>
      </c>
    </row>
    <row r="43" ht="14.25" customHeight="1">
      <c r="A43" s="24">
        <v>30.0</v>
      </c>
      <c r="B43" s="35" t="s">
        <v>140</v>
      </c>
      <c r="C43" s="27">
        <v>1.0</v>
      </c>
      <c r="D43" s="117" t="s">
        <v>137</v>
      </c>
      <c r="E43" s="139" t="s">
        <v>51</v>
      </c>
      <c r="F43" s="139">
        <v>24.0</v>
      </c>
      <c r="G43" s="28" t="s">
        <v>85</v>
      </c>
      <c r="H43" s="29"/>
      <c r="I43" s="29">
        <v>24.0</v>
      </c>
      <c r="J43" s="29"/>
      <c r="K43" s="29"/>
      <c r="L43" s="30">
        <v>24.0</v>
      </c>
      <c r="M43" s="30"/>
      <c r="N43" s="29"/>
      <c r="O43" s="29">
        <v>24.0</v>
      </c>
      <c r="P43" s="29"/>
      <c r="Q43" s="29"/>
      <c r="R43" s="29">
        <v>24.0</v>
      </c>
      <c r="S43" s="30"/>
      <c r="T43" s="30"/>
      <c r="U43" s="29">
        <v>24.0</v>
      </c>
      <c r="V43" s="29"/>
      <c r="W43" s="29"/>
      <c r="X43" s="29">
        <v>24.0</v>
      </c>
      <c r="Y43" s="29"/>
      <c r="Z43" s="30"/>
      <c r="AA43" s="30">
        <v>24.0</v>
      </c>
      <c r="AB43" s="29"/>
      <c r="AC43" s="29"/>
      <c r="AD43" s="29">
        <v>24.0</v>
      </c>
      <c r="AE43" s="29"/>
      <c r="AF43" s="29"/>
      <c r="AG43" s="30">
        <v>24.0</v>
      </c>
      <c r="AH43" s="30"/>
      <c r="AI43" s="29"/>
      <c r="AJ43" s="29">
        <v>24.0</v>
      </c>
      <c r="AK43" s="29"/>
      <c r="AL43" s="31">
        <f t="shared" si="8"/>
        <v>10</v>
      </c>
      <c r="AM43" s="51">
        <f t="shared" si="9"/>
        <v>240</v>
      </c>
    </row>
    <row r="44" ht="14.25" customHeight="1">
      <c r="A44" s="24">
        <v>31.0</v>
      </c>
      <c r="B44" s="35" t="s">
        <v>140</v>
      </c>
      <c r="C44" s="27">
        <v>1.0</v>
      </c>
      <c r="D44" s="117" t="s">
        <v>150</v>
      </c>
      <c r="E44" s="139" t="s">
        <v>51</v>
      </c>
      <c r="F44" s="139">
        <v>24.0</v>
      </c>
      <c r="G44" s="28" t="s">
        <v>85</v>
      </c>
      <c r="H44" s="29">
        <v>24.0</v>
      </c>
      <c r="I44" s="29"/>
      <c r="J44" s="29"/>
      <c r="K44" s="29">
        <v>24.0</v>
      </c>
      <c r="L44" s="30"/>
      <c r="M44" s="30"/>
      <c r="N44" s="29">
        <v>24.0</v>
      </c>
      <c r="O44" s="29"/>
      <c r="P44" s="29"/>
      <c r="Q44" s="29">
        <v>24.0</v>
      </c>
      <c r="R44" s="29"/>
      <c r="S44" s="30"/>
      <c r="T44" s="30">
        <v>24.0</v>
      </c>
      <c r="U44" s="29"/>
      <c r="V44" s="29"/>
      <c r="W44" s="29">
        <v>24.0</v>
      </c>
      <c r="X44" s="29"/>
      <c r="Y44" s="29"/>
      <c r="Z44" s="30">
        <v>24.0</v>
      </c>
      <c r="AA44" s="30"/>
      <c r="AB44" s="29"/>
      <c r="AC44" s="29">
        <v>24.0</v>
      </c>
      <c r="AD44" s="29"/>
      <c r="AE44" s="29"/>
      <c r="AF44" s="29">
        <v>24.0</v>
      </c>
      <c r="AG44" s="30"/>
      <c r="AH44" s="30"/>
      <c r="AI44" s="29">
        <v>24.0</v>
      </c>
      <c r="AJ44" s="29"/>
      <c r="AK44" s="29"/>
      <c r="AL44" s="31">
        <f t="shared" si="8"/>
        <v>10</v>
      </c>
      <c r="AM44" s="51">
        <f t="shared" si="9"/>
        <v>240</v>
      </c>
    </row>
    <row r="45" ht="14.25" customHeight="1">
      <c r="A45" s="142"/>
      <c r="B45" s="143" t="s">
        <v>151</v>
      </c>
      <c r="C45" s="144">
        <v>33.0</v>
      </c>
      <c r="D45" s="143" t="s">
        <v>152</v>
      </c>
      <c r="E45" s="144"/>
      <c r="F45" s="144"/>
      <c r="G45" s="144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40"/>
      <c r="AM45" s="45"/>
    </row>
    <row r="46" ht="14.25" customHeight="1">
      <c r="A46" s="142"/>
      <c r="B46" s="146" t="s">
        <v>154</v>
      </c>
      <c r="C46" s="147"/>
      <c r="D46" s="147"/>
      <c r="E46" s="147"/>
      <c r="F46" s="147"/>
      <c r="G46" s="148"/>
      <c r="H46" s="145" t="s">
        <v>155</v>
      </c>
      <c r="I46" s="145" t="s">
        <v>155</v>
      </c>
      <c r="J46" s="145" t="s">
        <v>155</v>
      </c>
      <c r="K46" s="145" t="s">
        <v>155</v>
      </c>
      <c r="L46" s="145" t="s">
        <v>155</v>
      </c>
      <c r="M46" s="145" t="s">
        <v>155</v>
      </c>
      <c r="N46" s="145" t="s">
        <v>155</v>
      </c>
      <c r="O46" s="145" t="s">
        <v>155</v>
      </c>
      <c r="P46" s="145" t="s">
        <v>155</v>
      </c>
      <c r="Q46" s="145" t="s">
        <v>155</v>
      </c>
      <c r="R46" s="145" t="s">
        <v>155</v>
      </c>
      <c r="S46" s="145" t="s">
        <v>155</v>
      </c>
      <c r="T46" s="145" t="s">
        <v>155</v>
      </c>
      <c r="U46" s="145" t="s">
        <v>155</v>
      </c>
      <c r="V46" s="145" t="s">
        <v>155</v>
      </c>
      <c r="W46" s="145" t="s">
        <v>155</v>
      </c>
      <c r="X46" s="145" t="s">
        <v>155</v>
      </c>
      <c r="Y46" s="145" t="s">
        <v>155</v>
      </c>
      <c r="Z46" s="145" t="s">
        <v>155</v>
      </c>
      <c r="AA46" s="145" t="s">
        <v>155</v>
      </c>
      <c r="AB46" s="145" t="s">
        <v>155</v>
      </c>
      <c r="AC46" s="145"/>
      <c r="AD46" s="145"/>
      <c r="AE46" s="145" t="s">
        <v>155</v>
      </c>
      <c r="AF46" s="145" t="s">
        <v>155</v>
      </c>
      <c r="AG46" s="145" t="s">
        <v>155</v>
      </c>
      <c r="AH46" s="145" t="s">
        <v>155</v>
      </c>
      <c r="AI46" s="145"/>
      <c r="AJ46" s="145"/>
      <c r="AK46" s="145"/>
      <c r="AL46" s="40"/>
      <c r="AM46" s="45"/>
    </row>
    <row r="47" ht="14.25" customHeight="1">
      <c r="A47" s="142"/>
      <c r="B47" s="146" t="s">
        <v>156</v>
      </c>
      <c r="C47" s="147"/>
      <c r="D47" s="147"/>
      <c r="E47" s="147"/>
      <c r="F47" s="147"/>
      <c r="G47" s="148"/>
      <c r="H47" s="145">
        <f t="shared" ref="H47:AB47" si="10">COUNTA(#REF!,#REF!,#REF!,#REF!,#REF!)</f>
        <v>5</v>
      </c>
      <c r="I47" s="145">
        <f t="shared" si="10"/>
        <v>5</v>
      </c>
      <c r="J47" s="145">
        <f t="shared" si="10"/>
        <v>5</v>
      </c>
      <c r="K47" s="145">
        <f t="shared" si="10"/>
        <v>5</v>
      </c>
      <c r="L47" s="145">
        <f t="shared" si="10"/>
        <v>5</v>
      </c>
      <c r="M47" s="145">
        <f t="shared" si="10"/>
        <v>5</v>
      </c>
      <c r="N47" s="145">
        <f t="shared" si="10"/>
        <v>5</v>
      </c>
      <c r="O47" s="145">
        <f t="shared" si="10"/>
        <v>5</v>
      </c>
      <c r="P47" s="145">
        <f t="shared" si="10"/>
        <v>5</v>
      </c>
      <c r="Q47" s="145">
        <f t="shared" si="10"/>
        <v>5</v>
      </c>
      <c r="R47" s="145">
        <f t="shared" si="10"/>
        <v>5</v>
      </c>
      <c r="S47" s="145">
        <f t="shared" si="10"/>
        <v>5</v>
      </c>
      <c r="T47" s="145">
        <f t="shared" si="10"/>
        <v>5</v>
      </c>
      <c r="U47" s="145">
        <f t="shared" si="10"/>
        <v>5</v>
      </c>
      <c r="V47" s="145">
        <f t="shared" si="10"/>
        <v>5</v>
      </c>
      <c r="W47" s="145">
        <f t="shared" si="10"/>
        <v>5</v>
      </c>
      <c r="X47" s="145">
        <f t="shared" si="10"/>
        <v>5</v>
      </c>
      <c r="Y47" s="145">
        <f t="shared" si="10"/>
        <v>5</v>
      </c>
      <c r="Z47" s="145">
        <f t="shared" si="10"/>
        <v>5</v>
      </c>
      <c r="AA47" s="145">
        <f t="shared" si="10"/>
        <v>5</v>
      </c>
      <c r="AB47" s="145">
        <f t="shared" si="10"/>
        <v>5</v>
      </c>
      <c r="AC47" s="145"/>
      <c r="AD47" s="145"/>
      <c r="AE47" s="145">
        <f t="shared" ref="AE47:AH47" si="11">COUNTA(#REF!,#REF!,#REF!,#REF!,#REF!)</f>
        <v>5</v>
      </c>
      <c r="AF47" s="145">
        <f t="shared" si="11"/>
        <v>5</v>
      </c>
      <c r="AG47" s="145">
        <f t="shared" si="11"/>
        <v>5</v>
      </c>
      <c r="AH47" s="145">
        <f t="shared" si="11"/>
        <v>5</v>
      </c>
      <c r="AI47" s="145"/>
      <c r="AJ47" s="145"/>
      <c r="AK47" s="145"/>
      <c r="AL47" s="40"/>
      <c r="AM47" s="45"/>
    </row>
    <row r="48" ht="14.25" customHeight="1">
      <c r="A48" s="142"/>
      <c r="B48" s="146" t="s">
        <v>157</v>
      </c>
      <c r="C48" s="147"/>
      <c r="D48" s="147"/>
      <c r="E48" s="147"/>
      <c r="F48" s="147"/>
      <c r="G48" s="148"/>
      <c r="H48" s="145">
        <f t="shared" ref="H48:AB48" si="12">COUNTA(#REF!,#REF!)</f>
        <v>2</v>
      </c>
      <c r="I48" s="145">
        <f t="shared" si="12"/>
        <v>2</v>
      </c>
      <c r="J48" s="145">
        <f t="shared" si="12"/>
        <v>2</v>
      </c>
      <c r="K48" s="145">
        <f t="shared" si="12"/>
        <v>2</v>
      </c>
      <c r="L48" s="145">
        <f t="shared" si="12"/>
        <v>2</v>
      </c>
      <c r="M48" s="145">
        <f t="shared" si="12"/>
        <v>2</v>
      </c>
      <c r="N48" s="145">
        <f t="shared" si="12"/>
        <v>2</v>
      </c>
      <c r="O48" s="145">
        <f t="shared" si="12"/>
        <v>2</v>
      </c>
      <c r="P48" s="145">
        <f t="shared" si="12"/>
        <v>2</v>
      </c>
      <c r="Q48" s="145">
        <f t="shared" si="12"/>
        <v>2</v>
      </c>
      <c r="R48" s="145">
        <f t="shared" si="12"/>
        <v>2</v>
      </c>
      <c r="S48" s="145">
        <f t="shared" si="12"/>
        <v>2</v>
      </c>
      <c r="T48" s="145">
        <f t="shared" si="12"/>
        <v>2</v>
      </c>
      <c r="U48" s="145">
        <f t="shared" si="12"/>
        <v>2</v>
      </c>
      <c r="V48" s="145">
        <f t="shared" si="12"/>
        <v>2</v>
      </c>
      <c r="W48" s="145">
        <f t="shared" si="12"/>
        <v>2</v>
      </c>
      <c r="X48" s="145">
        <f t="shared" si="12"/>
        <v>2</v>
      </c>
      <c r="Y48" s="145">
        <f t="shared" si="12"/>
        <v>2</v>
      </c>
      <c r="Z48" s="145">
        <f t="shared" si="12"/>
        <v>2</v>
      </c>
      <c r="AA48" s="145">
        <f t="shared" si="12"/>
        <v>2</v>
      </c>
      <c r="AB48" s="145">
        <f t="shared" si="12"/>
        <v>2</v>
      </c>
      <c r="AC48" s="145"/>
      <c r="AD48" s="145"/>
      <c r="AE48" s="145">
        <f t="shared" ref="AE48:AH48" si="13">COUNTA(#REF!,#REF!)</f>
        <v>2</v>
      </c>
      <c r="AF48" s="145">
        <f t="shared" si="13"/>
        <v>2</v>
      </c>
      <c r="AG48" s="145">
        <f t="shared" si="13"/>
        <v>2</v>
      </c>
      <c r="AH48" s="145">
        <f t="shared" si="13"/>
        <v>2</v>
      </c>
      <c r="AI48" s="145"/>
      <c r="AJ48" s="145"/>
      <c r="AK48" s="145"/>
      <c r="AL48" s="40"/>
      <c r="AM48" s="45"/>
    </row>
    <row r="49" ht="14.25" customHeight="1">
      <c r="A49" s="2"/>
      <c r="B49" s="3"/>
      <c r="C49" s="2"/>
      <c r="D49" s="2"/>
      <c r="E49" s="2"/>
      <c r="F49" s="2"/>
      <c r="G49" s="4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1"/>
      <c r="AM49" s="11"/>
    </row>
    <row r="50" ht="14.25" customHeight="1">
      <c r="A50" s="152"/>
      <c r="B50" s="153"/>
      <c r="C50" s="154"/>
      <c r="D50" s="155" t="s">
        <v>159</v>
      </c>
      <c r="E50" s="155"/>
      <c r="F50" s="155"/>
      <c r="G50" s="156"/>
      <c r="H50" s="49">
        <f t="shared" ref="H50:AB50" si="14">COUNTA(H10,H11:H16,#REF!,H24:H25,H41,H23:H39,#REF!)</f>
        <v>15</v>
      </c>
      <c r="I50" s="49">
        <f t="shared" si="14"/>
        <v>12</v>
      </c>
      <c r="J50" s="49">
        <f t="shared" si="14"/>
        <v>12</v>
      </c>
      <c r="K50" s="49">
        <f t="shared" si="14"/>
        <v>17</v>
      </c>
      <c r="L50" s="49">
        <f t="shared" si="14"/>
        <v>18</v>
      </c>
      <c r="M50" s="49">
        <f t="shared" si="14"/>
        <v>13</v>
      </c>
      <c r="N50" s="49">
        <f t="shared" si="14"/>
        <v>14</v>
      </c>
      <c r="O50" s="49">
        <f t="shared" si="14"/>
        <v>15</v>
      </c>
      <c r="P50" s="49">
        <f t="shared" si="14"/>
        <v>11</v>
      </c>
      <c r="Q50" s="49">
        <f t="shared" si="14"/>
        <v>13</v>
      </c>
      <c r="R50" s="49">
        <f t="shared" si="14"/>
        <v>17</v>
      </c>
      <c r="S50" s="49">
        <f t="shared" si="14"/>
        <v>17</v>
      </c>
      <c r="T50" s="49">
        <f t="shared" si="14"/>
        <v>14</v>
      </c>
      <c r="U50" s="49">
        <f t="shared" si="14"/>
        <v>14</v>
      </c>
      <c r="V50" s="49">
        <f t="shared" si="14"/>
        <v>14</v>
      </c>
      <c r="W50" s="49">
        <f t="shared" si="14"/>
        <v>12</v>
      </c>
      <c r="X50" s="49">
        <f t="shared" si="14"/>
        <v>13</v>
      </c>
      <c r="Y50" s="49">
        <f t="shared" si="14"/>
        <v>16</v>
      </c>
      <c r="Z50" s="49">
        <f t="shared" si="14"/>
        <v>18</v>
      </c>
      <c r="AA50" s="49">
        <f t="shared" si="14"/>
        <v>14</v>
      </c>
      <c r="AB50" s="49">
        <f t="shared" si="14"/>
        <v>13</v>
      </c>
      <c r="AC50" s="49"/>
      <c r="AD50" s="49"/>
      <c r="AE50" s="49">
        <f t="shared" ref="AE50:AH50" si="15">COUNTA(AE10,AE11:AE16,#REF!,AE24:AE25,AE41,AE23:AE39,#REF!)</f>
        <v>12</v>
      </c>
      <c r="AF50" s="49">
        <f t="shared" si="15"/>
        <v>16</v>
      </c>
      <c r="AG50" s="49">
        <f t="shared" si="15"/>
        <v>18</v>
      </c>
      <c r="AH50" s="49">
        <f t="shared" si="15"/>
        <v>17</v>
      </c>
      <c r="AI50" s="49"/>
      <c r="AJ50" s="49"/>
      <c r="AK50" s="49"/>
      <c r="AL50" s="157">
        <f t="shared" ref="AL50:AL53" si="18">SUM(H50:AH50)</f>
        <v>365</v>
      </c>
      <c r="AM50" s="158">
        <v>250.0</v>
      </c>
    </row>
    <row r="51" ht="14.25" customHeight="1">
      <c r="A51" s="159"/>
      <c r="B51" s="160"/>
      <c r="C51" s="161"/>
      <c r="D51" s="162" t="s">
        <v>160</v>
      </c>
      <c r="E51" s="162"/>
      <c r="F51" s="162"/>
      <c r="G51" s="163"/>
      <c r="H51" s="164">
        <f t="shared" ref="H51:AB51" si="16">COUNTA(H10,#REF!,#REF!,H16,H23:H39,H24:H41)</f>
        <v>18</v>
      </c>
      <c r="I51" s="164">
        <f t="shared" si="16"/>
        <v>14</v>
      </c>
      <c r="J51" s="164">
        <f t="shared" si="16"/>
        <v>15</v>
      </c>
      <c r="K51" s="164">
        <f t="shared" si="16"/>
        <v>22</v>
      </c>
      <c r="L51" s="164">
        <f t="shared" si="16"/>
        <v>24</v>
      </c>
      <c r="M51" s="164">
        <f t="shared" si="16"/>
        <v>23</v>
      </c>
      <c r="N51" s="164">
        <f t="shared" si="16"/>
        <v>23</v>
      </c>
      <c r="O51" s="164">
        <f t="shared" si="16"/>
        <v>18</v>
      </c>
      <c r="P51" s="164">
        <f t="shared" si="16"/>
        <v>14</v>
      </c>
      <c r="Q51" s="164">
        <f t="shared" si="16"/>
        <v>15</v>
      </c>
      <c r="R51" s="164">
        <f t="shared" si="16"/>
        <v>22</v>
      </c>
      <c r="S51" s="164">
        <f t="shared" si="16"/>
        <v>24</v>
      </c>
      <c r="T51" s="164">
        <f t="shared" si="16"/>
        <v>23</v>
      </c>
      <c r="U51" s="164">
        <f t="shared" si="16"/>
        <v>23</v>
      </c>
      <c r="V51" s="164">
        <f t="shared" si="16"/>
        <v>18</v>
      </c>
      <c r="W51" s="164">
        <f t="shared" si="16"/>
        <v>14</v>
      </c>
      <c r="X51" s="164">
        <f t="shared" si="16"/>
        <v>15</v>
      </c>
      <c r="Y51" s="164">
        <f t="shared" si="16"/>
        <v>22</v>
      </c>
      <c r="Z51" s="164">
        <f t="shared" si="16"/>
        <v>24</v>
      </c>
      <c r="AA51" s="164">
        <f t="shared" si="16"/>
        <v>23</v>
      </c>
      <c r="AB51" s="164">
        <f t="shared" si="16"/>
        <v>23</v>
      </c>
      <c r="AC51" s="164"/>
      <c r="AD51" s="164"/>
      <c r="AE51" s="164">
        <f t="shared" ref="AE51:AH51" si="17">COUNTA(AE10,#REF!,#REF!,AE16,AE23:AE39,AE24:AE41)</f>
        <v>15</v>
      </c>
      <c r="AF51" s="164">
        <f t="shared" si="17"/>
        <v>20</v>
      </c>
      <c r="AG51" s="164">
        <f t="shared" si="17"/>
        <v>24</v>
      </c>
      <c r="AH51" s="164">
        <f t="shared" si="17"/>
        <v>24</v>
      </c>
      <c r="AI51" s="164"/>
      <c r="AJ51" s="164"/>
      <c r="AK51" s="164"/>
      <c r="AL51" s="165">
        <f t="shared" si="18"/>
        <v>500</v>
      </c>
      <c r="AM51" s="158"/>
    </row>
    <row r="52" ht="14.25" customHeight="1">
      <c r="A52" s="166"/>
      <c r="B52" s="167"/>
      <c r="C52" s="168"/>
      <c r="D52" s="169" t="s">
        <v>161</v>
      </c>
      <c r="E52" s="169"/>
      <c r="F52" s="169"/>
      <c r="G52" s="170"/>
      <c r="H52" s="171">
        <f t="shared" ref="H52:AB52" si="19">COUNTA(H23:H39,#REF!,H41:H42)</f>
        <v>8</v>
      </c>
      <c r="I52" s="171">
        <f t="shared" si="19"/>
        <v>6</v>
      </c>
      <c r="J52" s="171">
        <f t="shared" si="19"/>
        <v>8</v>
      </c>
      <c r="K52" s="171">
        <f t="shared" si="19"/>
        <v>10</v>
      </c>
      <c r="L52" s="171">
        <f t="shared" si="19"/>
        <v>11</v>
      </c>
      <c r="M52" s="171">
        <f t="shared" si="19"/>
        <v>12</v>
      </c>
      <c r="N52" s="171">
        <f t="shared" si="19"/>
        <v>11</v>
      </c>
      <c r="O52" s="171">
        <f t="shared" si="19"/>
        <v>8</v>
      </c>
      <c r="P52" s="171">
        <f t="shared" si="19"/>
        <v>7</v>
      </c>
      <c r="Q52" s="171">
        <f t="shared" si="19"/>
        <v>7</v>
      </c>
      <c r="R52" s="171">
        <f t="shared" si="19"/>
        <v>10</v>
      </c>
      <c r="S52" s="171">
        <f t="shared" si="19"/>
        <v>12</v>
      </c>
      <c r="T52" s="171">
        <f t="shared" si="19"/>
        <v>11</v>
      </c>
      <c r="U52" s="171">
        <f t="shared" si="19"/>
        <v>11</v>
      </c>
      <c r="V52" s="171">
        <f t="shared" si="19"/>
        <v>9</v>
      </c>
      <c r="W52" s="171">
        <f t="shared" si="19"/>
        <v>6</v>
      </c>
      <c r="X52" s="171">
        <f t="shared" si="19"/>
        <v>7</v>
      </c>
      <c r="Y52" s="171">
        <f t="shared" si="19"/>
        <v>11</v>
      </c>
      <c r="Z52" s="171">
        <f t="shared" si="19"/>
        <v>11</v>
      </c>
      <c r="AA52" s="171">
        <f t="shared" si="19"/>
        <v>11</v>
      </c>
      <c r="AB52" s="171">
        <f t="shared" si="19"/>
        <v>12</v>
      </c>
      <c r="AC52" s="171"/>
      <c r="AD52" s="171"/>
      <c r="AE52" s="171">
        <f t="shared" ref="AE52:AH52" si="20">COUNTA(AE23:AE39,#REF!,AE41:AE42)</f>
        <v>8</v>
      </c>
      <c r="AF52" s="171">
        <f t="shared" si="20"/>
        <v>9</v>
      </c>
      <c r="AG52" s="171">
        <f t="shared" si="20"/>
        <v>11</v>
      </c>
      <c r="AH52" s="171">
        <f t="shared" si="20"/>
        <v>12</v>
      </c>
      <c r="AI52" s="171"/>
      <c r="AJ52" s="171"/>
      <c r="AK52" s="171"/>
      <c r="AL52" s="172">
        <f t="shared" si="18"/>
        <v>239</v>
      </c>
      <c r="AM52" s="173">
        <f>AM50*AL54</f>
        <v>301000</v>
      </c>
    </row>
    <row r="53" ht="14.25" customHeight="1">
      <c r="A53" s="174"/>
      <c r="B53" s="175"/>
      <c r="C53" s="176"/>
      <c r="D53" s="177" t="s">
        <v>162</v>
      </c>
      <c r="E53" s="177"/>
      <c r="F53" s="177"/>
      <c r="G53" s="178"/>
      <c r="H53" s="179">
        <f t="shared" ref="H53:AB53" si="21">COUNTA(#REF!,#REF!,#REF!,#REF!)</f>
        <v>4</v>
      </c>
      <c r="I53" s="179">
        <f t="shared" si="21"/>
        <v>4</v>
      </c>
      <c r="J53" s="179">
        <f t="shared" si="21"/>
        <v>4</v>
      </c>
      <c r="K53" s="179">
        <f t="shared" si="21"/>
        <v>4</v>
      </c>
      <c r="L53" s="179">
        <f t="shared" si="21"/>
        <v>4</v>
      </c>
      <c r="M53" s="179">
        <f t="shared" si="21"/>
        <v>4</v>
      </c>
      <c r="N53" s="179">
        <f t="shared" si="21"/>
        <v>4</v>
      </c>
      <c r="O53" s="179">
        <f t="shared" si="21"/>
        <v>4</v>
      </c>
      <c r="P53" s="179">
        <f t="shared" si="21"/>
        <v>4</v>
      </c>
      <c r="Q53" s="179">
        <f t="shared" si="21"/>
        <v>4</v>
      </c>
      <c r="R53" s="179">
        <f t="shared" si="21"/>
        <v>4</v>
      </c>
      <c r="S53" s="179">
        <f t="shared" si="21"/>
        <v>4</v>
      </c>
      <c r="T53" s="179">
        <f t="shared" si="21"/>
        <v>4</v>
      </c>
      <c r="U53" s="179">
        <f t="shared" si="21"/>
        <v>4</v>
      </c>
      <c r="V53" s="179">
        <f t="shared" si="21"/>
        <v>4</v>
      </c>
      <c r="W53" s="179">
        <f t="shared" si="21"/>
        <v>4</v>
      </c>
      <c r="X53" s="179">
        <f t="shared" si="21"/>
        <v>4</v>
      </c>
      <c r="Y53" s="179">
        <f t="shared" si="21"/>
        <v>4</v>
      </c>
      <c r="Z53" s="179">
        <f t="shared" si="21"/>
        <v>4</v>
      </c>
      <c r="AA53" s="179">
        <f t="shared" si="21"/>
        <v>4</v>
      </c>
      <c r="AB53" s="179">
        <f t="shared" si="21"/>
        <v>4</v>
      </c>
      <c r="AC53" s="179"/>
      <c r="AD53" s="179"/>
      <c r="AE53" s="179">
        <f t="shared" ref="AE53:AH53" si="22">COUNTA(#REF!,#REF!,#REF!,#REF!)</f>
        <v>4</v>
      </c>
      <c r="AF53" s="179">
        <f t="shared" si="22"/>
        <v>4</v>
      </c>
      <c r="AG53" s="179">
        <f t="shared" si="22"/>
        <v>4</v>
      </c>
      <c r="AH53" s="179">
        <f t="shared" si="22"/>
        <v>4</v>
      </c>
      <c r="AI53" s="179"/>
      <c r="AJ53" s="179"/>
      <c r="AK53" s="179"/>
      <c r="AL53" s="179">
        <f t="shared" si="18"/>
        <v>100</v>
      </c>
      <c r="AM53" s="180"/>
    </row>
    <row r="54" ht="14.25" customHeight="1">
      <c r="A54" s="146" t="s">
        <v>163</v>
      </c>
      <c r="B54" s="147"/>
      <c r="C54" s="147"/>
      <c r="D54" s="147"/>
      <c r="E54" s="147"/>
      <c r="F54" s="147"/>
      <c r="G54" s="148"/>
      <c r="H54" s="145">
        <f t="shared" ref="H54:AB54" si="23">SUM(H50:H53)</f>
        <v>45</v>
      </c>
      <c r="I54" s="145">
        <f t="shared" si="23"/>
        <v>36</v>
      </c>
      <c r="J54" s="145">
        <f t="shared" si="23"/>
        <v>39</v>
      </c>
      <c r="K54" s="145">
        <f t="shared" si="23"/>
        <v>53</v>
      </c>
      <c r="L54" s="145">
        <f t="shared" si="23"/>
        <v>57</v>
      </c>
      <c r="M54" s="145">
        <f t="shared" si="23"/>
        <v>52</v>
      </c>
      <c r="N54" s="145">
        <f t="shared" si="23"/>
        <v>52</v>
      </c>
      <c r="O54" s="145">
        <f t="shared" si="23"/>
        <v>45</v>
      </c>
      <c r="P54" s="145">
        <f t="shared" si="23"/>
        <v>36</v>
      </c>
      <c r="Q54" s="145">
        <f t="shared" si="23"/>
        <v>39</v>
      </c>
      <c r="R54" s="145">
        <f t="shared" si="23"/>
        <v>53</v>
      </c>
      <c r="S54" s="145">
        <f t="shared" si="23"/>
        <v>57</v>
      </c>
      <c r="T54" s="145">
        <f t="shared" si="23"/>
        <v>52</v>
      </c>
      <c r="U54" s="145">
        <f t="shared" si="23"/>
        <v>52</v>
      </c>
      <c r="V54" s="145">
        <f t="shared" si="23"/>
        <v>45</v>
      </c>
      <c r="W54" s="145">
        <f t="shared" si="23"/>
        <v>36</v>
      </c>
      <c r="X54" s="145">
        <f t="shared" si="23"/>
        <v>39</v>
      </c>
      <c r="Y54" s="145">
        <f t="shared" si="23"/>
        <v>53</v>
      </c>
      <c r="Z54" s="145">
        <f t="shared" si="23"/>
        <v>57</v>
      </c>
      <c r="AA54" s="145">
        <f t="shared" si="23"/>
        <v>52</v>
      </c>
      <c r="AB54" s="145">
        <f t="shared" si="23"/>
        <v>52</v>
      </c>
      <c r="AC54" s="145"/>
      <c r="AD54" s="145"/>
      <c r="AE54" s="145">
        <f t="shared" ref="AE54:AH54" si="24">SUM(AE50:AE53)</f>
        <v>39</v>
      </c>
      <c r="AF54" s="145">
        <f t="shared" si="24"/>
        <v>49</v>
      </c>
      <c r="AG54" s="145">
        <f t="shared" si="24"/>
        <v>57</v>
      </c>
      <c r="AH54" s="145">
        <f t="shared" si="24"/>
        <v>57</v>
      </c>
      <c r="AI54" s="145"/>
      <c r="AJ54" s="145"/>
      <c r="AK54" s="145"/>
      <c r="AL54" s="145">
        <f>SUM(AL50:AL53)</f>
        <v>1204</v>
      </c>
      <c r="AM54" s="181"/>
    </row>
    <row r="55" ht="14.25" customHeight="1">
      <c r="A55" s="2"/>
      <c r="B55" s="182" t="s">
        <v>164</v>
      </c>
      <c r="C55" s="182"/>
      <c r="D55" s="182"/>
      <c r="E55" s="182"/>
      <c r="F55" s="182"/>
      <c r="G55" s="4"/>
      <c r="H55" s="4"/>
      <c r="I55" s="4"/>
      <c r="J55" s="4"/>
      <c r="K55" s="4"/>
      <c r="L55" s="4"/>
      <c r="M55" s="4"/>
      <c r="N55" s="4"/>
      <c r="O55" s="4"/>
      <c r="P55" s="5"/>
      <c r="Q55" s="5"/>
      <c r="R55" s="4"/>
      <c r="S55" s="4"/>
      <c r="T55" s="4"/>
      <c r="U55" s="4"/>
      <c r="V55" s="5"/>
      <c r="W55" s="5"/>
      <c r="X55" s="5"/>
      <c r="Y55" s="4"/>
      <c r="Z55" s="4"/>
      <c r="AA55" s="4"/>
      <c r="AB55" s="4"/>
      <c r="AC55" s="4"/>
      <c r="AD55" s="4"/>
      <c r="AE55" s="5"/>
      <c r="AF55" s="5"/>
      <c r="AG55" s="5"/>
      <c r="AH55" s="5"/>
      <c r="AI55" s="5"/>
      <c r="AJ55" s="5"/>
      <c r="AK55" s="5"/>
      <c r="AL55" s="2"/>
      <c r="AM55" s="183"/>
    </row>
    <row r="56" ht="14.25" customHeight="1">
      <c r="A56" s="2"/>
      <c r="B56" s="182" t="s">
        <v>165</v>
      </c>
      <c r="C56" s="2"/>
      <c r="D56" s="2"/>
      <c r="E56" s="2"/>
      <c r="F56" s="2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11"/>
      <c r="AM56" s="2"/>
    </row>
    <row r="57" ht="14.25" customHeight="1">
      <c r="A57" s="2"/>
      <c r="B57" s="182" t="s">
        <v>166</v>
      </c>
      <c r="C57" s="184"/>
      <c r="D57" s="184"/>
      <c r="E57" s="2"/>
      <c r="F57" s="2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11"/>
      <c r="AM57" s="2"/>
    </row>
    <row r="58" ht="14.25" customHeight="1">
      <c r="A58" s="2"/>
      <c r="B58" s="182"/>
      <c r="C58" s="184"/>
      <c r="D58" s="184"/>
      <c r="E58" s="4" t="s">
        <v>167</v>
      </c>
      <c r="H58" s="5"/>
      <c r="I58" s="5"/>
      <c r="J58" s="5"/>
      <c r="K58" s="5"/>
      <c r="L58" s="5" t="s">
        <v>168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11"/>
      <c r="AM58" s="2"/>
    </row>
    <row r="59" ht="14.25" customHeight="1">
      <c r="A59" s="2"/>
      <c r="B59" s="3"/>
      <c r="C59" s="2"/>
      <c r="D59" s="2"/>
      <c r="E59" s="2"/>
      <c r="F59" s="2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11"/>
      <c r="AM59" s="11"/>
    </row>
    <row r="60" ht="14.25" customHeight="1">
      <c r="A60" s="2"/>
      <c r="B60" s="3"/>
      <c r="C60" s="2"/>
      <c r="D60" s="2"/>
      <c r="E60" s="4" t="s">
        <v>169</v>
      </c>
      <c r="H60" s="5"/>
      <c r="I60" s="5"/>
      <c r="J60" s="5"/>
      <c r="K60" s="5"/>
      <c r="L60" s="5"/>
      <c r="M60" s="5"/>
      <c r="N60" s="5"/>
      <c r="O60" s="5" t="s">
        <v>170</v>
      </c>
      <c r="P60" s="5"/>
      <c r="Q60" s="5"/>
      <c r="R60" s="5" t="s">
        <v>171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1"/>
      <c r="AM60" s="11"/>
    </row>
    <row r="61" ht="14.25" customHeight="1">
      <c r="A61" s="2"/>
      <c r="B61" s="3"/>
      <c r="C61" s="2"/>
      <c r="D61" s="2"/>
      <c r="E61" s="2"/>
      <c r="F61" s="2"/>
      <c r="G61" s="185"/>
      <c r="H61" s="5"/>
      <c r="I61" s="5"/>
      <c r="J61" s="5"/>
      <c r="K61" s="5"/>
      <c r="L61" s="5"/>
      <c r="M61" s="5"/>
      <c r="N61" s="5"/>
      <c r="O61" s="5"/>
      <c r="P61" s="5"/>
      <c r="Q61" s="5"/>
      <c r="R61" s="4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11"/>
      <c r="AM61" s="11"/>
    </row>
    <row r="62" ht="30.75" customHeight="1">
      <c r="A62" s="2"/>
      <c r="B62" s="3"/>
      <c r="C62" s="2"/>
      <c r="D62" s="2"/>
      <c r="E62" s="185" t="s">
        <v>172</v>
      </c>
      <c r="H62" s="5"/>
      <c r="I62" s="5"/>
      <c r="J62" s="5"/>
      <c r="K62" s="5"/>
      <c r="L62" s="5"/>
      <c r="M62" s="5"/>
      <c r="N62" s="5"/>
      <c r="O62" s="5" t="s">
        <v>170</v>
      </c>
      <c r="P62" s="5"/>
      <c r="Q62" s="5"/>
      <c r="R62" s="5" t="s">
        <v>171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11"/>
      <c r="AM62" s="11"/>
    </row>
    <row r="63" ht="14.25" customHeight="1">
      <c r="A63" s="11"/>
      <c r="B63" s="3"/>
      <c r="C63" s="2"/>
      <c r="D63" s="186"/>
      <c r="E63" s="2"/>
      <c r="F63" s="2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11"/>
      <c r="AM63" s="11"/>
    </row>
    <row r="64" ht="14.25" customHeight="1">
      <c r="G64" s="187"/>
    </row>
    <row r="65" ht="14.25" customHeight="1">
      <c r="G65" s="187"/>
    </row>
    <row r="66" ht="14.25" customHeight="1">
      <c r="G66" s="187"/>
    </row>
    <row r="67" ht="14.25" customHeight="1">
      <c r="G67" s="187"/>
    </row>
    <row r="68" ht="15.75" customHeight="1">
      <c r="G68" s="187"/>
    </row>
    <row r="69" ht="14.25" customHeight="1">
      <c r="G69" s="187"/>
    </row>
    <row r="70" ht="14.25" customHeight="1">
      <c r="G70" s="187"/>
    </row>
    <row r="71" ht="14.25" customHeight="1">
      <c r="G71" s="187"/>
    </row>
    <row r="72" ht="14.25" customHeight="1">
      <c r="G72" s="187"/>
    </row>
    <row r="73" ht="14.25" customHeight="1">
      <c r="G73" s="187"/>
    </row>
    <row r="74" ht="14.25" customHeight="1">
      <c r="G74" s="187"/>
    </row>
    <row r="75" ht="14.25" customHeight="1">
      <c r="G75" s="187"/>
    </row>
    <row r="76" ht="14.25" customHeight="1">
      <c r="G76" s="187"/>
    </row>
    <row r="77" ht="14.25" customHeight="1">
      <c r="G77" s="187"/>
    </row>
    <row r="78" ht="14.25" customHeight="1">
      <c r="G78" s="187"/>
    </row>
    <row r="79" ht="14.25" customHeight="1">
      <c r="G79" s="187"/>
    </row>
    <row r="80" ht="14.25" customHeight="1">
      <c r="G80" s="187"/>
    </row>
    <row r="81" ht="14.25" customHeight="1">
      <c r="G81" s="187"/>
    </row>
    <row r="82" ht="14.25" customHeight="1">
      <c r="G82" s="187"/>
    </row>
    <row r="83" ht="14.25" customHeight="1">
      <c r="G83" s="187"/>
    </row>
    <row r="84" ht="14.25" customHeight="1">
      <c r="G84" s="187"/>
    </row>
    <row r="85" ht="14.25" customHeight="1">
      <c r="G85" s="187"/>
    </row>
    <row r="86" ht="14.25" customHeight="1">
      <c r="G86" s="187"/>
    </row>
    <row r="87" ht="14.25" customHeight="1">
      <c r="G87" s="187"/>
    </row>
    <row r="88" ht="14.25" customHeight="1">
      <c r="G88" s="187"/>
    </row>
    <row r="89" ht="14.25" customHeight="1">
      <c r="G89" s="187"/>
    </row>
    <row r="90" ht="14.25" customHeight="1">
      <c r="G90" s="187"/>
    </row>
    <row r="91" ht="14.25" customHeight="1">
      <c r="G91" s="187"/>
    </row>
    <row r="92" ht="14.25" customHeight="1">
      <c r="G92" s="187"/>
    </row>
    <row r="93" ht="14.25" customHeight="1">
      <c r="G93" s="187"/>
    </row>
    <row r="94" ht="14.25" customHeight="1">
      <c r="G94" s="187"/>
    </row>
    <row r="95" ht="14.25" customHeight="1">
      <c r="G95" s="187"/>
    </row>
    <row r="96" ht="14.25" customHeight="1">
      <c r="G96" s="187"/>
    </row>
    <row r="97" ht="14.25" customHeight="1">
      <c r="G97" s="187"/>
    </row>
    <row r="98" ht="14.25" customHeight="1">
      <c r="G98" s="187"/>
    </row>
    <row r="99" ht="14.25" customHeight="1">
      <c r="G99" s="187"/>
    </row>
    <row r="100" ht="14.25" customHeight="1">
      <c r="G100" s="187"/>
    </row>
    <row r="101" ht="14.25" customHeight="1">
      <c r="G101" s="187"/>
    </row>
    <row r="102" ht="14.25" customHeight="1">
      <c r="G102" s="187"/>
    </row>
    <row r="103" ht="14.25" customHeight="1">
      <c r="G103" s="187"/>
    </row>
    <row r="104" ht="14.25" customHeight="1">
      <c r="G104" s="187"/>
    </row>
    <row r="105" ht="14.25" customHeight="1">
      <c r="G105" s="187"/>
    </row>
    <row r="106" ht="14.25" customHeight="1">
      <c r="G106" s="187"/>
    </row>
    <row r="107" ht="14.25" customHeight="1">
      <c r="G107" s="187"/>
    </row>
    <row r="108" ht="14.25" customHeight="1">
      <c r="G108" s="187"/>
    </row>
    <row r="109" ht="14.25" customHeight="1">
      <c r="G109" s="187"/>
    </row>
    <row r="110" ht="14.25" customHeight="1">
      <c r="G110" s="187"/>
    </row>
    <row r="111" ht="14.25" customHeight="1">
      <c r="G111" s="187"/>
    </row>
    <row r="112" ht="14.25" customHeight="1">
      <c r="G112" s="187"/>
    </row>
    <row r="113" ht="14.25" customHeight="1">
      <c r="G113" s="187"/>
    </row>
    <row r="114" ht="14.25" customHeight="1">
      <c r="G114" s="187"/>
    </row>
    <row r="115" ht="14.25" customHeight="1">
      <c r="G115" s="187"/>
    </row>
    <row r="116" ht="14.25" customHeight="1">
      <c r="G116" s="187"/>
    </row>
    <row r="117" ht="14.25" customHeight="1">
      <c r="G117" s="187"/>
    </row>
    <row r="118" ht="14.25" customHeight="1">
      <c r="G118" s="187"/>
    </row>
    <row r="119" ht="14.25" customHeight="1">
      <c r="G119" s="187"/>
    </row>
    <row r="120" ht="14.25" customHeight="1">
      <c r="G120" s="187"/>
    </row>
    <row r="121" ht="14.25" customHeight="1">
      <c r="G121" s="187"/>
    </row>
    <row r="122" ht="14.25" customHeight="1">
      <c r="G122" s="187"/>
    </row>
    <row r="123" ht="14.25" customHeight="1">
      <c r="G123" s="187"/>
    </row>
    <row r="124" ht="14.25" customHeight="1">
      <c r="G124" s="187"/>
    </row>
    <row r="125" ht="14.25" customHeight="1">
      <c r="G125" s="187"/>
    </row>
    <row r="126" ht="14.25" customHeight="1">
      <c r="G126" s="187"/>
    </row>
    <row r="127" ht="14.25" customHeight="1">
      <c r="G127" s="187"/>
    </row>
    <row r="128" ht="14.25" customHeight="1">
      <c r="G128" s="187"/>
    </row>
    <row r="129" ht="14.25" customHeight="1">
      <c r="G129" s="187"/>
    </row>
    <row r="130" ht="14.25" customHeight="1">
      <c r="G130" s="187"/>
    </row>
    <row r="131" ht="14.25" customHeight="1">
      <c r="G131" s="187"/>
    </row>
    <row r="132" ht="14.25" customHeight="1">
      <c r="G132" s="187"/>
    </row>
    <row r="133" ht="14.25" customHeight="1">
      <c r="G133" s="187"/>
    </row>
    <row r="134" ht="14.25" customHeight="1">
      <c r="G134" s="187"/>
    </row>
    <row r="135" ht="14.25" customHeight="1">
      <c r="G135" s="187"/>
    </row>
    <row r="136" ht="14.25" customHeight="1">
      <c r="G136" s="187"/>
    </row>
    <row r="137" ht="14.25" customHeight="1">
      <c r="G137" s="187"/>
    </row>
    <row r="138" ht="14.25" customHeight="1">
      <c r="G138" s="187"/>
    </row>
    <row r="139" ht="14.25" customHeight="1">
      <c r="G139" s="187"/>
    </row>
    <row r="140" ht="14.25" customHeight="1">
      <c r="G140" s="187"/>
    </row>
    <row r="141" ht="14.25" customHeight="1">
      <c r="G141" s="187"/>
    </row>
    <row r="142" ht="14.25" customHeight="1">
      <c r="G142" s="187"/>
    </row>
    <row r="143" ht="14.25" customHeight="1">
      <c r="G143" s="187"/>
    </row>
    <row r="144" ht="14.25" customHeight="1">
      <c r="G144" s="187"/>
    </row>
    <row r="145" ht="14.25" customHeight="1">
      <c r="G145" s="187"/>
    </row>
    <row r="146" ht="14.25" customHeight="1">
      <c r="G146" s="187"/>
    </row>
    <row r="147" ht="14.25" customHeight="1">
      <c r="G147" s="187"/>
    </row>
    <row r="148" ht="14.25" customHeight="1">
      <c r="G148" s="187"/>
    </row>
    <row r="149" ht="14.25" customHeight="1">
      <c r="G149" s="187"/>
    </row>
    <row r="150" ht="14.25" customHeight="1">
      <c r="G150" s="187"/>
    </row>
    <row r="151" ht="14.25" customHeight="1">
      <c r="G151" s="187"/>
    </row>
    <row r="152" ht="14.25" customHeight="1">
      <c r="G152" s="187"/>
    </row>
    <row r="153" ht="14.25" customHeight="1">
      <c r="G153" s="187"/>
    </row>
    <row r="154" ht="14.25" customHeight="1">
      <c r="G154" s="187"/>
    </row>
    <row r="155" ht="14.25" customHeight="1">
      <c r="G155" s="187"/>
    </row>
    <row r="156" ht="14.25" customHeight="1">
      <c r="G156" s="187"/>
    </row>
    <row r="157" ht="14.25" customHeight="1">
      <c r="G157" s="187"/>
    </row>
    <row r="158" ht="14.25" customHeight="1">
      <c r="G158" s="187"/>
    </row>
    <row r="159" ht="14.25" customHeight="1">
      <c r="G159" s="187"/>
    </row>
    <row r="160" ht="14.25" customHeight="1">
      <c r="G160" s="187"/>
    </row>
    <row r="161" ht="14.25" customHeight="1">
      <c r="G161" s="187"/>
    </row>
    <row r="162" ht="14.25" customHeight="1">
      <c r="G162" s="187"/>
    </row>
    <row r="163" ht="14.25" customHeight="1">
      <c r="G163" s="187"/>
    </row>
    <row r="164" ht="14.25" customHeight="1">
      <c r="G164" s="187"/>
    </row>
    <row r="165" ht="14.25" customHeight="1">
      <c r="G165" s="187"/>
    </row>
    <row r="166" ht="14.25" customHeight="1">
      <c r="G166" s="187"/>
    </row>
    <row r="167" ht="14.25" customHeight="1">
      <c r="G167" s="187"/>
    </row>
    <row r="168" ht="14.25" customHeight="1">
      <c r="G168" s="187"/>
    </row>
    <row r="169" ht="14.25" customHeight="1">
      <c r="G169" s="187"/>
    </row>
    <row r="170" ht="14.25" customHeight="1">
      <c r="G170" s="187"/>
    </row>
    <row r="171" ht="14.25" customHeight="1">
      <c r="G171" s="187"/>
    </row>
    <row r="172" ht="14.25" customHeight="1">
      <c r="G172" s="187"/>
    </row>
    <row r="173" ht="14.25" customHeight="1">
      <c r="G173" s="187"/>
    </row>
    <row r="174" ht="14.25" customHeight="1">
      <c r="G174" s="187"/>
    </row>
    <row r="175" ht="14.25" customHeight="1">
      <c r="G175" s="187"/>
    </row>
    <row r="176" ht="14.25" customHeight="1">
      <c r="G176" s="187"/>
    </row>
    <row r="177" ht="14.25" customHeight="1">
      <c r="G177" s="187"/>
    </row>
    <row r="178" ht="14.25" customHeight="1">
      <c r="G178" s="187"/>
    </row>
    <row r="179" ht="14.25" customHeight="1">
      <c r="G179" s="187"/>
    </row>
    <row r="180" ht="14.25" customHeight="1">
      <c r="G180" s="187"/>
    </row>
    <row r="181" ht="14.25" customHeight="1">
      <c r="G181" s="187"/>
    </row>
    <row r="182" ht="14.25" customHeight="1">
      <c r="G182" s="187"/>
    </row>
    <row r="183" ht="14.25" customHeight="1">
      <c r="G183" s="187"/>
    </row>
    <row r="184" ht="14.25" customHeight="1">
      <c r="G184" s="187"/>
    </row>
    <row r="185" ht="14.25" customHeight="1">
      <c r="G185" s="187"/>
    </row>
    <row r="186" ht="14.25" customHeight="1">
      <c r="G186" s="187"/>
    </row>
    <row r="187" ht="14.25" customHeight="1">
      <c r="G187" s="187"/>
    </row>
    <row r="188" ht="14.25" customHeight="1">
      <c r="G188" s="187"/>
    </row>
    <row r="189" ht="14.25" customHeight="1">
      <c r="G189" s="187"/>
    </row>
    <row r="190" ht="14.25" customHeight="1">
      <c r="G190" s="187"/>
    </row>
    <row r="191" ht="14.25" customHeight="1">
      <c r="G191" s="187"/>
    </row>
    <row r="192" ht="14.25" customHeight="1">
      <c r="G192" s="187"/>
    </row>
    <row r="193" ht="14.25" customHeight="1">
      <c r="G193" s="187"/>
    </row>
    <row r="194" ht="14.25" customHeight="1">
      <c r="G194" s="187"/>
    </row>
    <row r="195" ht="14.25" customHeight="1">
      <c r="G195" s="187"/>
    </row>
    <row r="196" ht="14.25" customHeight="1">
      <c r="G196" s="187"/>
    </row>
    <row r="197" ht="14.25" customHeight="1">
      <c r="G197" s="187"/>
    </row>
    <row r="198" ht="14.25" customHeight="1">
      <c r="G198" s="187"/>
    </row>
    <row r="199" ht="14.25" customHeight="1">
      <c r="G199" s="187"/>
    </row>
    <row r="200" ht="14.25" customHeight="1">
      <c r="G200" s="187"/>
    </row>
    <row r="201" ht="14.25" customHeight="1">
      <c r="G201" s="187"/>
    </row>
    <row r="202" ht="14.25" customHeight="1">
      <c r="G202" s="187"/>
    </row>
    <row r="203" ht="14.25" customHeight="1">
      <c r="G203" s="187"/>
    </row>
    <row r="204" ht="14.25" customHeight="1">
      <c r="G204" s="187"/>
    </row>
    <row r="205" ht="14.25" customHeight="1">
      <c r="G205" s="187"/>
    </row>
    <row r="206" ht="14.25" customHeight="1">
      <c r="G206" s="187"/>
    </row>
    <row r="207" ht="14.25" customHeight="1">
      <c r="G207" s="187"/>
    </row>
    <row r="208" ht="14.25" customHeight="1">
      <c r="G208" s="187"/>
    </row>
    <row r="209" ht="14.25" customHeight="1">
      <c r="G209" s="187"/>
    </row>
    <row r="210" ht="14.25" customHeight="1">
      <c r="G210" s="187"/>
    </row>
    <row r="211" ht="14.25" customHeight="1">
      <c r="G211" s="187"/>
    </row>
    <row r="212" ht="14.25" customHeight="1">
      <c r="G212" s="187"/>
    </row>
    <row r="213" ht="14.25" customHeight="1">
      <c r="G213" s="187"/>
    </row>
    <row r="214" ht="14.25" customHeight="1">
      <c r="G214" s="187"/>
    </row>
    <row r="215" ht="14.25" customHeight="1">
      <c r="G215" s="187"/>
    </row>
    <row r="216" ht="14.25" customHeight="1">
      <c r="G216" s="187"/>
    </row>
    <row r="217" ht="14.25" customHeight="1">
      <c r="G217" s="187"/>
    </row>
    <row r="218" ht="14.25" customHeight="1">
      <c r="G218" s="187"/>
    </row>
    <row r="219" ht="14.25" customHeight="1">
      <c r="G219" s="187"/>
    </row>
    <row r="220" ht="14.25" customHeight="1">
      <c r="G220" s="187"/>
    </row>
    <row r="221" ht="14.25" customHeight="1">
      <c r="G221" s="187"/>
    </row>
    <row r="222" ht="14.25" customHeight="1">
      <c r="G222" s="187"/>
    </row>
    <row r="223" ht="14.25" customHeight="1">
      <c r="G223" s="187"/>
    </row>
    <row r="224" ht="14.25" customHeight="1">
      <c r="G224" s="187"/>
    </row>
    <row r="225" ht="14.25" customHeight="1">
      <c r="G225" s="187"/>
    </row>
    <row r="226" ht="14.25" customHeight="1">
      <c r="G226" s="187"/>
    </row>
    <row r="227" ht="14.25" customHeight="1">
      <c r="G227" s="187"/>
    </row>
    <row r="228" ht="14.25" customHeight="1">
      <c r="G228" s="187"/>
    </row>
    <row r="229" ht="14.25" customHeight="1">
      <c r="G229" s="187"/>
    </row>
    <row r="230" ht="14.25" customHeight="1">
      <c r="G230" s="187"/>
    </row>
    <row r="231" ht="14.25" customHeight="1">
      <c r="G231" s="187"/>
    </row>
    <row r="232" ht="14.25" customHeight="1">
      <c r="G232" s="187"/>
    </row>
    <row r="233" ht="14.25" customHeight="1">
      <c r="G233" s="187"/>
    </row>
    <row r="234" ht="14.25" customHeight="1">
      <c r="G234" s="187"/>
    </row>
    <row r="235" ht="14.25" customHeight="1">
      <c r="G235" s="187"/>
    </row>
    <row r="236" ht="14.25" customHeight="1">
      <c r="G236" s="187"/>
    </row>
    <row r="237" ht="14.25" customHeight="1">
      <c r="G237" s="187"/>
    </row>
    <row r="238" ht="14.25" customHeight="1">
      <c r="G238" s="187"/>
    </row>
    <row r="239" ht="14.25" customHeight="1">
      <c r="G239" s="187"/>
    </row>
    <row r="240" ht="14.25" customHeight="1">
      <c r="G240" s="187"/>
    </row>
    <row r="241" ht="14.25" customHeight="1">
      <c r="G241" s="187"/>
    </row>
    <row r="242" ht="14.25" customHeight="1">
      <c r="G242" s="187"/>
    </row>
    <row r="243" ht="14.25" customHeight="1">
      <c r="G243" s="187"/>
    </row>
    <row r="244" ht="14.25" customHeight="1">
      <c r="G244" s="187"/>
    </row>
    <row r="245" ht="14.25" customHeight="1">
      <c r="G245" s="187"/>
    </row>
    <row r="246" ht="14.25" customHeight="1">
      <c r="G246" s="187"/>
    </row>
    <row r="247" ht="14.25" customHeight="1">
      <c r="G247" s="187"/>
    </row>
    <row r="248" ht="14.25" customHeight="1">
      <c r="G248" s="187"/>
    </row>
    <row r="249" ht="14.25" customHeight="1">
      <c r="G249" s="187"/>
    </row>
    <row r="250" ht="14.25" customHeight="1">
      <c r="G250" s="187"/>
    </row>
    <row r="251" ht="14.25" customHeight="1">
      <c r="G251" s="187"/>
    </row>
    <row r="252" ht="14.25" customHeight="1">
      <c r="G252" s="187"/>
    </row>
    <row r="253" ht="14.25" customHeight="1">
      <c r="G253" s="187"/>
    </row>
    <row r="254" ht="14.25" customHeight="1">
      <c r="G254" s="187"/>
    </row>
    <row r="255" ht="14.25" customHeight="1">
      <c r="G255" s="187"/>
    </row>
    <row r="256" ht="14.25" customHeight="1">
      <c r="G256" s="187"/>
    </row>
    <row r="257" ht="14.25" customHeight="1">
      <c r="G257" s="187"/>
    </row>
    <row r="258" ht="14.25" customHeight="1">
      <c r="G258" s="187"/>
    </row>
    <row r="259" ht="14.25" customHeight="1">
      <c r="G259" s="187"/>
    </row>
    <row r="260" ht="14.25" customHeight="1">
      <c r="G260" s="187"/>
    </row>
    <row r="261" ht="14.25" customHeight="1">
      <c r="G261" s="187"/>
    </row>
    <row r="262" ht="14.25" customHeight="1">
      <c r="G262" s="187"/>
    </row>
    <row r="263" ht="14.25" customHeight="1">
      <c r="G263" s="187"/>
    </row>
    <row r="264" ht="14.25" customHeight="1">
      <c r="G264" s="187"/>
    </row>
    <row r="265" ht="14.25" customHeight="1">
      <c r="G265" s="187"/>
    </row>
    <row r="266" ht="14.25" customHeight="1">
      <c r="G266" s="187"/>
    </row>
    <row r="267" ht="14.25" customHeight="1">
      <c r="G267" s="187"/>
    </row>
    <row r="268" ht="14.25" customHeight="1">
      <c r="G268" s="187"/>
    </row>
    <row r="269" ht="14.25" customHeight="1">
      <c r="G269" s="187"/>
    </row>
    <row r="270" ht="14.25" customHeight="1">
      <c r="G270" s="187"/>
    </row>
    <row r="271" ht="14.25" customHeight="1">
      <c r="G271" s="187"/>
    </row>
    <row r="272" ht="14.25" customHeight="1">
      <c r="G272" s="187"/>
    </row>
    <row r="273" ht="14.25" customHeight="1">
      <c r="G273" s="187"/>
    </row>
    <row r="274" ht="14.25" customHeight="1">
      <c r="G274" s="187"/>
    </row>
    <row r="275" ht="14.25" customHeight="1">
      <c r="G275" s="187"/>
    </row>
    <row r="276" ht="14.25" customHeight="1">
      <c r="G276" s="187"/>
    </row>
    <row r="277" ht="14.25" customHeight="1">
      <c r="G277" s="187"/>
    </row>
    <row r="278" ht="14.25" customHeight="1">
      <c r="G278" s="187"/>
    </row>
    <row r="279" ht="14.25" customHeight="1">
      <c r="G279" s="187"/>
    </row>
    <row r="280" ht="14.25" customHeight="1">
      <c r="G280" s="187"/>
    </row>
    <row r="281" ht="14.25" customHeight="1">
      <c r="G281" s="187"/>
    </row>
    <row r="282" ht="14.25" customHeight="1">
      <c r="G282" s="187"/>
    </row>
    <row r="283" ht="14.25" customHeight="1">
      <c r="G283" s="187"/>
    </row>
    <row r="284" ht="14.25" customHeight="1">
      <c r="G284" s="187"/>
    </row>
    <row r="285" ht="14.25" customHeight="1">
      <c r="G285" s="187"/>
    </row>
    <row r="286" ht="14.25" customHeight="1">
      <c r="G286" s="187"/>
    </row>
    <row r="287" ht="14.25" customHeight="1">
      <c r="G287" s="187"/>
    </row>
    <row r="288" ht="14.25" customHeight="1">
      <c r="G288" s="187"/>
    </row>
    <row r="289" ht="14.25" customHeight="1">
      <c r="G289" s="187"/>
    </row>
    <row r="290" ht="14.25" customHeight="1">
      <c r="G290" s="187"/>
    </row>
    <row r="291" ht="14.25" customHeight="1">
      <c r="G291" s="187"/>
    </row>
    <row r="292" ht="14.25" customHeight="1">
      <c r="G292" s="187"/>
    </row>
    <row r="293" ht="14.25" customHeight="1">
      <c r="G293" s="187"/>
    </row>
    <row r="294" ht="14.25" customHeight="1">
      <c r="G294" s="187"/>
    </row>
    <row r="295" ht="14.25" customHeight="1">
      <c r="G295" s="187"/>
    </row>
    <row r="296" ht="14.25" customHeight="1">
      <c r="G296" s="187"/>
    </row>
    <row r="297" ht="14.25" customHeight="1">
      <c r="G297" s="187"/>
    </row>
    <row r="298" ht="14.25" customHeight="1">
      <c r="G298" s="187"/>
    </row>
    <row r="299" ht="14.25" customHeight="1">
      <c r="G299" s="187"/>
    </row>
    <row r="300" ht="14.25" customHeight="1">
      <c r="G300" s="187"/>
    </row>
    <row r="301" ht="14.25" customHeight="1">
      <c r="G301" s="187"/>
    </row>
    <row r="302" ht="14.25" customHeight="1">
      <c r="G302" s="187"/>
    </row>
    <row r="303" ht="14.25" customHeight="1">
      <c r="G303" s="187"/>
    </row>
    <row r="304" ht="14.25" customHeight="1">
      <c r="G304" s="187"/>
    </row>
    <row r="305" ht="14.25" customHeight="1">
      <c r="G305" s="187"/>
    </row>
    <row r="306" ht="14.25" customHeight="1">
      <c r="G306" s="187"/>
    </row>
    <row r="307" ht="14.25" customHeight="1">
      <c r="G307" s="187"/>
    </row>
    <row r="308" ht="14.25" customHeight="1">
      <c r="G308" s="187"/>
    </row>
    <row r="309" ht="14.25" customHeight="1">
      <c r="G309" s="187"/>
    </row>
    <row r="310" ht="14.25" customHeight="1">
      <c r="G310" s="187"/>
    </row>
    <row r="311" ht="14.25" customHeight="1">
      <c r="G311" s="187"/>
    </row>
    <row r="312" ht="14.25" customHeight="1">
      <c r="G312" s="187"/>
    </row>
    <row r="313" ht="14.25" customHeight="1">
      <c r="G313" s="187"/>
    </row>
    <row r="314" ht="14.25" customHeight="1">
      <c r="G314" s="187"/>
    </row>
    <row r="315" ht="14.25" customHeight="1">
      <c r="G315" s="187"/>
    </row>
    <row r="316" ht="14.25" customHeight="1">
      <c r="G316" s="187"/>
    </row>
    <row r="317" ht="14.25" customHeight="1">
      <c r="G317" s="187"/>
    </row>
    <row r="318" ht="14.25" customHeight="1">
      <c r="G318" s="187"/>
    </row>
    <row r="319" ht="14.25" customHeight="1">
      <c r="G319" s="187"/>
    </row>
    <row r="320" ht="14.25" customHeight="1">
      <c r="G320" s="187"/>
    </row>
    <row r="321" ht="14.25" customHeight="1">
      <c r="G321" s="187"/>
    </row>
    <row r="322" ht="14.25" customHeight="1">
      <c r="G322" s="187"/>
    </row>
    <row r="323" ht="14.25" customHeight="1">
      <c r="G323" s="187"/>
    </row>
    <row r="324" ht="14.25" customHeight="1">
      <c r="G324" s="187"/>
    </row>
    <row r="325" ht="14.25" customHeight="1">
      <c r="G325" s="187"/>
    </row>
    <row r="326" ht="14.25" customHeight="1">
      <c r="G326" s="187"/>
    </row>
    <row r="327" ht="14.25" customHeight="1">
      <c r="G327" s="187"/>
    </row>
    <row r="328" ht="14.25" customHeight="1">
      <c r="G328" s="187"/>
    </row>
    <row r="329" ht="14.25" customHeight="1">
      <c r="G329" s="187"/>
    </row>
    <row r="330" ht="14.25" customHeight="1">
      <c r="G330" s="187"/>
    </row>
    <row r="331" ht="14.25" customHeight="1">
      <c r="G331" s="187"/>
    </row>
    <row r="332" ht="14.25" customHeight="1">
      <c r="G332" s="187"/>
    </row>
    <row r="333" ht="14.25" customHeight="1">
      <c r="G333" s="187"/>
    </row>
    <row r="334" ht="14.25" customHeight="1">
      <c r="G334" s="187"/>
    </row>
    <row r="335" ht="14.25" customHeight="1">
      <c r="G335" s="187"/>
    </row>
    <row r="336" ht="14.25" customHeight="1">
      <c r="G336" s="187"/>
    </row>
    <row r="337" ht="14.25" customHeight="1">
      <c r="G337" s="187"/>
    </row>
    <row r="338" ht="14.25" customHeight="1">
      <c r="G338" s="187"/>
    </row>
    <row r="339" ht="14.25" customHeight="1">
      <c r="G339" s="187"/>
    </row>
    <row r="340" ht="14.25" customHeight="1">
      <c r="G340" s="187"/>
    </row>
    <row r="341" ht="14.25" customHeight="1">
      <c r="G341" s="187"/>
    </row>
    <row r="342" ht="14.25" customHeight="1">
      <c r="G342" s="187"/>
    </row>
    <row r="343" ht="14.25" customHeight="1">
      <c r="G343" s="187"/>
    </row>
    <row r="344" ht="14.25" customHeight="1">
      <c r="G344" s="187"/>
    </row>
    <row r="345" ht="14.25" customHeight="1">
      <c r="G345" s="187"/>
    </row>
    <row r="346" ht="14.25" customHeight="1">
      <c r="G346" s="187"/>
    </row>
    <row r="347" ht="14.25" customHeight="1">
      <c r="G347" s="187"/>
    </row>
    <row r="348" ht="14.25" customHeight="1">
      <c r="G348" s="187"/>
    </row>
    <row r="349" ht="14.25" customHeight="1">
      <c r="G349" s="187"/>
    </row>
    <row r="350" ht="14.25" customHeight="1">
      <c r="G350" s="187"/>
    </row>
    <row r="351" ht="14.25" customHeight="1">
      <c r="G351" s="187"/>
    </row>
    <row r="352" ht="14.25" customHeight="1">
      <c r="G352" s="187"/>
    </row>
    <row r="353" ht="14.25" customHeight="1">
      <c r="G353" s="187"/>
    </row>
    <row r="354" ht="14.25" customHeight="1">
      <c r="G354" s="187"/>
    </row>
    <row r="355" ht="14.25" customHeight="1">
      <c r="G355" s="187"/>
    </row>
    <row r="356" ht="14.25" customHeight="1">
      <c r="G356" s="187"/>
    </row>
    <row r="357" ht="14.25" customHeight="1">
      <c r="G357" s="187"/>
    </row>
    <row r="358" ht="14.25" customHeight="1">
      <c r="G358" s="187"/>
    </row>
    <row r="359" ht="14.25" customHeight="1">
      <c r="G359" s="187"/>
    </row>
    <row r="360" ht="14.25" customHeight="1">
      <c r="G360" s="187"/>
    </row>
    <row r="361" ht="14.25" customHeight="1">
      <c r="G361" s="187"/>
    </row>
    <row r="362" ht="14.25" customHeight="1">
      <c r="G362" s="187"/>
    </row>
    <row r="363" ht="14.25" customHeight="1">
      <c r="G363" s="187"/>
    </row>
    <row r="364" ht="14.25" customHeight="1">
      <c r="G364" s="187"/>
    </row>
    <row r="365" ht="14.25" customHeight="1">
      <c r="G365" s="187"/>
    </row>
    <row r="366" ht="14.25" customHeight="1">
      <c r="G366" s="187"/>
    </row>
    <row r="367" ht="14.25" customHeight="1">
      <c r="G367" s="187"/>
    </row>
    <row r="368" ht="14.25" customHeight="1">
      <c r="G368" s="187"/>
    </row>
    <row r="369" ht="14.25" customHeight="1">
      <c r="G369" s="187"/>
    </row>
    <row r="370" ht="14.25" customHeight="1">
      <c r="G370" s="187"/>
    </row>
    <row r="371" ht="14.25" customHeight="1">
      <c r="G371" s="187"/>
    </row>
    <row r="372" ht="14.25" customHeight="1">
      <c r="G372" s="187"/>
    </row>
    <row r="373" ht="14.25" customHeight="1">
      <c r="G373" s="187"/>
    </row>
    <row r="374" ht="14.25" customHeight="1">
      <c r="G374" s="187"/>
    </row>
    <row r="375" ht="14.25" customHeight="1">
      <c r="G375" s="187"/>
    </row>
    <row r="376" ht="14.25" customHeight="1">
      <c r="G376" s="187"/>
    </row>
    <row r="377" ht="14.25" customHeight="1">
      <c r="G377" s="187"/>
    </row>
    <row r="378" ht="14.25" customHeight="1">
      <c r="G378" s="187"/>
    </row>
    <row r="379" ht="14.25" customHeight="1">
      <c r="G379" s="187"/>
    </row>
    <row r="380" ht="14.25" customHeight="1">
      <c r="G380" s="187"/>
    </row>
    <row r="381" ht="14.25" customHeight="1">
      <c r="G381" s="187"/>
    </row>
    <row r="382" ht="14.25" customHeight="1">
      <c r="G382" s="187"/>
    </row>
    <row r="383" ht="14.25" customHeight="1">
      <c r="G383" s="187"/>
    </row>
    <row r="384" ht="14.25" customHeight="1">
      <c r="G384" s="187"/>
    </row>
    <row r="385" ht="14.25" customHeight="1">
      <c r="G385" s="187"/>
    </row>
    <row r="386" ht="14.25" customHeight="1">
      <c r="G386" s="187"/>
    </row>
    <row r="387" ht="14.25" customHeight="1">
      <c r="G387" s="187"/>
    </row>
    <row r="388" ht="14.25" customHeight="1">
      <c r="G388" s="187"/>
    </row>
    <row r="389" ht="14.25" customHeight="1">
      <c r="G389" s="187"/>
    </row>
    <row r="390" ht="14.25" customHeight="1">
      <c r="G390" s="187"/>
    </row>
    <row r="391" ht="14.25" customHeight="1">
      <c r="G391" s="187"/>
    </row>
    <row r="392" ht="14.25" customHeight="1">
      <c r="G392" s="187"/>
    </row>
    <row r="393" ht="14.25" customHeight="1">
      <c r="G393" s="187"/>
    </row>
    <row r="394" ht="14.25" customHeight="1">
      <c r="G394" s="187"/>
    </row>
    <row r="395" ht="14.25" customHeight="1">
      <c r="G395" s="187"/>
    </row>
    <row r="396" ht="14.25" customHeight="1">
      <c r="G396" s="187"/>
    </row>
    <row r="397" ht="14.25" customHeight="1">
      <c r="G397" s="187"/>
    </row>
    <row r="398" ht="14.25" customHeight="1">
      <c r="G398" s="187"/>
    </row>
    <row r="399" ht="14.25" customHeight="1">
      <c r="G399" s="187"/>
    </row>
    <row r="400" ht="14.25" customHeight="1">
      <c r="G400" s="187"/>
    </row>
    <row r="401" ht="14.25" customHeight="1">
      <c r="G401" s="187"/>
    </row>
    <row r="402" ht="14.25" customHeight="1">
      <c r="G402" s="187"/>
    </row>
    <row r="403" ht="14.25" customHeight="1">
      <c r="G403" s="187"/>
    </row>
    <row r="404" ht="14.25" customHeight="1">
      <c r="G404" s="187"/>
    </row>
    <row r="405" ht="14.25" customHeight="1">
      <c r="G405" s="187"/>
    </row>
    <row r="406" ht="14.25" customHeight="1">
      <c r="G406" s="187"/>
    </row>
    <row r="407" ht="14.25" customHeight="1">
      <c r="G407" s="187"/>
    </row>
    <row r="408" ht="14.25" customHeight="1">
      <c r="G408" s="187"/>
    </row>
    <row r="409" ht="14.25" customHeight="1">
      <c r="G409" s="187"/>
    </row>
    <row r="410" ht="14.25" customHeight="1">
      <c r="G410" s="187"/>
    </row>
    <row r="411" ht="14.25" customHeight="1">
      <c r="G411" s="187"/>
    </row>
    <row r="412" ht="14.25" customHeight="1">
      <c r="G412" s="187"/>
    </row>
    <row r="413" ht="14.25" customHeight="1">
      <c r="G413" s="187"/>
    </row>
    <row r="414" ht="14.25" customHeight="1">
      <c r="G414" s="187"/>
    </row>
    <row r="415" ht="14.25" customHeight="1">
      <c r="G415" s="187"/>
    </row>
    <row r="416" ht="14.25" customHeight="1">
      <c r="G416" s="187"/>
    </row>
    <row r="417" ht="14.25" customHeight="1">
      <c r="G417" s="187"/>
    </row>
    <row r="418" ht="14.25" customHeight="1">
      <c r="G418" s="187"/>
    </row>
    <row r="419" ht="14.25" customHeight="1">
      <c r="G419" s="187"/>
    </row>
    <row r="420" ht="14.25" customHeight="1">
      <c r="G420" s="187"/>
    </row>
    <row r="421" ht="14.25" customHeight="1">
      <c r="G421" s="187"/>
    </row>
    <row r="422" ht="14.25" customHeight="1">
      <c r="G422" s="187"/>
    </row>
    <row r="423" ht="14.25" customHeight="1">
      <c r="G423" s="187"/>
    </row>
    <row r="424" ht="14.25" customHeight="1">
      <c r="G424" s="187"/>
    </row>
    <row r="425" ht="14.25" customHeight="1">
      <c r="G425" s="187"/>
    </row>
    <row r="426" ht="14.25" customHeight="1">
      <c r="G426" s="187"/>
    </row>
    <row r="427" ht="14.25" customHeight="1">
      <c r="G427" s="187"/>
    </row>
    <row r="428" ht="14.25" customHeight="1">
      <c r="G428" s="187"/>
    </row>
    <row r="429" ht="14.25" customHeight="1">
      <c r="G429" s="187"/>
    </row>
    <row r="430" ht="14.25" customHeight="1">
      <c r="G430" s="187"/>
    </row>
    <row r="431" ht="14.25" customHeight="1">
      <c r="G431" s="187"/>
    </row>
    <row r="432" ht="14.25" customHeight="1">
      <c r="G432" s="187"/>
    </row>
    <row r="433" ht="14.25" customHeight="1">
      <c r="G433" s="187"/>
    </row>
    <row r="434" ht="14.25" customHeight="1">
      <c r="G434" s="187"/>
    </row>
    <row r="435" ht="14.25" customHeight="1">
      <c r="G435" s="187"/>
    </row>
    <row r="436" ht="14.25" customHeight="1">
      <c r="G436" s="187"/>
    </row>
    <row r="437" ht="14.25" customHeight="1">
      <c r="G437" s="187"/>
    </row>
    <row r="438" ht="14.25" customHeight="1">
      <c r="G438" s="187"/>
    </row>
    <row r="439" ht="14.25" customHeight="1">
      <c r="G439" s="187"/>
    </row>
    <row r="440" ht="14.25" customHeight="1">
      <c r="G440" s="187"/>
    </row>
    <row r="441" ht="14.25" customHeight="1">
      <c r="G441" s="187"/>
    </row>
    <row r="442" ht="14.25" customHeight="1">
      <c r="G442" s="187"/>
    </row>
    <row r="443" ht="14.25" customHeight="1">
      <c r="G443" s="187"/>
    </row>
    <row r="444" ht="14.25" customHeight="1">
      <c r="G444" s="187"/>
    </row>
    <row r="445" ht="14.25" customHeight="1">
      <c r="G445" s="187"/>
    </row>
    <row r="446" ht="14.25" customHeight="1">
      <c r="G446" s="187"/>
    </row>
    <row r="447" ht="14.25" customHeight="1">
      <c r="G447" s="187"/>
    </row>
    <row r="448" ht="14.25" customHeight="1">
      <c r="G448" s="187"/>
    </row>
    <row r="449" ht="14.25" customHeight="1">
      <c r="G449" s="187"/>
    </row>
    <row r="450" ht="14.25" customHeight="1">
      <c r="G450" s="187"/>
    </row>
    <row r="451" ht="14.25" customHeight="1">
      <c r="G451" s="187"/>
    </row>
    <row r="452" ht="14.25" customHeight="1">
      <c r="G452" s="187"/>
    </row>
    <row r="453" ht="14.25" customHeight="1">
      <c r="G453" s="187"/>
    </row>
    <row r="454" ht="14.25" customHeight="1">
      <c r="G454" s="187"/>
    </row>
    <row r="455" ht="14.25" customHeight="1">
      <c r="G455" s="187"/>
    </row>
    <row r="456" ht="14.25" customHeight="1">
      <c r="G456" s="187"/>
    </row>
    <row r="457" ht="14.25" customHeight="1">
      <c r="G457" s="187"/>
    </row>
    <row r="458" ht="14.25" customHeight="1">
      <c r="G458" s="187"/>
    </row>
    <row r="459" ht="14.25" customHeight="1">
      <c r="G459" s="187"/>
    </row>
    <row r="460" ht="14.25" customHeight="1">
      <c r="G460" s="187"/>
    </row>
    <row r="461" ht="14.25" customHeight="1">
      <c r="G461" s="187"/>
    </row>
    <row r="462" ht="14.25" customHeight="1">
      <c r="G462" s="187"/>
    </row>
    <row r="463" ht="14.25" customHeight="1">
      <c r="G463" s="187"/>
    </row>
    <row r="464" ht="14.25" customHeight="1">
      <c r="G464" s="187"/>
    </row>
    <row r="465" ht="14.25" customHeight="1">
      <c r="G465" s="187"/>
    </row>
    <row r="466" ht="14.25" customHeight="1">
      <c r="G466" s="187"/>
    </row>
    <row r="467" ht="14.25" customHeight="1">
      <c r="G467" s="187"/>
    </row>
    <row r="468" ht="14.25" customHeight="1">
      <c r="G468" s="187"/>
    </row>
    <row r="469" ht="14.25" customHeight="1">
      <c r="G469" s="187"/>
    </row>
    <row r="470" ht="14.25" customHeight="1">
      <c r="G470" s="187"/>
    </row>
    <row r="471" ht="14.25" customHeight="1">
      <c r="G471" s="187"/>
    </row>
    <row r="472" ht="14.25" customHeight="1">
      <c r="G472" s="187"/>
    </row>
    <row r="473" ht="14.25" customHeight="1">
      <c r="G473" s="187"/>
    </row>
    <row r="474" ht="14.25" customHeight="1">
      <c r="G474" s="187"/>
    </row>
    <row r="475" ht="14.25" customHeight="1">
      <c r="G475" s="187"/>
    </row>
    <row r="476" ht="14.25" customHeight="1">
      <c r="G476" s="187"/>
    </row>
    <row r="477" ht="14.25" customHeight="1">
      <c r="G477" s="187"/>
    </row>
    <row r="478" ht="14.25" customHeight="1">
      <c r="G478" s="187"/>
    </row>
    <row r="479" ht="14.25" customHeight="1">
      <c r="G479" s="187"/>
    </row>
    <row r="480" ht="14.25" customHeight="1">
      <c r="G480" s="187"/>
    </row>
    <row r="481" ht="14.25" customHeight="1">
      <c r="G481" s="187"/>
    </row>
    <row r="482" ht="14.25" customHeight="1">
      <c r="G482" s="187"/>
    </row>
    <row r="483" ht="14.25" customHeight="1">
      <c r="G483" s="187"/>
    </row>
    <row r="484" ht="14.25" customHeight="1">
      <c r="G484" s="187"/>
    </row>
    <row r="485" ht="14.25" customHeight="1">
      <c r="G485" s="187"/>
    </row>
    <row r="486" ht="14.25" customHeight="1">
      <c r="G486" s="187"/>
    </row>
    <row r="487" ht="14.25" customHeight="1">
      <c r="G487" s="187"/>
    </row>
    <row r="488" ht="14.25" customHeight="1">
      <c r="G488" s="187"/>
    </row>
    <row r="489" ht="14.25" customHeight="1">
      <c r="G489" s="187"/>
    </row>
    <row r="490" ht="14.25" customHeight="1">
      <c r="G490" s="187"/>
    </row>
    <row r="491" ht="14.25" customHeight="1">
      <c r="G491" s="187"/>
    </row>
    <row r="492" ht="14.25" customHeight="1">
      <c r="G492" s="187"/>
    </row>
    <row r="493" ht="14.25" customHeight="1">
      <c r="G493" s="187"/>
    </row>
    <row r="494" ht="14.25" customHeight="1">
      <c r="G494" s="187"/>
    </row>
    <row r="495" ht="14.25" customHeight="1">
      <c r="G495" s="187"/>
    </row>
    <row r="496" ht="14.25" customHeight="1">
      <c r="G496" s="187"/>
    </row>
    <row r="497" ht="14.25" customHeight="1">
      <c r="G497" s="187"/>
    </row>
    <row r="498" ht="14.25" customHeight="1">
      <c r="G498" s="187"/>
    </row>
    <row r="499" ht="14.25" customHeight="1">
      <c r="G499" s="187"/>
    </row>
    <row r="500" ht="14.25" customHeight="1">
      <c r="G500" s="187"/>
    </row>
    <row r="501" ht="14.25" customHeight="1">
      <c r="G501" s="187"/>
    </row>
    <row r="502" ht="14.25" customHeight="1">
      <c r="G502" s="187"/>
    </row>
    <row r="503" ht="14.25" customHeight="1">
      <c r="G503" s="187"/>
    </row>
    <row r="504" ht="14.25" customHeight="1">
      <c r="G504" s="187"/>
    </row>
    <row r="505" ht="14.25" customHeight="1">
      <c r="G505" s="187"/>
    </row>
    <row r="506" ht="14.25" customHeight="1">
      <c r="G506" s="187"/>
    </row>
    <row r="507" ht="14.25" customHeight="1">
      <c r="G507" s="187"/>
    </row>
    <row r="508" ht="14.25" customHeight="1">
      <c r="G508" s="187"/>
    </row>
    <row r="509" ht="14.25" customHeight="1">
      <c r="G509" s="187"/>
    </row>
    <row r="510" ht="14.25" customHeight="1">
      <c r="G510" s="187"/>
    </row>
    <row r="511" ht="14.25" customHeight="1">
      <c r="G511" s="187"/>
    </row>
    <row r="512" ht="14.25" customHeight="1">
      <c r="G512" s="187"/>
    </row>
    <row r="513" ht="14.25" customHeight="1">
      <c r="G513" s="187"/>
    </row>
    <row r="514" ht="14.25" customHeight="1">
      <c r="G514" s="187"/>
    </row>
    <row r="515" ht="14.25" customHeight="1">
      <c r="G515" s="187"/>
    </row>
    <row r="516" ht="14.25" customHeight="1">
      <c r="G516" s="187"/>
    </row>
    <row r="517" ht="14.25" customHeight="1">
      <c r="G517" s="187"/>
    </row>
    <row r="518" ht="14.25" customHeight="1">
      <c r="G518" s="187"/>
    </row>
    <row r="519" ht="14.25" customHeight="1">
      <c r="G519" s="187"/>
    </row>
    <row r="520" ht="14.25" customHeight="1">
      <c r="G520" s="187"/>
    </row>
    <row r="521" ht="14.25" customHeight="1">
      <c r="G521" s="187"/>
    </row>
    <row r="522" ht="14.25" customHeight="1">
      <c r="G522" s="187"/>
    </row>
    <row r="523" ht="14.25" customHeight="1">
      <c r="G523" s="187"/>
    </row>
    <row r="524" ht="14.25" customHeight="1">
      <c r="G524" s="187"/>
    </row>
    <row r="525" ht="14.25" customHeight="1">
      <c r="G525" s="187"/>
    </row>
    <row r="526" ht="14.25" customHeight="1">
      <c r="G526" s="187"/>
    </row>
    <row r="527" ht="14.25" customHeight="1">
      <c r="G527" s="187"/>
    </row>
    <row r="528" ht="14.25" customHeight="1">
      <c r="G528" s="187"/>
    </row>
    <row r="529" ht="14.25" customHeight="1">
      <c r="G529" s="187"/>
    </row>
    <row r="530" ht="14.25" customHeight="1">
      <c r="G530" s="187"/>
    </row>
    <row r="531" ht="14.25" customHeight="1">
      <c r="G531" s="187"/>
    </row>
    <row r="532" ht="14.25" customHeight="1">
      <c r="G532" s="187"/>
    </row>
    <row r="533" ht="14.25" customHeight="1">
      <c r="G533" s="187"/>
    </row>
    <row r="534" ht="14.25" customHeight="1">
      <c r="G534" s="187"/>
    </row>
    <row r="535" ht="14.25" customHeight="1">
      <c r="G535" s="187"/>
    </row>
    <row r="536" ht="14.25" customHeight="1">
      <c r="G536" s="187"/>
    </row>
    <row r="537" ht="14.25" customHeight="1">
      <c r="G537" s="187"/>
    </row>
    <row r="538" ht="14.25" customHeight="1">
      <c r="G538" s="187"/>
    </row>
    <row r="539" ht="14.25" customHeight="1">
      <c r="G539" s="187"/>
    </row>
    <row r="540" ht="14.25" customHeight="1">
      <c r="G540" s="187"/>
    </row>
    <row r="541" ht="14.25" customHeight="1">
      <c r="G541" s="187"/>
    </row>
    <row r="542" ht="14.25" customHeight="1">
      <c r="G542" s="187"/>
    </row>
    <row r="543" ht="14.25" customHeight="1">
      <c r="G543" s="187"/>
    </row>
    <row r="544" ht="14.25" customHeight="1">
      <c r="G544" s="187"/>
    </row>
    <row r="545" ht="14.25" customHeight="1">
      <c r="G545" s="187"/>
    </row>
    <row r="546" ht="14.25" customHeight="1">
      <c r="G546" s="187"/>
    </row>
    <row r="547" ht="14.25" customHeight="1">
      <c r="G547" s="187"/>
    </row>
    <row r="548" ht="14.25" customHeight="1">
      <c r="G548" s="187"/>
    </row>
    <row r="549" ht="14.25" customHeight="1">
      <c r="G549" s="187"/>
    </row>
    <row r="550" ht="14.25" customHeight="1">
      <c r="G550" s="187"/>
    </row>
    <row r="551" ht="14.25" customHeight="1">
      <c r="G551" s="187"/>
    </row>
    <row r="552" ht="14.25" customHeight="1">
      <c r="G552" s="187"/>
    </row>
    <row r="553" ht="14.25" customHeight="1">
      <c r="G553" s="187"/>
    </row>
    <row r="554" ht="14.25" customHeight="1">
      <c r="G554" s="187"/>
    </row>
    <row r="555" ht="14.25" customHeight="1">
      <c r="G555" s="187"/>
    </row>
    <row r="556" ht="14.25" customHeight="1">
      <c r="G556" s="187"/>
    </row>
    <row r="557" ht="14.25" customHeight="1">
      <c r="G557" s="187"/>
    </row>
    <row r="558" ht="14.25" customHeight="1">
      <c r="G558" s="187"/>
    </row>
    <row r="559" ht="14.25" customHeight="1">
      <c r="G559" s="187"/>
    </row>
    <row r="560" ht="14.25" customHeight="1">
      <c r="G560" s="187"/>
    </row>
    <row r="561" ht="14.25" customHeight="1">
      <c r="G561" s="187"/>
    </row>
    <row r="562" ht="14.25" customHeight="1">
      <c r="G562" s="187"/>
    </row>
    <row r="563" ht="14.25" customHeight="1">
      <c r="G563" s="187"/>
    </row>
    <row r="564" ht="14.25" customHeight="1">
      <c r="G564" s="187"/>
    </row>
    <row r="565" ht="14.25" customHeight="1">
      <c r="G565" s="187"/>
    </row>
    <row r="566" ht="14.25" customHeight="1">
      <c r="G566" s="187"/>
    </row>
    <row r="567" ht="14.25" customHeight="1">
      <c r="G567" s="187"/>
    </row>
    <row r="568" ht="14.25" customHeight="1">
      <c r="G568" s="187"/>
    </row>
    <row r="569" ht="14.25" customHeight="1">
      <c r="G569" s="187"/>
    </row>
    <row r="570" ht="14.25" customHeight="1">
      <c r="G570" s="187"/>
    </row>
    <row r="571" ht="14.25" customHeight="1">
      <c r="G571" s="187"/>
    </row>
    <row r="572" ht="14.25" customHeight="1">
      <c r="G572" s="187"/>
    </row>
    <row r="573" ht="14.25" customHeight="1">
      <c r="G573" s="187"/>
    </row>
    <row r="574" ht="14.25" customHeight="1">
      <c r="G574" s="187"/>
    </row>
    <row r="575" ht="14.25" customHeight="1">
      <c r="G575" s="187"/>
    </row>
    <row r="576" ht="14.25" customHeight="1">
      <c r="G576" s="187"/>
    </row>
    <row r="577" ht="14.25" customHeight="1">
      <c r="G577" s="187"/>
    </row>
    <row r="578" ht="14.25" customHeight="1">
      <c r="G578" s="187"/>
    </row>
    <row r="579" ht="14.25" customHeight="1">
      <c r="G579" s="187"/>
    </row>
    <row r="580" ht="14.25" customHeight="1">
      <c r="G580" s="187"/>
    </row>
    <row r="581" ht="14.25" customHeight="1">
      <c r="G581" s="187"/>
    </row>
    <row r="582" ht="14.25" customHeight="1">
      <c r="G582" s="187"/>
    </row>
    <row r="583" ht="14.25" customHeight="1">
      <c r="G583" s="187"/>
    </row>
    <row r="584" ht="14.25" customHeight="1">
      <c r="G584" s="187"/>
    </row>
    <row r="585" ht="14.25" customHeight="1">
      <c r="G585" s="187"/>
    </row>
    <row r="586" ht="14.25" customHeight="1">
      <c r="G586" s="187"/>
    </row>
    <row r="587" ht="14.25" customHeight="1">
      <c r="G587" s="187"/>
    </row>
    <row r="588" ht="14.25" customHeight="1">
      <c r="G588" s="187"/>
    </row>
    <row r="589" ht="14.25" customHeight="1">
      <c r="G589" s="187"/>
    </row>
    <row r="590" ht="14.25" customHeight="1">
      <c r="G590" s="187"/>
    </row>
    <row r="591" ht="14.25" customHeight="1">
      <c r="G591" s="187"/>
    </row>
    <row r="592" ht="14.25" customHeight="1">
      <c r="G592" s="187"/>
    </row>
    <row r="593" ht="14.25" customHeight="1">
      <c r="G593" s="187"/>
    </row>
    <row r="594" ht="14.25" customHeight="1">
      <c r="G594" s="187"/>
    </row>
    <row r="595" ht="14.25" customHeight="1">
      <c r="G595" s="187"/>
    </row>
    <row r="596" ht="14.25" customHeight="1">
      <c r="G596" s="187"/>
    </row>
    <row r="597" ht="14.25" customHeight="1">
      <c r="G597" s="187"/>
    </row>
    <row r="598" ht="14.25" customHeight="1">
      <c r="G598" s="187"/>
    </row>
    <row r="599" ht="14.25" customHeight="1">
      <c r="G599" s="187"/>
    </row>
    <row r="600" ht="14.25" customHeight="1">
      <c r="G600" s="187"/>
    </row>
    <row r="601" ht="14.25" customHeight="1">
      <c r="G601" s="187"/>
    </row>
    <row r="602" ht="14.25" customHeight="1">
      <c r="G602" s="187"/>
    </row>
    <row r="603" ht="14.25" customHeight="1">
      <c r="G603" s="187"/>
    </row>
    <row r="604" ht="14.25" customHeight="1">
      <c r="G604" s="187"/>
    </row>
    <row r="605" ht="14.25" customHeight="1">
      <c r="G605" s="187"/>
    </row>
    <row r="606" ht="14.25" customHeight="1">
      <c r="G606" s="187"/>
    </row>
    <row r="607" ht="14.25" customHeight="1">
      <c r="G607" s="187"/>
    </row>
    <row r="608" ht="14.25" customHeight="1">
      <c r="G608" s="187"/>
    </row>
    <row r="609" ht="14.25" customHeight="1">
      <c r="G609" s="187"/>
    </row>
    <row r="610" ht="14.25" customHeight="1">
      <c r="G610" s="187"/>
    </row>
    <row r="611" ht="14.25" customHeight="1">
      <c r="G611" s="187"/>
    </row>
    <row r="612" ht="14.25" customHeight="1">
      <c r="G612" s="187"/>
    </row>
    <row r="613" ht="14.25" customHeight="1">
      <c r="G613" s="187"/>
    </row>
    <row r="614" ht="14.25" customHeight="1">
      <c r="G614" s="187"/>
    </row>
    <row r="615" ht="14.25" customHeight="1">
      <c r="G615" s="187"/>
    </row>
    <row r="616" ht="14.25" customHeight="1">
      <c r="G616" s="187"/>
    </row>
    <row r="617" ht="14.25" customHeight="1">
      <c r="G617" s="187"/>
    </row>
    <row r="618" ht="14.25" customHeight="1">
      <c r="G618" s="187"/>
    </row>
    <row r="619" ht="14.25" customHeight="1">
      <c r="G619" s="187"/>
    </row>
    <row r="620" ht="14.25" customHeight="1">
      <c r="G620" s="187"/>
    </row>
    <row r="621" ht="14.25" customHeight="1">
      <c r="G621" s="187"/>
    </row>
    <row r="622" ht="14.25" customHeight="1">
      <c r="G622" s="187"/>
    </row>
    <row r="623" ht="14.25" customHeight="1">
      <c r="G623" s="187"/>
    </row>
    <row r="624" ht="14.25" customHeight="1">
      <c r="G624" s="187"/>
    </row>
    <row r="625" ht="14.25" customHeight="1">
      <c r="G625" s="187"/>
    </row>
    <row r="626" ht="14.25" customHeight="1">
      <c r="G626" s="187"/>
    </row>
    <row r="627" ht="14.25" customHeight="1">
      <c r="G627" s="187"/>
    </row>
    <row r="628" ht="14.25" customHeight="1">
      <c r="G628" s="187"/>
    </row>
    <row r="629" ht="14.25" customHeight="1">
      <c r="G629" s="187"/>
    </row>
    <row r="630" ht="14.25" customHeight="1">
      <c r="G630" s="187"/>
    </row>
    <row r="631" ht="14.25" customHeight="1">
      <c r="G631" s="187"/>
    </row>
    <row r="632" ht="14.25" customHeight="1">
      <c r="G632" s="187"/>
    </row>
    <row r="633" ht="14.25" customHeight="1">
      <c r="G633" s="187"/>
    </row>
    <row r="634" ht="14.25" customHeight="1">
      <c r="G634" s="187"/>
    </row>
    <row r="635" ht="14.25" customHeight="1">
      <c r="G635" s="187"/>
    </row>
    <row r="636" ht="14.25" customHeight="1">
      <c r="G636" s="187"/>
    </row>
    <row r="637" ht="14.25" customHeight="1">
      <c r="G637" s="187"/>
    </row>
    <row r="638" ht="14.25" customHeight="1">
      <c r="G638" s="187"/>
    </row>
    <row r="639" ht="14.25" customHeight="1">
      <c r="G639" s="187"/>
    </row>
    <row r="640" ht="14.25" customHeight="1">
      <c r="G640" s="187"/>
    </row>
    <row r="641" ht="14.25" customHeight="1">
      <c r="G641" s="187"/>
    </row>
    <row r="642" ht="14.25" customHeight="1">
      <c r="G642" s="187"/>
    </row>
    <row r="643" ht="14.25" customHeight="1">
      <c r="G643" s="187"/>
    </row>
    <row r="644" ht="14.25" customHeight="1">
      <c r="G644" s="187"/>
    </row>
    <row r="645" ht="14.25" customHeight="1">
      <c r="G645" s="187"/>
    </row>
    <row r="646" ht="14.25" customHeight="1">
      <c r="G646" s="187"/>
    </row>
    <row r="647" ht="14.25" customHeight="1">
      <c r="G647" s="187"/>
    </row>
    <row r="648" ht="14.25" customHeight="1">
      <c r="G648" s="187"/>
    </row>
    <row r="649" ht="14.25" customHeight="1">
      <c r="G649" s="187"/>
    </row>
    <row r="650" ht="14.25" customHeight="1">
      <c r="G650" s="187"/>
    </row>
    <row r="651" ht="14.25" customHeight="1">
      <c r="G651" s="187"/>
    </row>
    <row r="652" ht="14.25" customHeight="1">
      <c r="G652" s="187"/>
    </row>
    <row r="653" ht="14.25" customHeight="1">
      <c r="G653" s="187"/>
    </row>
    <row r="654" ht="14.25" customHeight="1">
      <c r="G654" s="187"/>
    </row>
    <row r="655" ht="14.25" customHeight="1">
      <c r="G655" s="187"/>
    </row>
    <row r="656" ht="14.25" customHeight="1">
      <c r="G656" s="187"/>
    </row>
    <row r="657" ht="14.25" customHeight="1">
      <c r="G657" s="187"/>
    </row>
    <row r="658" ht="14.25" customHeight="1">
      <c r="G658" s="187"/>
    </row>
    <row r="659" ht="14.25" customHeight="1">
      <c r="G659" s="187"/>
    </row>
    <row r="660" ht="14.25" customHeight="1">
      <c r="G660" s="187"/>
    </row>
    <row r="661" ht="14.25" customHeight="1">
      <c r="G661" s="187"/>
    </row>
    <row r="662" ht="14.25" customHeight="1">
      <c r="G662" s="187"/>
    </row>
    <row r="663" ht="14.25" customHeight="1">
      <c r="G663" s="187"/>
    </row>
    <row r="664" ht="14.25" customHeight="1">
      <c r="G664" s="187"/>
    </row>
    <row r="665" ht="14.25" customHeight="1">
      <c r="G665" s="187"/>
    </row>
    <row r="666" ht="14.25" customHeight="1">
      <c r="G666" s="187"/>
    </row>
    <row r="667" ht="14.25" customHeight="1">
      <c r="G667" s="187"/>
    </row>
    <row r="668" ht="14.25" customHeight="1">
      <c r="G668" s="187"/>
    </row>
    <row r="669" ht="14.25" customHeight="1">
      <c r="G669" s="187"/>
    </row>
    <row r="670" ht="14.25" customHeight="1">
      <c r="G670" s="187"/>
    </row>
    <row r="671" ht="14.25" customHeight="1">
      <c r="G671" s="187"/>
    </row>
    <row r="672" ht="14.25" customHeight="1">
      <c r="G672" s="187"/>
    </row>
    <row r="673" ht="14.25" customHeight="1">
      <c r="G673" s="187"/>
    </row>
    <row r="674" ht="14.25" customHeight="1">
      <c r="G674" s="187"/>
    </row>
    <row r="675" ht="14.25" customHeight="1">
      <c r="G675" s="187"/>
    </row>
    <row r="676" ht="14.25" customHeight="1">
      <c r="G676" s="187"/>
    </row>
    <row r="677" ht="14.25" customHeight="1">
      <c r="G677" s="187"/>
    </row>
    <row r="678" ht="14.25" customHeight="1">
      <c r="G678" s="187"/>
    </row>
    <row r="679" ht="14.25" customHeight="1">
      <c r="G679" s="187"/>
    </row>
    <row r="680" ht="14.25" customHeight="1">
      <c r="G680" s="187"/>
    </row>
    <row r="681" ht="14.25" customHeight="1">
      <c r="G681" s="187"/>
    </row>
    <row r="682" ht="14.25" customHeight="1">
      <c r="G682" s="187"/>
    </row>
    <row r="683" ht="14.25" customHeight="1">
      <c r="G683" s="187"/>
    </row>
    <row r="684" ht="14.25" customHeight="1">
      <c r="G684" s="187"/>
    </row>
    <row r="685" ht="14.25" customHeight="1">
      <c r="G685" s="187"/>
    </row>
    <row r="686" ht="14.25" customHeight="1">
      <c r="G686" s="187"/>
    </row>
    <row r="687" ht="14.25" customHeight="1">
      <c r="G687" s="187"/>
    </row>
    <row r="688" ht="14.25" customHeight="1">
      <c r="G688" s="187"/>
    </row>
    <row r="689" ht="14.25" customHeight="1">
      <c r="G689" s="187"/>
    </row>
    <row r="690" ht="14.25" customHeight="1">
      <c r="G690" s="187"/>
    </row>
    <row r="691" ht="14.25" customHeight="1">
      <c r="G691" s="187"/>
    </row>
    <row r="692" ht="14.25" customHeight="1">
      <c r="G692" s="187"/>
    </row>
    <row r="693" ht="14.25" customHeight="1">
      <c r="G693" s="187"/>
    </row>
    <row r="694" ht="14.25" customHeight="1">
      <c r="G694" s="187"/>
    </row>
    <row r="695" ht="14.25" customHeight="1">
      <c r="G695" s="187"/>
    </row>
    <row r="696" ht="14.25" customHeight="1">
      <c r="G696" s="187"/>
    </row>
    <row r="697" ht="14.25" customHeight="1">
      <c r="G697" s="187"/>
    </row>
    <row r="698" ht="14.25" customHeight="1">
      <c r="G698" s="187"/>
    </row>
    <row r="699" ht="14.25" customHeight="1">
      <c r="G699" s="187"/>
    </row>
    <row r="700" ht="14.25" customHeight="1">
      <c r="G700" s="187"/>
    </row>
    <row r="701" ht="14.25" customHeight="1">
      <c r="G701" s="187"/>
    </row>
    <row r="702" ht="14.25" customHeight="1">
      <c r="G702" s="187"/>
    </row>
    <row r="703" ht="14.25" customHeight="1">
      <c r="G703" s="187"/>
    </row>
    <row r="704" ht="14.25" customHeight="1">
      <c r="G704" s="187"/>
    </row>
    <row r="705" ht="14.25" customHeight="1">
      <c r="G705" s="187"/>
    </row>
    <row r="706" ht="14.25" customHeight="1">
      <c r="G706" s="187"/>
    </row>
    <row r="707" ht="14.25" customHeight="1">
      <c r="G707" s="187"/>
    </row>
    <row r="708" ht="14.25" customHeight="1">
      <c r="G708" s="187"/>
    </row>
    <row r="709" ht="14.25" customHeight="1">
      <c r="G709" s="187"/>
    </row>
    <row r="710" ht="14.25" customHeight="1">
      <c r="G710" s="187"/>
    </row>
    <row r="711" ht="14.25" customHeight="1">
      <c r="G711" s="187"/>
    </row>
    <row r="712" ht="14.25" customHeight="1">
      <c r="G712" s="187"/>
    </row>
    <row r="713" ht="14.25" customHeight="1">
      <c r="G713" s="187"/>
    </row>
    <row r="714" ht="14.25" customHeight="1">
      <c r="G714" s="187"/>
    </row>
    <row r="715" ht="14.25" customHeight="1">
      <c r="G715" s="187"/>
    </row>
    <row r="716" ht="14.25" customHeight="1">
      <c r="G716" s="187"/>
    </row>
    <row r="717" ht="14.25" customHeight="1">
      <c r="G717" s="187"/>
    </row>
    <row r="718" ht="14.25" customHeight="1">
      <c r="G718" s="187"/>
    </row>
    <row r="719" ht="14.25" customHeight="1">
      <c r="G719" s="187"/>
    </row>
    <row r="720" ht="14.25" customHeight="1">
      <c r="G720" s="187"/>
    </row>
    <row r="721" ht="14.25" customHeight="1">
      <c r="G721" s="187"/>
    </row>
    <row r="722" ht="14.25" customHeight="1">
      <c r="G722" s="187"/>
    </row>
    <row r="723" ht="14.25" customHeight="1">
      <c r="G723" s="187"/>
    </row>
    <row r="724" ht="14.25" customHeight="1">
      <c r="G724" s="187"/>
    </row>
    <row r="725" ht="14.25" customHeight="1">
      <c r="G725" s="187"/>
    </row>
    <row r="726" ht="14.25" customHeight="1">
      <c r="G726" s="187"/>
    </row>
    <row r="727" ht="14.25" customHeight="1">
      <c r="G727" s="187"/>
    </row>
    <row r="728" ht="14.25" customHeight="1">
      <c r="G728" s="187"/>
    </row>
    <row r="729" ht="14.25" customHeight="1">
      <c r="G729" s="187"/>
    </row>
    <row r="730" ht="14.25" customHeight="1">
      <c r="G730" s="187"/>
    </row>
    <row r="731" ht="14.25" customHeight="1">
      <c r="G731" s="187"/>
    </row>
    <row r="732" ht="14.25" customHeight="1">
      <c r="G732" s="187"/>
    </row>
    <row r="733" ht="14.25" customHeight="1">
      <c r="G733" s="187"/>
    </row>
    <row r="734" ht="14.25" customHeight="1">
      <c r="G734" s="187"/>
    </row>
    <row r="735" ht="14.25" customHeight="1">
      <c r="G735" s="187"/>
    </row>
    <row r="736" ht="14.25" customHeight="1">
      <c r="G736" s="187"/>
    </row>
    <row r="737" ht="14.25" customHeight="1">
      <c r="G737" s="187"/>
    </row>
    <row r="738" ht="14.25" customHeight="1">
      <c r="G738" s="187"/>
    </row>
    <row r="739" ht="14.25" customHeight="1">
      <c r="G739" s="187"/>
    </row>
    <row r="740" ht="14.25" customHeight="1">
      <c r="G740" s="187"/>
    </row>
    <row r="741" ht="14.25" customHeight="1">
      <c r="G741" s="187"/>
    </row>
    <row r="742" ht="14.25" customHeight="1">
      <c r="G742" s="187"/>
    </row>
    <row r="743" ht="14.25" customHeight="1">
      <c r="G743" s="187"/>
    </row>
    <row r="744" ht="14.25" customHeight="1">
      <c r="G744" s="187"/>
    </row>
    <row r="745" ht="14.25" customHeight="1">
      <c r="G745" s="187"/>
    </row>
    <row r="746" ht="14.25" customHeight="1">
      <c r="G746" s="187"/>
    </row>
    <row r="747" ht="14.25" customHeight="1">
      <c r="G747" s="187"/>
    </row>
    <row r="748" ht="14.25" customHeight="1">
      <c r="G748" s="187"/>
    </row>
    <row r="749" ht="14.25" customHeight="1">
      <c r="G749" s="187"/>
    </row>
    <row r="750" ht="14.25" customHeight="1">
      <c r="G750" s="187"/>
    </row>
    <row r="751" ht="14.25" customHeight="1">
      <c r="G751" s="187"/>
    </row>
    <row r="752" ht="14.25" customHeight="1">
      <c r="G752" s="187"/>
    </row>
    <row r="753" ht="14.25" customHeight="1">
      <c r="G753" s="187"/>
    </row>
    <row r="754" ht="14.25" customHeight="1">
      <c r="G754" s="187"/>
    </row>
    <row r="755" ht="14.25" customHeight="1">
      <c r="G755" s="187"/>
    </row>
    <row r="756" ht="14.25" customHeight="1">
      <c r="G756" s="187"/>
    </row>
    <row r="757" ht="14.25" customHeight="1">
      <c r="G757" s="187"/>
    </row>
    <row r="758" ht="14.25" customHeight="1">
      <c r="G758" s="187"/>
    </row>
    <row r="759" ht="14.25" customHeight="1">
      <c r="G759" s="187"/>
    </row>
    <row r="760" ht="14.25" customHeight="1">
      <c r="G760" s="187"/>
    </row>
    <row r="761" ht="14.25" customHeight="1">
      <c r="G761" s="187"/>
    </row>
    <row r="762" ht="14.25" customHeight="1">
      <c r="G762" s="187"/>
    </row>
    <row r="763" ht="14.25" customHeight="1">
      <c r="G763" s="187"/>
    </row>
    <row r="764" ht="14.25" customHeight="1">
      <c r="G764" s="187"/>
    </row>
    <row r="765" ht="14.25" customHeight="1">
      <c r="G765" s="187"/>
    </row>
    <row r="766" ht="14.25" customHeight="1">
      <c r="G766" s="187"/>
    </row>
    <row r="767" ht="14.25" customHeight="1">
      <c r="G767" s="187"/>
    </row>
    <row r="768" ht="14.25" customHeight="1">
      <c r="G768" s="187"/>
    </row>
    <row r="769" ht="14.25" customHeight="1">
      <c r="G769" s="187"/>
    </row>
    <row r="770" ht="14.25" customHeight="1">
      <c r="G770" s="187"/>
    </row>
    <row r="771" ht="14.25" customHeight="1">
      <c r="G771" s="187"/>
    </row>
    <row r="772" ht="14.25" customHeight="1">
      <c r="G772" s="187"/>
    </row>
    <row r="773" ht="14.25" customHeight="1">
      <c r="G773" s="187"/>
    </row>
    <row r="774" ht="14.25" customHeight="1">
      <c r="G774" s="187"/>
    </row>
    <row r="775" ht="14.25" customHeight="1">
      <c r="G775" s="187"/>
    </row>
    <row r="776" ht="14.25" customHeight="1">
      <c r="G776" s="187"/>
    </row>
    <row r="777" ht="14.25" customHeight="1">
      <c r="G777" s="187"/>
    </row>
    <row r="778" ht="14.25" customHeight="1">
      <c r="G778" s="187"/>
    </row>
    <row r="779" ht="14.25" customHeight="1">
      <c r="G779" s="187"/>
    </row>
    <row r="780" ht="14.25" customHeight="1">
      <c r="G780" s="187"/>
    </row>
    <row r="781" ht="14.25" customHeight="1">
      <c r="G781" s="187"/>
    </row>
    <row r="782" ht="14.25" customHeight="1">
      <c r="G782" s="187"/>
    </row>
    <row r="783" ht="14.25" customHeight="1">
      <c r="G783" s="187"/>
    </row>
    <row r="784" ht="14.25" customHeight="1">
      <c r="G784" s="187"/>
    </row>
    <row r="785" ht="14.25" customHeight="1">
      <c r="G785" s="187"/>
    </row>
    <row r="786" ht="14.25" customHeight="1">
      <c r="G786" s="187"/>
    </row>
    <row r="787" ht="14.25" customHeight="1">
      <c r="G787" s="187"/>
    </row>
    <row r="788" ht="14.25" customHeight="1">
      <c r="G788" s="187"/>
    </row>
    <row r="789" ht="14.25" customHeight="1">
      <c r="G789" s="187"/>
    </row>
    <row r="790" ht="14.25" customHeight="1">
      <c r="G790" s="187"/>
    </row>
    <row r="791" ht="14.25" customHeight="1">
      <c r="G791" s="187"/>
    </row>
    <row r="792" ht="14.25" customHeight="1">
      <c r="G792" s="187"/>
    </row>
    <row r="793" ht="14.25" customHeight="1">
      <c r="G793" s="187"/>
    </row>
    <row r="794" ht="14.25" customHeight="1">
      <c r="G794" s="187"/>
    </row>
    <row r="795" ht="14.25" customHeight="1">
      <c r="G795" s="187"/>
    </row>
    <row r="796" ht="14.25" customHeight="1">
      <c r="G796" s="187"/>
    </row>
    <row r="797" ht="14.25" customHeight="1">
      <c r="G797" s="187"/>
    </row>
    <row r="798" ht="14.25" customHeight="1">
      <c r="G798" s="187"/>
    </row>
    <row r="799" ht="14.25" customHeight="1">
      <c r="G799" s="187"/>
    </row>
    <row r="800" ht="14.25" customHeight="1">
      <c r="G800" s="187"/>
    </row>
    <row r="801" ht="14.25" customHeight="1">
      <c r="G801" s="187"/>
    </row>
    <row r="802" ht="14.25" customHeight="1">
      <c r="G802" s="187"/>
    </row>
    <row r="803" ht="14.25" customHeight="1">
      <c r="G803" s="187"/>
    </row>
    <row r="804" ht="14.25" customHeight="1">
      <c r="G804" s="187"/>
    </row>
    <row r="805" ht="14.25" customHeight="1">
      <c r="G805" s="187"/>
    </row>
    <row r="806" ht="14.25" customHeight="1">
      <c r="G806" s="187"/>
    </row>
    <row r="807" ht="14.25" customHeight="1">
      <c r="G807" s="187"/>
    </row>
    <row r="808" ht="14.25" customHeight="1">
      <c r="G808" s="187"/>
    </row>
    <row r="809" ht="14.25" customHeight="1">
      <c r="G809" s="187"/>
    </row>
    <row r="810" ht="14.25" customHeight="1">
      <c r="G810" s="187"/>
    </row>
    <row r="811" ht="14.25" customHeight="1">
      <c r="G811" s="187"/>
    </row>
    <row r="812" ht="14.25" customHeight="1">
      <c r="G812" s="187"/>
    </row>
    <row r="813" ht="14.25" customHeight="1">
      <c r="G813" s="187"/>
    </row>
    <row r="814" ht="14.25" customHeight="1">
      <c r="G814" s="187"/>
    </row>
    <row r="815" ht="14.25" customHeight="1">
      <c r="G815" s="187"/>
    </row>
    <row r="816" ht="14.25" customHeight="1">
      <c r="G816" s="187"/>
    </row>
    <row r="817" ht="14.25" customHeight="1">
      <c r="G817" s="187"/>
    </row>
    <row r="818" ht="14.25" customHeight="1">
      <c r="G818" s="187"/>
    </row>
    <row r="819" ht="14.25" customHeight="1">
      <c r="G819" s="187"/>
    </row>
    <row r="820" ht="14.25" customHeight="1">
      <c r="G820" s="187"/>
    </row>
    <row r="821" ht="14.25" customHeight="1">
      <c r="G821" s="187"/>
    </row>
    <row r="822" ht="14.25" customHeight="1">
      <c r="G822" s="187"/>
    </row>
    <row r="823" ht="14.25" customHeight="1">
      <c r="G823" s="187"/>
    </row>
    <row r="824" ht="14.25" customHeight="1">
      <c r="G824" s="187"/>
    </row>
    <row r="825" ht="14.25" customHeight="1">
      <c r="G825" s="187"/>
    </row>
    <row r="826" ht="14.25" customHeight="1">
      <c r="G826" s="187"/>
    </row>
    <row r="827" ht="14.25" customHeight="1">
      <c r="G827" s="187"/>
    </row>
    <row r="828" ht="14.25" customHeight="1">
      <c r="G828" s="187"/>
    </row>
    <row r="829" ht="14.25" customHeight="1">
      <c r="G829" s="187"/>
    </row>
    <row r="830" ht="14.25" customHeight="1">
      <c r="G830" s="187"/>
    </row>
    <row r="831" ht="14.25" customHeight="1">
      <c r="G831" s="187"/>
    </row>
    <row r="832" ht="14.25" customHeight="1">
      <c r="G832" s="187"/>
    </row>
    <row r="833" ht="14.25" customHeight="1">
      <c r="G833" s="187"/>
    </row>
    <row r="834" ht="14.25" customHeight="1">
      <c r="G834" s="187"/>
    </row>
    <row r="835" ht="14.25" customHeight="1">
      <c r="G835" s="187"/>
    </row>
    <row r="836" ht="14.25" customHeight="1">
      <c r="G836" s="187"/>
    </row>
    <row r="837" ht="14.25" customHeight="1">
      <c r="G837" s="187"/>
    </row>
    <row r="838" ht="14.25" customHeight="1">
      <c r="G838" s="187"/>
    </row>
    <row r="839" ht="14.25" customHeight="1">
      <c r="G839" s="187"/>
    </row>
    <row r="840" ht="14.25" customHeight="1">
      <c r="G840" s="187"/>
    </row>
    <row r="841" ht="14.25" customHeight="1">
      <c r="G841" s="187"/>
    </row>
    <row r="842" ht="14.25" customHeight="1">
      <c r="G842" s="187"/>
    </row>
    <row r="843" ht="14.25" customHeight="1">
      <c r="G843" s="187"/>
    </row>
    <row r="844" ht="14.25" customHeight="1">
      <c r="G844" s="187"/>
    </row>
    <row r="845" ht="14.25" customHeight="1">
      <c r="G845" s="187"/>
    </row>
    <row r="846" ht="14.25" customHeight="1">
      <c r="G846" s="187"/>
    </row>
    <row r="847" ht="14.25" customHeight="1">
      <c r="G847" s="187"/>
    </row>
    <row r="848" ht="14.25" customHeight="1">
      <c r="G848" s="187"/>
    </row>
    <row r="849" ht="14.25" customHeight="1">
      <c r="G849" s="187"/>
    </row>
    <row r="850" ht="14.25" customHeight="1">
      <c r="G850" s="187"/>
    </row>
    <row r="851" ht="14.25" customHeight="1">
      <c r="G851" s="187"/>
    </row>
    <row r="852" ht="14.25" customHeight="1">
      <c r="G852" s="187"/>
    </row>
    <row r="853" ht="14.25" customHeight="1">
      <c r="G853" s="187"/>
    </row>
    <row r="854" ht="14.25" customHeight="1">
      <c r="G854" s="187"/>
    </row>
    <row r="855" ht="14.25" customHeight="1">
      <c r="G855" s="187"/>
    </row>
    <row r="856" ht="14.25" customHeight="1">
      <c r="G856" s="187"/>
    </row>
    <row r="857" ht="14.25" customHeight="1">
      <c r="G857" s="187"/>
    </row>
    <row r="858" ht="14.25" customHeight="1">
      <c r="G858" s="187"/>
    </row>
    <row r="859" ht="14.25" customHeight="1">
      <c r="G859" s="187"/>
    </row>
    <row r="860" ht="14.25" customHeight="1">
      <c r="G860" s="187"/>
    </row>
    <row r="861" ht="14.25" customHeight="1">
      <c r="G861" s="187"/>
    </row>
    <row r="862" ht="14.25" customHeight="1">
      <c r="G862" s="187"/>
    </row>
    <row r="863" ht="14.25" customHeight="1">
      <c r="G863" s="187"/>
    </row>
    <row r="864" ht="14.25" customHeight="1">
      <c r="G864" s="187"/>
    </row>
    <row r="865" ht="14.25" customHeight="1">
      <c r="G865" s="187"/>
    </row>
    <row r="866" ht="14.25" customHeight="1">
      <c r="G866" s="187"/>
    </row>
    <row r="867" ht="14.25" customHeight="1">
      <c r="G867" s="187"/>
    </row>
    <row r="868" ht="14.25" customHeight="1">
      <c r="G868" s="187"/>
    </row>
    <row r="869" ht="14.25" customHeight="1">
      <c r="G869" s="187"/>
    </row>
    <row r="870" ht="14.25" customHeight="1">
      <c r="G870" s="187"/>
    </row>
    <row r="871" ht="14.25" customHeight="1">
      <c r="G871" s="187"/>
    </row>
    <row r="872" ht="14.25" customHeight="1">
      <c r="G872" s="187"/>
    </row>
    <row r="873" ht="14.25" customHeight="1">
      <c r="G873" s="187"/>
    </row>
    <row r="874" ht="14.25" customHeight="1">
      <c r="G874" s="187"/>
    </row>
    <row r="875" ht="14.25" customHeight="1">
      <c r="G875" s="187"/>
    </row>
    <row r="876" ht="14.25" customHeight="1">
      <c r="G876" s="187"/>
    </row>
    <row r="877" ht="14.25" customHeight="1">
      <c r="G877" s="187"/>
    </row>
    <row r="878" ht="14.25" customHeight="1">
      <c r="G878" s="187"/>
    </row>
    <row r="879" ht="14.25" customHeight="1">
      <c r="G879" s="187"/>
    </row>
    <row r="880" ht="14.25" customHeight="1">
      <c r="G880" s="187"/>
    </row>
    <row r="881" ht="14.25" customHeight="1">
      <c r="G881" s="187"/>
    </row>
    <row r="882" ht="14.25" customHeight="1">
      <c r="G882" s="187"/>
    </row>
    <row r="883" ht="14.25" customHeight="1">
      <c r="G883" s="187"/>
    </row>
    <row r="884" ht="14.25" customHeight="1">
      <c r="G884" s="187"/>
    </row>
    <row r="885" ht="14.25" customHeight="1">
      <c r="G885" s="187"/>
    </row>
    <row r="886" ht="14.25" customHeight="1">
      <c r="G886" s="187"/>
    </row>
    <row r="887" ht="14.25" customHeight="1">
      <c r="G887" s="187"/>
    </row>
    <row r="888" ht="14.25" customHeight="1">
      <c r="G888" s="187"/>
    </row>
    <row r="889" ht="14.25" customHeight="1">
      <c r="G889" s="187"/>
    </row>
    <row r="890" ht="14.25" customHeight="1">
      <c r="G890" s="187"/>
    </row>
    <row r="891" ht="14.25" customHeight="1">
      <c r="G891" s="187"/>
    </row>
    <row r="892" ht="14.25" customHeight="1">
      <c r="G892" s="187"/>
    </row>
    <row r="893" ht="14.25" customHeight="1">
      <c r="G893" s="187"/>
    </row>
    <row r="894" ht="14.25" customHeight="1">
      <c r="G894" s="187"/>
    </row>
    <row r="895" ht="14.25" customHeight="1">
      <c r="G895" s="187"/>
    </row>
    <row r="896" ht="14.25" customHeight="1">
      <c r="G896" s="187"/>
    </row>
    <row r="897" ht="14.25" customHeight="1">
      <c r="G897" s="187"/>
    </row>
    <row r="898" ht="14.25" customHeight="1">
      <c r="G898" s="187"/>
    </row>
    <row r="899" ht="14.25" customHeight="1">
      <c r="G899" s="187"/>
    </row>
    <row r="900" ht="14.25" customHeight="1">
      <c r="G900" s="187"/>
    </row>
    <row r="901" ht="14.25" customHeight="1">
      <c r="G901" s="187"/>
    </row>
    <row r="902" ht="14.25" customHeight="1">
      <c r="G902" s="187"/>
    </row>
    <row r="903" ht="14.25" customHeight="1">
      <c r="G903" s="187"/>
    </row>
    <row r="904" ht="14.25" customHeight="1">
      <c r="G904" s="187"/>
    </row>
    <row r="905" ht="14.25" customHeight="1">
      <c r="G905" s="187"/>
    </row>
    <row r="906" ht="14.25" customHeight="1">
      <c r="G906" s="187"/>
    </row>
    <row r="907" ht="14.25" customHeight="1">
      <c r="G907" s="187"/>
    </row>
    <row r="908" ht="14.25" customHeight="1">
      <c r="G908" s="187"/>
    </row>
    <row r="909" ht="14.25" customHeight="1">
      <c r="G909" s="187"/>
    </row>
    <row r="910" ht="14.25" customHeight="1">
      <c r="G910" s="187"/>
    </row>
    <row r="911" ht="14.25" customHeight="1">
      <c r="G911" s="187"/>
    </row>
    <row r="912" ht="14.25" customHeight="1">
      <c r="G912" s="187"/>
    </row>
    <row r="913" ht="14.25" customHeight="1">
      <c r="G913" s="187"/>
    </row>
    <row r="914" ht="14.25" customHeight="1">
      <c r="G914" s="187"/>
    </row>
    <row r="915" ht="14.25" customHeight="1">
      <c r="G915" s="187"/>
    </row>
    <row r="916" ht="14.25" customHeight="1">
      <c r="G916" s="187"/>
    </row>
    <row r="917" ht="14.25" customHeight="1">
      <c r="G917" s="187"/>
    </row>
    <row r="918" ht="14.25" customHeight="1">
      <c r="G918" s="187"/>
    </row>
    <row r="919" ht="14.25" customHeight="1">
      <c r="G919" s="187"/>
    </row>
    <row r="920" ht="14.25" customHeight="1">
      <c r="G920" s="187"/>
    </row>
    <row r="921" ht="14.25" customHeight="1">
      <c r="G921" s="187"/>
    </row>
    <row r="922" ht="14.25" customHeight="1">
      <c r="G922" s="187"/>
    </row>
    <row r="923" ht="14.25" customHeight="1">
      <c r="G923" s="187"/>
    </row>
    <row r="924" ht="14.25" customHeight="1">
      <c r="G924" s="187"/>
    </row>
    <row r="925" ht="14.25" customHeight="1">
      <c r="G925" s="187"/>
    </row>
    <row r="926" ht="14.25" customHeight="1">
      <c r="G926" s="187"/>
    </row>
    <row r="927" ht="14.25" customHeight="1">
      <c r="G927" s="187"/>
    </row>
    <row r="928" ht="14.25" customHeight="1">
      <c r="G928" s="187"/>
    </row>
    <row r="929" ht="14.25" customHeight="1">
      <c r="G929" s="187"/>
    </row>
    <row r="930" ht="14.25" customHeight="1">
      <c r="G930" s="187"/>
    </row>
    <row r="931" ht="14.25" customHeight="1">
      <c r="G931" s="187"/>
    </row>
    <row r="932" ht="14.25" customHeight="1">
      <c r="G932" s="187"/>
    </row>
    <row r="933" ht="14.25" customHeight="1">
      <c r="G933" s="187"/>
    </row>
    <row r="934" ht="14.25" customHeight="1">
      <c r="G934" s="187"/>
    </row>
    <row r="935" ht="14.25" customHeight="1">
      <c r="G935" s="187"/>
    </row>
    <row r="936" ht="14.25" customHeight="1">
      <c r="G936" s="187"/>
    </row>
    <row r="937" ht="14.25" customHeight="1">
      <c r="G937" s="187"/>
    </row>
    <row r="938" ht="14.25" customHeight="1">
      <c r="G938" s="187"/>
    </row>
    <row r="939" ht="14.25" customHeight="1">
      <c r="G939" s="187"/>
    </row>
    <row r="940" ht="14.25" customHeight="1">
      <c r="G940" s="187"/>
    </row>
    <row r="941" ht="14.25" customHeight="1">
      <c r="G941" s="187"/>
    </row>
    <row r="942" ht="14.25" customHeight="1">
      <c r="G942" s="187"/>
    </row>
    <row r="943" ht="14.25" customHeight="1">
      <c r="G943" s="187"/>
    </row>
    <row r="944" ht="14.25" customHeight="1">
      <c r="G944" s="187"/>
    </row>
    <row r="945" ht="14.25" customHeight="1">
      <c r="G945" s="187"/>
    </row>
    <row r="946" ht="14.25" customHeight="1">
      <c r="G946" s="187"/>
    </row>
    <row r="947" ht="14.25" customHeight="1">
      <c r="G947" s="187"/>
    </row>
    <row r="948" ht="14.25" customHeight="1">
      <c r="G948" s="187"/>
    </row>
    <row r="949" ht="14.25" customHeight="1">
      <c r="G949" s="187"/>
    </row>
    <row r="950" ht="14.25" customHeight="1">
      <c r="G950" s="187"/>
    </row>
    <row r="951" ht="14.25" customHeight="1">
      <c r="G951" s="187"/>
    </row>
    <row r="952" ht="14.25" customHeight="1">
      <c r="G952" s="187"/>
    </row>
    <row r="953" ht="14.25" customHeight="1">
      <c r="G953" s="187"/>
    </row>
    <row r="954" ht="14.25" customHeight="1">
      <c r="G954" s="187"/>
    </row>
    <row r="955" ht="14.25" customHeight="1">
      <c r="G955" s="187"/>
    </row>
    <row r="956" ht="14.25" customHeight="1">
      <c r="G956" s="187"/>
    </row>
    <row r="957" ht="14.25" customHeight="1">
      <c r="G957" s="187"/>
    </row>
    <row r="958" ht="14.25" customHeight="1">
      <c r="G958" s="187"/>
    </row>
    <row r="959" ht="14.25" customHeight="1">
      <c r="G959" s="187"/>
    </row>
    <row r="960" ht="14.25" customHeight="1">
      <c r="G960" s="187"/>
    </row>
    <row r="961" ht="14.25" customHeight="1">
      <c r="G961" s="187"/>
    </row>
    <row r="962" ht="14.25" customHeight="1">
      <c r="G962" s="187"/>
    </row>
    <row r="963" ht="14.25" customHeight="1">
      <c r="G963" s="187"/>
    </row>
    <row r="964" ht="14.25" customHeight="1">
      <c r="G964" s="187"/>
    </row>
    <row r="965" ht="14.25" customHeight="1">
      <c r="G965" s="187"/>
    </row>
    <row r="966" ht="14.25" customHeight="1">
      <c r="G966" s="187"/>
    </row>
    <row r="967" ht="14.25" customHeight="1">
      <c r="G967" s="187"/>
    </row>
    <row r="968" ht="14.25" customHeight="1">
      <c r="G968" s="187"/>
    </row>
    <row r="969" ht="14.25" customHeight="1">
      <c r="G969" s="187"/>
    </row>
    <row r="970" ht="14.25" customHeight="1">
      <c r="G970" s="187"/>
    </row>
    <row r="971" ht="14.25" customHeight="1">
      <c r="G971" s="187"/>
    </row>
    <row r="972" ht="14.25" customHeight="1">
      <c r="G972" s="187"/>
    </row>
    <row r="973" ht="14.25" customHeight="1">
      <c r="G973" s="187"/>
    </row>
    <row r="974" ht="14.25" customHeight="1">
      <c r="G974" s="187"/>
    </row>
    <row r="975" ht="14.25" customHeight="1">
      <c r="G975" s="187"/>
    </row>
    <row r="976" ht="14.25" customHeight="1">
      <c r="G976" s="187"/>
    </row>
    <row r="977" ht="14.25" customHeight="1">
      <c r="G977" s="187"/>
    </row>
    <row r="978" ht="14.25" customHeight="1">
      <c r="G978" s="187"/>
    </row>
    <row r="979" ht="14.25" customHeight="1">
      <c r="G979" s="187"/>
    </row>
    <row r="980" ht="14.25" customHeight="1">
      <c r="G980" s="187"/>
    </row>
    <row r="981" ht="14.25" customHeight="1">
      <c r="G981" s="187"/>
    </row>
    <row r="982" ht="14.25" customHeight="1">
      <c r="G982" s="187"/>
    </row>
    <row r="983" ht="14.25" customHeight="1">
      <c r="G983" s="187"/>
    </row>
    <row r="984" ht="14.25" customHeight="1">
      <c r="G984" s="187"/>
    </row>
    <row r="985" ht="14.25" customHeight="1">
      <c r="G985" s="187"/>
    </row>
    <row r="986" ht="14.25" customHeight="1">
      <c r="G986" s="187"/>
    </row>
    <row r="987" ht="14.25" customHeight="1">
      <c r="G987" s="187"/>
    </row>
    <row r="988" ht="14.25" customHeight="1">
      <c r="G988" s="187"/>
    </row>
    <row r="989" ht="14.25" customHeight="1">
      <c r="G989" s="187"/>
    </row>
    <row r="990" ht="14.25" customHeight="1">
      <c r="G990" s="187"/>
    </row>
    <row r="991" ht="14.25" customHeight="1">
      <c r="G991" s="187"/>
    </row>
    <row r="992" ht="14.25" customHeight="1">
      <c r="G992" s="187"/>
    </row>
    <row r="993" ht="14.25" customHeight="1">
      <c r="G993" s="187"/>
    </row>
    <row r="994" ht="14.25" customHeight="1">
      <c r="G994" s="187"/>
    </row>
    <row r="995" ht="14.25" customHeight="1">
      <c r="G995" s="187"/>
    </row>
    <row r="996" ht="14.25" customHeight="1">
      <c r="G996" s="187"/>
    </row>
    <row r="997" ht="14.25" customHeight="1">
      <c r="G997" s="187"/>
    </row>
    <row r="998" ht="14.25" customHeight="1">
      <c r="G998" s="187"/>
    </row>
    <row r="999" ht="14.25" customHeight="1">
      <c r="G999" s="187"/>
    </row>
    <row r="1000" ht="14.25" customHeight="1">
      <c r="G1000" s="187"/>
    </row>
  </sheetData>
  <mergeCells count="26">
    <mergeCell ref="AL6:AL7"/>
    <mergeCell ref="AM6:AM7"/>
    <mergeCell ref="AN9:AV9"/>
    <mergeCell ref="AN28:AT28"/>
    <mergeCell ref="AN35:AQ35"/>
    <mergeCell ref="A5:D5"/>
    <mergeCell ref="B6:B7"/>
    <mergeCell ref="C6:C7"/>
    <mergeCell ref="D6:D7"/>
    <mergeCell ref="E6:E7"/>
    <mergeCell ref="F6:F7"/>
    <mergeCell ref="G6:G7"/>
    <mergeCell ref="B47:G47"/>
    <mergeCell ref="B48:G48"/>
    <mergeCell ref="A54:G54"/>
    <mergeCell ref="E58:G58"/>
    <mergeCell ref="L58:S58"/>
    <mergeCell ref="E60:G60"/>
    <mergeCell ref="E62:G62"/>
    <mergeCell ref="G24:G26"/>
    <mergeCell ref="G27:G30"/>
    <mergeCell ref="A36:A37"/>
    <mergeCell ref="B36:B37"/>
    <mergeCell ref="C36:C37"/>
    <mergeCell ref="D36:D37"/>
    <mergeCell ref="B46:G46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10.14"/>
    <col customWidth="1" min="4" max="4" width="30.43"/>
    <col customWidth="1" min="5" max="5" width="25.57"/>
    <col customWidth="1" min="6" max="6" width="9.29"/>
    <col customWidth="1" min="7" max="7" width="7.43"/>
    <col customWidth="1" min="8" max="8" width="5.14"/>
    <col customWidth="1" min="9" max="9" width="4.71"/>
    <col customWidth="1" min="10" max="10" width="4.43"/>
    <col customWidth="1" min="11" max="11" width="4.71"/>
    <col customWidth="1" min="12" max="14" width="5.29"/>
    <col customWidth="1" min="15" max="15" width="5.14"/>
    <col customWidth="1" min="16" max="16" width="5.29"/>
    <col customWidth="1" min="17" max="17" width="4.57"/>
    <col customWidth="1" min="18" max="18" width="5.29"/>
    <col customWidth="1" min="19" max="19" width="5.0"/>
    <col customWidth="1" min="20" max="20" width="5.29"/>
    <col customWidth="1" min="21" max="21" width="5.0"/>
    <col customWidth="1" min="22" max="23" width="5.29"/>
    <col customWidth="1" min="24" max="24" width="5.14"/>
    <col customWidth="1" min="25" max="25" width="4.71"/>
    <col customWidth="1" min="26" max="26" width="5.0"/>
    <col customWidth="1" min="27" max="27" width="4.86"/>
    <col customWidth="1" min="28" max="30" width="5.0"/>
    <col customWidth="1" min="31" max="31" width="5.29"/>
    <col customWidth="1" min="32" max="32" width="4.86"/>
    <col customWidth="1" min="33" max="34" width="4.71"/>
    <col customWidth="1" min="35" max="38" width="4.57"/>
    <col customWidth="1" min="39" max="39" width="12.71"/>
    <col customWidth="1" min="40" max="40" width="17.43"/>
    <col customWidth="1" min="41" max="41" width="17.57"/>
    <col customWidth="1" min="42" max="42" width="11.71"/>
    <col customWidth="1" min="43" max="49" width="8.71"/>
  </cols>
  <sheetData>
    <row r="1" ht="14.25" customHeight="1">
      <c r="A1" s="2"/>
      <c r="B1" s="3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 t="s">
        <v>0</v>
      </c>
    </row>
    <row r="2" ht="14.25" customHeight="1">
      <c r="A2" s="2"/>
      <c r="B2" s="3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</v>
      </c>
    </row>
    <row r="3" ht="14.25" customHeight="1">
      <c r="A3" s="2"/>
      <c r="B3" s="3"/>
      <c r="C3" s="2"/>
      <c r="D3" s="2"/>
      <c r="E3" s="2"/>
      <c r="F3" s="2"/>
      <c r="G3" s="4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2</v>
      </c>
    </row>
    <row r="4" ht="14.25" customHeight="1">
      <c r="A4" s="2"/>
      <c r="B4" s="3"/>
      <c r="C4" s="2"/>
      <c r="D4" s="2"/>
      <c r="E4" s="2"/>
      <c r="F4" s="2"/>
      <c r="G4" s="4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7" t="s">
        <v>3</v>
      </c>
    </row>
    <row r="5" ht="14.25" customHeight="1">
      <c r="A5" s="8" t="s">
        <v>4</v>
      </c>
      <c r="B5" s="9"/>
      <c r="C5" s="9"/>
      <c r="D5" s="9"/>
      <c r="E5" s="2"/>
      <c r="F5" s="2"/>
      <c r="G5" s="4"/>
      <c r="H5" s="5"/>
      <c r="I5" s="5"/>
      <c r="J5" s="5"/>
      <c r="K5" s="5"/>
      <c r="L5" s="5"/>
      <c r="M5" s="5"/>
      <c r="N5" s="5"/>
      <c r="O5" s="5"/>
      <c r="P5" s="5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 t="s">
        <v>12</v>
      </c>
      <c r="G6" s="13" t="s">
        <v>13</v>
      </c>
      <c r="H6" s="15">
        <v>1.0</v>
      </c>
      <c r="I6" s="15">
        <f t="shared" ref="I6:AB6" si="1">H6+1</f>
        <v>2</v>
      </c>
      <c r="J6" s="15">
        <f t="shared" si="1"/>
        <v>3</v>
      </c>
      <c r="K6" s="15">
        <f t="shared" si="1"/>
        <v>4</v>
      </c>
      <c r="L6" s="15">
        <f t="shared" si="1"/>
        <v>5</v>
      </c>
      <c r="M6" s="15">
        <f t="shared" si="1"/>
        <v>6</v>
      </c>
      <c r="N6" s="15">
        <f t="shared" si="1"/>
        <v>7</v>
      </c>
      <c r="O6" s="15">
        <f t="shared" si="1"/>
        <v>8</v>
      </c>
      <c r="P6" s="15">
        <f t="shared" si="1"/>
        <v>9</v>
      </c>
      <c r="Q6" s="15">
        <f t="shared" si="1"/>
        <v>10</v>
      </c>
      <c r="R6" s="15">
        <f t="shared" si="1"/>
        <v>11</v>
      </c>
      <c r="S6" s="15">
        <f t="shared" si="1"/>
        <v>12</v>
      </c>
      <c r="T6" s="15">
        <f t="shared" si="1"/>
        <v>13</v>
      </c>
      <c r="U6" s="15">
        <f t="shared" si="1"/>
        <v>14</v>
      </c>
      <c r="V6" s="15">
        <f t="shared" si="1"/>
        <v>15</v>
      </c>
      <c r="W6" s="15">
        <f t="shared" si="1"/>
        <v>16</v>
      </c>
      <c r="X6" s="15">
        <f t="shared" si="1"/>
        <v>17</v>
      </c>
      <c r="Y6" s="15">
        <f t="shared" si="1"/>
        <v>18</v>
      </c>
      <c r="Z6" s="15">
        <f t="shared" si="1"/>
        <v>19</v>
      </c>
      <c r="AA6" s="15">
        <f t="shared" si="1"/>
        <v>20</v>
      </c>
      <c r="AB6" s="15">
        <f t="shared" si="1"/>
        <v>21</v>
      </c>
      <c r="AC6" s="15">
        <v>22.0</v>
      </c>
      <c r="AD6" s="15">
        <v>23.0</v>
      </c>
      <c r="AE6" s="15">
        <v>24.0</v>
      </c>
      <c r="AF6" s="15">
        <v>25.0</v>
      </c>
      <c r="AG6" s="15">
        <v>26.0</v>
      </c>
      <c r="AH6" s="15">
        <v>27.0</v>
      </c>
      <c r="AI6" s="15">
        <v>28.0</v>
      </c>
      <c r="AJ6" s="15">
        <v>29.0</v>
      </c>
      <c r="AK6" s="15">
        <v>30.0</v>
      </c>
      <c r="AL6" s="15">
        <v>31.0</v>
      </c>
      <c r="AM6" s="13" t="s">
        <v>14</v>
      </c>
      <c r="AN6" s="13" t="s">
        <v>15</v>
      </c>
    </row>
    <row r="7" ht="14.25" customHeight="1">
      <c r="A7" s="16"/>
      <c r="B7" s="17"/>
      <c r="C7" s="17"/>
      <c r="D7" s="17"/>
      <c r="E7" s="17"/>
      <c r="F7" s="17"/>
      <c r="G7" s="17"/>
      <c r="H7" s="18" t="s">
        <v>18</v>
      </c>
      <c r="I7" s="18" t="s">
        <v>19</v>
      </c>
      <c r="J7" s="18" t="s">
        <v>20</v>
      </c>
      <c r="K7" s="18" t="s">
        <v>21</v>
      </c>
      <c r="L7" s="18" t="s">
        <v>22</v>
      </c>
      <c r="M7" s="18" t="s">
        <v>16</v>
      </c>
      <c r="N7" s="18" t="s">
        <v>17</v>
      </c>
      <c r="O7" s="18" t="s">
        <v>18</v>
      </c>
      <c r="P7" s="18" t="s">
        <v>19</v>
      </c>
      <c r="Q7" s="18" t="s">
        <v>20</v>
      </c>
      <c r="R7" s="18" t="s">
        <v>21</v>
      </c>
      <c r="S7" s="18" t="s">
        <v>22</v>
      </c>
      <c r="T7" s="18" t="s">
        <v>16</v>
      </c>
      <c r="U7" s="18" t="s">
        <v>17</v>
      </c>
      <c r="V7" s="18" t="s">
        <v>18</v>
      </c>
      <c r="W7" s="18" t="s">
        <v>19</v>
      </c>
      <c r="X7" s="18" t="s">
        <v>20</v>
      </c>
      <c r="Y7" s="18" t="s">
        <v>21</v>
      </c>
      <c r="Z7" s="18" t="s">
        <v>22</v>
      </c>
      <c r="AA7" s="18" t="s">
        <v>16</v>
      </c>
      <c r="AB7" s="18" t="s">
        <v>17</v>
      </c>
      <c r="AC7" s="18" t="s">
        <v>18</v>
      </c>
      <c r="AD7" s="18" t="s">
        <v>19</v>
      </c>
      <c r="AE7" s="18" t="s">
        <v>20</v>
      </c>
      <c r="AF7" s="18" t="s">
        <v>21</v>
      </c>
      <c r="AG7" s="18" t="s">
        <v>22</v>
      </c>
      <c r="AH7" s="18" t="s">
        <v>16</v>
      </c>
      <c r="AI7" s="18" t="s">
        <v>17</v>
      </c>
      <c r="AJ7" s="18" t="s">
        <v>18</v>
      </c>
      <c r="AK7" s="18" t="s">
        <v>19</v>
      </c>
      <c r="AL7" s="18" t="s">
        <v>20</v>
      </c>
      <c r="AM7" s="17"/>
      <c r="AN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2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2"/>
      <c r="AN8" s="23"/>
    </row>
    <row r="9" ht="14.25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7">
        <v>12.0</v>
      </c>
      <c r="G9" s="28" t="s">
        <v>26</v>
      </c>
      <c r="H9" s="30">
        <v>12.0</v>
      </c>
      <c r="I9" s="30">
        <v>12.0</v>
      </c>
      <c r="J9" s="29"/>
      <c r="K9" s="29">
        <v>12.0</v>
      </c>
      <c r="L9" s="29">
        <v>12.0</v>
      </c>
      <c r="M9" s="29">
        <v>12.0</v>
      </c>
      <c r="N9" s="29">
        <v>12.0</v>
      </c>
      <c r="O9" s="30">
        <v>12.0</v>
      </c>
      <c r="P9" s="30">
        <v>12.0</v>
      </c>
      <c r="Q9" s="29"/>
      <c r="R9" s="29">
        <v>12.0</v>
      </c>
      <c r="S9" s="29">
        <v>12.0</v>
      </c>
      <c r="T9" s="29">
        <v>12.0</v>
      </c>
      <c r="U9" s="29">
        <v>12.0</v>
      </c>
      <c r="V9" s="30">
        <v>12.0</v>
      </c>
      <c r="W9" s="30">
        <v>12.0</v>
      </c>
      <c r="X9" s="29"/>
      <c r="Y9" s="29">
        <v>12.0</v>
      </c>
      <c r="Z9" s="29">
        <v>12.0</v>
      </c>
      <c r="AA9" s="29">
        <v>12.0</v>
      </c>
      <c r="AB9" s="29">
        <v>12.0</v>
      </c>
      <c r="AC9" s="30">
        <v>12.0</v>
      </c>
      <c r="AD9" s="30">
        <v>12.0</v>
      </c>
      <c r="AE9" s="29"/>
      <c r="AF9" s="29">
        <v>12.0</v>
      </c>
      <c r="AG9" s="29">
        <v>12.0</v>
      </c>
      <c r="AH9" s="29">
        <v>12.0</v>
      </c>
      <c r="AI9" s="29">
        <v>12.0</v>
      </c>
      <c r="AJ9" s="30">
        <v>12.0</v>
      </c>
      <c r="AK9" s="30">
        <v>12.0</v>
      </c>
      <c r="AL9" s="29"/>
      <c r="AM9" s="31">
        <f t="shared" ref="AM9:AM15" si="2">COUNTA(H9:AL9)</f>
        <v>26</v>
      </c>
      <c r="AN9" s="32">
        <f t="shared" ref="AN9:AN15" si="3">SUM(H9:AK9)</f>
        <v>312</v>
      </c>
      <c r="AO9" s="33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7">
        <v>12.0</v>
      </c>
      <c r="G10" s="28" t="s">
        <v>30</v>
      </c>
      <c r="H10" s="30">
        <v>9.0</v>
      </c>
      <c r="I10" s="30"/>
      <c r="J10" s="29"/>
      <c r="K10" s="29">
        <v>9.0</v>
      </c>
      <c r="L10" s="29">
        <v>9.0</v>
      </c>
      <c r="M10" s="29">
        <v>9.0</v>
      </c>
      <c r="N10" s="29">
        <v>9.0</v>
      </c>
      <c r="O10" s="30">
        <v>9.0</v>
      </c>
      <c r="P10" s="30"/>
      <c r="Q10" s="29"/>
      <c r="R10" s="29">
        <v>9.0</v>
      </c>
      <c r="S10" s="29">
        <v>9.0</v>
      </c>
      <c r="T10" s="29">
        <v>9.0</v>
      </c>
      <c r="U10" s="29">
        <v>9.0</v>
      </c>
      <c r="V10" s="30">
        <v>9.0</v>
      </c>
      <c r="W10" s="30"/>
      <c r="X10" s="29"/>
      <c r="Y10" s="29">
        <v>9.0</v>
      </c>
      <c r="Z10" s="29">
        <v>9.0</v>
      </c>
      <c r="AA10" s="29">
        <v>9.0</v>
      </c>
      <c r="AB10" s="29">
        <v>9.0</v>
      </c>
      <c r="AC10" s="30">
        <v>9.0</v>
      </c>
      <c r="AD10" s="30"/>
      <c r="AE10" s="29"/>
      <c r="AF10" s="29">
        <v>9.0</v>
      </c>
      <c r="AG10" s="29">
        <v>9.0</v>
      </c>
      <c r="AH10" s="29">
        <v>9.0</v>
      </c>
      <c r="AI10" s="29">
        <v>9.0</v>
      </c>
      <c r="AJ10" s="30">
        <v>9.0</v>
      </c>
      <c r="AK10" s="30"/>
      <c r="AL10" s="29"/>
      <c r="AM10" s="31">
        <f t="shared" si="2"/>
        <v>21</v>
      </c>
      <c r="AN10" s="32">
        <f t="shared" si="3"/>
        <v>189</v>
      </c>
    </row>
    <row r="11" ht="14.25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6">
        <v>9.0</v>
      </c>
      <c r="G11" s="28" t="s">
        <v>30</v>
      </c>
      <c r="H11" s="30">
        <v>9.0</v>
      </c>
      <c r="I11" s="30"/>
      <c r="J11" s="29"/>
      <c r="K11" s="29">
        <v>9.0</v>
      </c>
      <c r="L11" s="29">
        <v>9.0</v>
      </c>
      <c r="M11" s="29">
        <v>9.0</v>
      </c>
      <c r="N11" s="29"/>
      <c r="O11" s="30">
        <v>9.0</v>
      </c>
      <c r="P11" s="30"/>
      <c r="Q11" s="29"/>
      <c r="R11" s="29">
        <v>9.0</v>
      </c>
      <c r="S11" s="29">
        <v>9.0</v>
      </c>
      <c r="T11" s="29">
        <v>9.0</v>
      </c>
      <c r="U11" s="29">
        <v>9.0</v>
      </c>
      <c r="V11" s="30">
        <v>9.0</v>
      </c>
      <c r="W11" s="30"/>
      <c r="X11" s="29"/>
      <c r="Y11" s="29">
        <v>9.0</v>
      </c>
      <c r="Z11" s="29">
        <v>9.0</v>
      </c>
      <c r="AA11" s="29">
        <v>9.0</v>
      </c>
      <c r="AB11" s="29">
        <v>9.0</v>
      </c>
      <c r="AC11" s="30">
        <v>9.0</v>
      </c>
      <c r="AD11" s="30"/>
      <c r="AE11" s="29"/>
      <c r="AF11" s="29">
        <v>9.0</v>
      </c>
      <c r="AG11" s="29">
        <v>9.0</v>
      </c>
      <c r="AH11" s="29">
        <v>9.0</v>
      </c>
      <c r="AI11" s="29">
        <v>9.0</v>
      </c>
      <c r="AJ11" s="30">
        <v>9.0</v>
      </c>
      <c r="AK11" s="30"/>
      <c r="AL11" s="29"/>
      <c r="AM11" s="31">
        <f t="shared" si="2"/>
        <v>20</v>
      </c>
      <c r="AN11" s="32">
        <f t="shared" si="3"/>
        <v>180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7">
        <v>9.0</v>
      </c>
      <c r="G12" s="28" t="s">
        <v>30</v>
      </c>
      <c r="H12" s="30">
        <v>9.0</v>
      </c>
      <c r="I12" s="30"/>
      <c r="J12" s="29"/>
      <c r="K12" s="29">
        <v>9.0</v>
      </c>
      <c r="L12" s="29">
        <v>9.0</v>
      </c>
      <c r="M12" s="29">
        <v>9.0</v>
      </c>
      <c r="N12" s="29"/>
      <c r="O12" s="30">
        <v>9.0</v>
      </c>
      <c r="P12" s="30"/>
      <c r="Q12" s="29"/>
      <c r="R12" s="29">
        <v>9.0</v>
      </c>
      <c r="S12" s="29">
        <v>9.0</v>
      </c>
      <c r="T12" s="29">
        <v>9.0</v>
      </c>
      <c r="U12" s="29">
        <v>9.0</v>
      </c>
      <c r="V12" s="30">
        <v>9.0</v>
      </c>
      <c r="W12" s="30"/>
      <c r="X12" s="29"/>
      <c r="Y12" s="29">
        <v>9.0</v>
      </c>
      <c r="Z12" s="29">
        <v>9.0</v>
      </c>
      <c r="AA12" s="29">
        <v>9.0</v>
      </c>
      <c r="AB12" s="29">
        <v>9.0</v>
      </c>
      <c r="AC12" s="30">
        <v>9.0</v>
      </c>
      <c r="AD12" s="30"/>
      <c r="AE12" s="29"/>
      <c r="AF12" s="29">
        <v>9.0</v>
      </c>
      <c r="AG12" s="29">
        <v>9.0</v>
      </c>
      <c r="AH12" s="29">
        <v>9.0</v>
      </c>
      <c r="AI12" s="29">
        <v>9.0</v>
      </c>
      <c r="AJ12" s="30">
        <v>9.0</v>
      </c>
      <c r="AK12" s="30"/>
      <c r="AL12" s="29"/>
      <c r="AM12" s="31">
        <f t="shared" si="2"/>
        <v>20</v>
      </c>
      <c r="AN12" s="32">
        <f t="shared" si="3"/>
        <v>180</v>
      </c>
    </row>
    <row r="13" ht="14.25" customHeight="1">
      <c r="A13" s="24">
        <v>5.0</v>
      </c>
      <c r="B13" s="35" t="s">
        <v>36</v>
      </c>
      <c r="C13" s="27">
        <v>1.0</v>
      </c>
      <c r="D13" s="36" t="s">
        <v>37</v>
      </c>
      <c r="E13" s="27" t="s">
        <v>33</v>
      </c>
      <c r="F13" s="27">
        <v>9.0</v>
      </c>
      <c r="G13" s="28" t="s">
        <v>30</v>
      </c>
      <c r="H13" s="30">
        <v>9.0</v>
      </c>
      <c r="I13" s="30"/>
      <c r="J13" s="29"/>
      <c r="K13" s="29">
        <v>9.0</v>
      </c>
      <c r="L13" s="29">
        <v>9.0</v>
      </c>
      <c r="M13" s="29">
        <v>9.0</v>
      </c>
      <c r="N13" s="29"/>
      <c r="O13" s="30">
        <v>9.0</v>
      </c>
      <c r="P13" s="30"/>
      <c r="Q13" s="29"/>
      <c r="R13" s="29">
        <v>9.0</v>
      </c>
      <c r="S13" s="29">
        <v>9.0</v>
      </c>
      <c r="T13" s="29">
        <v>9.0</v>
      </c>
      <c r="U13" s="29">
        <v>9.0</v>
      </c>
      <c r="V13" s="30">
        <v>9.0</v>
      </c>
      <c r="W13" s="30"/>
      <c r="X13" s="29"/>
      <c r="Y13" s="29">
        <v>9.0</v>
      </c>
      <c r="Z13" s="29">
        <v>9.0</v>
      </c>
      <c r="AA13" s="29">
        <v>9.0</v>
      </c>
      <c r="AB13" s="29">
        <v>9.0</v>
      </c>
      <c r="AC13" s="30">
        <v>9.0</v>
      </c>
      <c r="AD13" s="30"/>
      <c r="AE13" s="29"/>
      <c r="AF13" s="29">
        <v>9.0</v>
      </c>
      <c r="AG13" s="29">
        <v>9.0</v>
      </c>
      <c r="AH13" s="29">
        <v>9.0</v>
      </c>
      <c r="AI13" s="29">
        <v>9.0</v>
      </c>
      <c r="AJ13" s="30">
        <v>9.0</v>
      </c>
      <c r="AK13" s="30"/>
      <c r="AL13" s="29"/>
      <c r="AM13" s="31">
        <f t="shared" si="2"/>
        <v>20</v>
      </c>
      <c r="AN13" s="32">
        <f t="shared" si="3"/>
        <v>180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42</v>
      </c>
      <c r="E14" s="27" t="s">
        <v>40</v>
      </c>
      <c r="F14" s="27">
        <v>12.0</v>
      </c>
      <c r="G14" s="28" t="s">
        <v>30</v>
      </c>
      <c r="H14" s="30">
        <v>12.0</v>
      </c>
      <c r="I14" s="46">
        <v>12.0</v>
      </c>
      <c r="J14" s="44">
        <v>12.0</v>
      </c>
      <c r="K14" s="29">
        <v>12.0</v>
      </c>
      <c r="L14" s="29"/>
      <c r="M14" s="29">
        <v>12.0</v>
      </c>
      <c r="N14" s="29">
        <v>12.0</v>
      </c>
      <c r="O14" s="30">
        <v>12.0</v>
      </c>
      <c r="P14" s="30">
        <v>12.0</v>
      </c>
      <c r="Q14" s="29">
        <v>12.0</v>
      </c>
      <c r="R14" s="29">
        <v>12.0</v>
      </c>
      <c r="S14" s="29">
        <v>12.0</v>
      </c>
      <c r="T14" s="29"/>
      <c r="U14" s="29">
        <v>12.0</v>
      </c>
      <c r="V14" s="30">
        <v>12.0</v>
      </c>
      <c r="W14" s="30">
        <v>12.0</v>
      </c>
      <c r="X14" s="29"/>
      <c r="Y14" s="29"/>
      <c r="Z14" s="29"/>
      <c r="AA14" s="29"/>
      <c r="AB14" s="29">
        <v>12.0</v>
      </c>
      <c r="AC14" s="30">
        <v>12.0</v>
      </c>
      <c r="AD14" s="30">
        <v>12.0</v>
      </c>
      <c r="AE14" s="29">
        <v>12.0</v>
      </c>
      <c r="AF14" s="29">
        <v>12.0</v>
      </c>
      <c r="AG14" s="29">
        <v>12.0</v>
      </c>
      <c r="AH14" s="29"/>
      <c r="AI14" s="29">
        <v>12.0</v>
      </c>
      <c r="AJ14" s="30">
        <v>12.0</v>
      </c>
      <c r="AK14" s="30">
        <v>12.0</v>
      </c>
      <c r="AL14" s="29">
        <v>12.0</v>
      </c>
      <c r="AM14" s="31">
        <f t="shared" si="2"/>
        <v>24</v>
      </c>
      <c r="AN14" s="32">
        <f t="shared" si="3"/>
        <v>276</v>
      </c>
    </row>
    <row r="15" ht="14.25" customHeight="1">
      <c r="A15" s="34">
        <v>7.0</v>
      </c>
      <c r="B15" s="25" t="s">
        <v>38</v>
      </c>
      <c r="C15" s="27">
        <v>1.0</v>
      </c>
      <c r="D15" s="37" t="s">
        <v>47</v>
      </c>
      <c r="E15" s="27" t="s">
        <v>40</v>
      </c>
      <c r="F15" s="27">
        <v>12.0</v>
      </c>
      <c r="G15" s="28" t="s">
        <v>30</v>
      </c>
      <c r="H15" s="30"/>
      <c r="I15" s="46"/>
      <c r="J15" s="44"/>
      <c r="K15" s="29"/>
      <c r="L15" s="29"/>
      <c r="M15" s="29"/>
      <c r="N15" s="29"/>
      <c r="O15" s="30"/>
      <c r="P15" s="30"/>
      <c r="Q15" s="29"/>
      <c r="R15" s="29"/>
      <c r="S15" s="29"/>
      <c r="T15" s="29"/>
      <c r="U15" s="29"/>
      <c r="V15" s="30"/>
      <c r="W15" s="30"/>
      <c r="X15" s="29"/>
      <c r="Y15" s="29">
        <v>12.0</v>
      </c>
      <c r="Z15" s="29"/>
      <c r="AA15" s="29"/>
      <c r="AB15" s="29"/>
      <c r="AC15" s="30"/>
      <c r="AD15" s="30"/>
      <c r="AE15" s="29"/>
      <c r="AF15" s="29"/>
      <c r="AG15" s="29"/>
      <c r="AH15" s="29"/>
      <c r="AI15" s="29"/>
      <c r="AJ15" s="30"/>
      <c r="AK15" s="30"/>
      <c r="AL15" s="29"/>
      <c r="AM15" s="31">
        <f t="shared" si="2"/>
        <v>1</v>
      </c>
      <c r="AN15" s="32">
        <f t="shared" si="3"/>
        <v>12</v>
      </c>
    </row>
    <row r="16" ht="14.25" customHeight="1">
      <c r="A16" s="19"/>
      <c r="B16" s="20" t="s">
        <v>41</v>
      </c>
      <c r="C16" s="21"/>
      <c r="D16" s="20" t="s">
        <v>41</v>
      </c>
      <c r="E16" s="21"/>
      <c r="F16" s="38"/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3"/>
      <c r="AN16" s="45"/>
    </row>
    <row r="17" ht="14.25" customHeight="1">
      <c r="A17" s="24">
        <v>8.0</v>
      </c>
      <c r="B17" s="35" t="s">
        <v>53</v>
      </c>
      <c r="C17" s="27">
        <v>1.0</v>
      </c>
      <c r="D17" s="36" t="s">
        <v>54</v>
      </c>
      <c r="E17" s="27" t="s">
        <v>55</v>
      </c>
      <c r="F17" s="27">
        <v>12.0</v>
      </c>
      <c r="G17" s="47" t="s">
        <v>46</v>
      </c>
      <c r="H17" s="30">
        <v>12.0</v>
      </c>
      <c r="I17" s="30">
        <v>12.0</v>
      </c>
      <c r="J17" s="29">
        <v>12.0</v>
      </c>
      <c r="K17" s="29"/>
      <c r="L17" s="48"/>
      <c r="M17" s="48">
        <v>12.0</v>
      </c>
      <c r="N17" s="48">
        <v>12.0</v>
      </c>
      <c r="O17" s="49">
        <v>12.0</v>
      </c>
      <c r="P17" s="49">
        <v>12.0</v>
      </c>
      <c r="Q17" s="48">
        <v>12.0</v>
      </c>
      <c r="R17" s="29">
        <v>12.0</v>
      </c>
      <c r="S17" s="48"/>
      <c r="T17" s="48"/>
      <c r="U17" s="48"/>
      <c r="V17" s="49">
        <v>12.0</v>
      </c>
      <c r="W17" s="49">
        <v>12.0</v>
      </c>
      <c r="X17" s="48">
        <v>12.0</v>
      </c>
      <c r="Y17" s="29">
        <v>6.0</v>
      </c>
      <c r="Z17" s="48">
        <v>12.0</v>
      </c>
      <c r="AA17" s="48"/>
      <c r="AB17" s="48">
        <v>12.0</v>
      </c>
      <c r="AC17" s="49">
        <v>12.0</v>
      </c>
      <c r="AD17" s="49">
        <v>12.0</v>
      </c>
      <c r="AE17" s="48">
        <v>12.0</v>
      </c>
      <c r="AF17" s="29">
        <v>12.0</v>
      </c>
      <c r="AG17" s="48">
        <v>12.0</v>
      </c>
      <c r="AH17" s="48"/>
      <c r="AI17" s="48">
        <v>12.0</v>
      </c>
      <c r="AJ17" s="49">
        <v>12.0</v>
      </c>
      <c r="AK17" s="49">
        <v>12.0</v>
      </c>
      <c r="AL17" s="48"/>
      <c r="AM17" s="31">
        <v>22.5</v>
      </c>
      <c r="AN17" s="51">
        <f t="shared" ref="AN17:AN22" si="4">SUM(H17:AK17)</f>
        <v>270</v>
      </c>
    </row>
    <row r="18" ht="14.25" customHeight="1">
      <c r="A18" s="24">
        <v>9.0</v>
      </c>
      <c r="B18" s="35" t="s">
        <v>49</v>
      </c>
      <c r="C18" s="27">
        <v>1.0</v>
      </c>
      <c r="D18" s="36" t="s">
        <v>60</v>
      </c>
      <c r="E18" s="27" t="s">
        <v>51</v>
      </c>
      <c r="F18" s="27">
        <v>24.0</v>
      </c>
      <c r="G18" s="47" t="s">
        <v>52</v>
      </c>
      <c r="H18" s="30"/>
      <c r="I18" s="30">
        <v>24.0</v>
      </c>
      <c r="J18" s="29"/>
      <c r="K18" s="29">
        <v>24.0</v>
      </c>
      <c r="L18" s="29"/>
      <c r="M18" s="29">
        <v>24.0</v>
      </c>
      <c r="N18" s="29"/>
      <c r="O18" s="30">
        <v>24.0</v>
      </c>
      <c r="P18" s="30"/>
      <c r="Q18" s="29">
        <v>24.0</v>
      </c>
      <c r="R18" s="29"/>
      <c r="S18" s="29">
        <v>24.0</v>
      </c>
      <c r="T18" s="29"/>
      <c r="U18" s="29">
        <v>24.0</v>
      </c>
      <c r="V18" s="30"/>
      <c r="W18" s="30">
        <v>24.0</v>
      </c>
      <c r="X18" s="29"/>
      <c r="Y18" s="29">
        <v>24.0</v>
      </c>
      <c r="Z18" s="29"/>
      <c r="AA18" s="29">
        <v>24.0</v>
      </c>
      <c r="AB18" s="29"/>
      <c r="AC18" s="30">
        <v>24.0</v>
      </c>
      <c r="AD18" s="30"/>
      <c r="AE18" s="29">
        <v>24.0</v>
      </c>
      <c r="AF18" s="29"/>
      <c r="AG18" s="29">
        <v>24.0</v>
      </c>
      <c r="AH18" s="29"/>
      <c r="AI18" s="29">
        <v>24.0</v>
      </c>
      <c r="AJ18" s="30"/>
      <c r="AK18" s="30">
        <v>24.0</v>
      </c>
      <c r="AL18" s="29"/>
      <c r="AM18" s="31">
        <f t="shared" ref="AM18:AM20" si="5">COUNTA(H18:AL18)</f>
        <v>15</v>
      </c>
      <c r="AN18" s="51">
        <f t="shared" si="4"/>
        <v>360</v>
      </c>
    </row>
    <row r="19" ht="14.25" customHeight="1">
      <c r="A19" s="24">
        <v>10.0</v>
      </c>
      <c r="B19" s="35" t="s">
        <v>49</v>
      </c>
      <c r="C19" s="27">
        <v>1.0</v>
      </c>
      <c r="D19" s="36" t="s">
        <v>56</v>
      </c>
      <c r="E19" s="27" t="s">
        <v>51</v>
      </c>
      <c r="F19" s="27">
        <v>24.0</v>
      </c>
      <c r="G19" s="47" t="s">
        <v>52</v>
      </c>
      <c r="H19" s="30">
        <v>24.0</v>
      </c>
      <c r="I19" s="30"/>
      <c r="J19" s="29">
        <v>24.0</v>
      </c>
      <c r="K19" s="29"/>
      <c r="L19" s="29">
        <v>24.0</v>
      </c>
      <c r="M19" s="29"/>
      <c r="N19" s="29">
        <v>24.0</v>
      </c>
      <c r="O19" s="30"/>
      <c r="P19" s="30">
        <v>24.0</v>
      </c>
      <c r="Q19" s="29"/>
      <c r="R19" s="29">
        <v>24.0</v>
      </c>
      <c r="S19" s="29"/>
      <c r="T19" s="29">
        <v>24.0</v>
      </c>
      <c r="U19" s="29"/>
      <c r="V19" s="30">
        <v>24.0</v>
      </c>
      <c r="W19" s="30"/>
      <c r="X19" s="29">
        <v>24.0</v>
      </c>
      <c r="Y19" s="29"/>
      <c r="Z19" s="29">
        <v>24.0</v>
      </c>
      <c r="AA19" s="29"/>
      <c r="AB19" s="29">
        <v>24.0</v>
      </c>
      <c r="AC19" s="30"/>
      <c r="AD19" s="30">
        <v>24.0</v>
      </c>
      <c r="AE19" s="29"/>
      <c r="AF19" s="29">
        <v>24.0</v>
      </c>
      <c r="AG19" s="29"/>
      <c r="AH19" s="29">
        <v>24.0</v>
      </c>
      <c r="AI19" s="29"/>
      <c r="AJ19" s="30">
        <v>24.0</v>
      </c>
      <c r="AK19" s="30"/>
      <c r="AL19" s="29">
        <v>24.0</v>
      </c>
      <c r="AM19" s="31">
        <f t="shared" si="5"/>
        <v>16</v>
      </c>
      <c r="AN19" s="51">
        <f t="shared" si="4"/>
        <v>360</v>
      </c>
    </row>
    <row r="20" ht="14.25" customHeight="1">
      <c r="A20" s="24">
        <v>11.0</v>
      </c>
      <c r="B20" s="35" t="s">
        <v>62</v>
      </c>
      <c r="C20" s="27">
        <v>1.0</v>
      </c>
      <c r="D20" s="67" t="s">
        <v>66</v>
      </c>
      <c r="E20" s="27" t="s">
        <v>64</v>
      </c>
      <c r="F20" s="27">
        <v>12.0</v>
      </c>
      <c r="G20" s="47" t="s">
        <v>65</v>
      </c>
      <c r="H20" s="68">
        <v>12.0</v>
      </c>
      <c r="I20" s="68">
        <v>12.0</v>
      </c>
      <c r="J20" s="68">
        <v>12.0</v>
      </c>
      <c r="K20" s="68">
        <v>12.0</v>
      </c>
      <c r="L20" s="68">
        <v>12.0</v>
      </c>
      <c r="M20" s="68">
        <v>12.0</v>
      </c>
      <c r="N20" s="68">
        <v>12.0</v>
      </c>
      <c r="O20" s="68">
        <v>12.0</v>
      </c>
      <c r="P20" s="70">
        <v>12.0</v>
      </c>
      <c r="Q20" s="70">
        <v>12.0</v>
      </c>
      <c r="R20" s="48"/>
      <c r="S20" s="70">
        <v>12.0</v>
      </c>
      <c r="T20" s="48">
        <v>12.0</v>
      </c>
      <c r="U20" s="48">
        <v>12.0</v>
      </c>
      <c r="V20" s="49">
        <v>12.0</v>
      </c>
      <c r="W20" s="49">
        <v>12.0</v>
      </c>
      <c r="X20" s="48">
        <v>12.0</v>
      </c>
      <c r="Y20" s="69"/>
      <c r="Z20" s="48"/>
      <c r="AA20" s="48"/>
      <c r="AB20" s="48"/>
      <c r="AC20" s="49"/>
      <c r="AD20" s="49"/>
      <c r="AE20" s="48"/>
      <c r="AF20" s="48"/>
      <c r="AG20" s="48"/>
      <c r="AH20" s="48">
        <v>12.0</v>
      </c>
      <c r="AI20" s="48">
        <v>12.0</v>
      </c>
      <c r="AJ20" s="49">
        <v>12.0</v>
      </c>
      <c r="AK20" s="49">
        <v>12.0</v>
      </c>
      <c r="AL20" s="48">
        <v>12.0</v>
      </c>
      <c r="AM20" s="31">
        <f t="shared" si="5"/>
        <v>21</v>
      </c>
      <c r="AN20" s="51">
        <f t="shared" si="4"/>
        <v>240</v>
      </c>
    </row>
    <row r="21" ht="14.25" customHeight="1">
      <c r="A21" s="24">
        <v>12.0</v>
      </c>
      <c r="B21" s="35" t="s">
        <v>67</v>
      </c>
      <c r="C21" s="27">
        <v>1.0</v>
      </c>
      <c r="D21" s="36" t="s">
        <v>68</v>
      </c>
      <c r="E21" s="27" t="s">
        <v>70</v>
      </c>
      <c r="F21" s="27">
        <v>12.0</v>
      </c>
      <c r="G21" s="28" t="s">
        <v>30</v>
      </c>
      <c r="H21" s="30">
        <v>12.0</v>
      </c>
      <c r="I21" s="30">
        <v>12.0</v>
      </c>
      <c r="J21" s="29">
        <v>12.0</v>
      </c>
      <c r="K21" s="29">
        <v>12.0</v>
      </c>
      <c r="L21" s="29"/>
      <c r="M21" s="29">
        <v>6.0</v>
      </c>
      <c r="N21" s="29">
        <v>12.0</v>
      </c>
      <c r="O21" s="30"/>
      <c r="P21" s="30">
        <v>12.0</v>
      </c>
      <c r="Q21" s="29">
        <v>12.0</v>
      </c>
      <c r="R21" s="29"/>
      <c r="S21" s="29">
        <v>12.0</v>
      </c>
      <c r="T21" s="29">
        <v>12.0</v>
      </c>
      <c r="U21" s="29">
        <v>12.0</v>
      </c>
      <c r="V21" s="30">
        <v>12.0</v>
      </c>
      <c r="W21" s="30">
        <v>12.0</v>
      </c>
      <c r="X21" s="29">
        <v>12.0</v>
      </c>
      <c r="Y21" s="29"/>
      <c r="Z21" s="29"/>
      <c r="AA21" s="29">
        <v>12.0</v>
      </c>
      <c r="AB21" s="29">
        <v>12.0</v>
      </c>
      <c r="AC21" s="30">
        <v>12.0</v>
      </c>
      <c r="AD21" s="30">
        <v>12.0</v>
      </c>
      <c r="AE21" s="29">
        <v>12.0</v>
      </c>
      <c r="AF21" s="29"/>
      <c r="AG21" s="29">
        <v>12.0</v>
      </c>
      <c r="AH21" s="29">
        <v>12.0</v>
      </c>
      <c r="AI21" s="29"/>
      <c r="AJ21" s="30">
        <v>12.0</v>
      </c>
      <c r="AK21" s="30"/>
      <c r="AL21" s="29">
        <v>12.0</v>
      </c>
      <c r="AM21" s="31">
        <v>22.5</v>
      </c>
      <c r="AN21" s="51">
        <f t="shared" si="4"/>
        <v>258</v>
      </c>
    </row>
    <row r="22" ht="14.25" customHeight="1">
      <c r="A22" s="24">
        <v>13.0</v>
      </c>
      <c r="B22" s="35" t="s">
        <v>71</v>
      </c>
      <c r="C22" s="27">
        <v>1.0</v>
      </c>
      <c r="D22" s="36" t="s">
        <v>76</v>
      </c>
      <c r="E22" s="27" t="s">
        <v>73</v>
      </c>
      <c r="F22" s="27">
        <v>12.0</v>
      </c>
      <c r="G22" s="28" t="s">
        <v>26</v>
      </c>
      <c r="H22" s="30">
        <v>12.0</v>
      </c>
      <c r="I22" s="30">
        <v>12.0</v>
      </c>
      <c r="J22" s="29">
        <v>12.0</v>
      </c>
      <c r="K22" s="29">
        <v>12.0</v>
      </c>
      <c r="L22" s="29">
        <v>12.0</v>
      </c>
      <c r="M22" s="29">
        <v>12.0</v>
      </c>
      <c r="N22" s="29"/>
      <c r="O22" s="30">
        <v>12.0</v>
      </c>
      <c r="P22" s="30">
        <v>12.0</v>
      </c>
      <c r="Q22" s="29">
        <v>12.0</v>
      </c>
      <c r="R22" s="29">
        <v>12.0</v>
      </c>
      <c r="S22" s="29">
        <v>12.0</v>
      </c>
      <c r="T22" s="29">
        <v>12.0</v>
      </c>
      <c r="U22" s="29"/>
      <c r="V22" s="30">
        <v>18.0</v>
      </c>
      <c r="W22" s="30">
        <v>12.0</v>
      </c>
      <c r="X22" s="29">
        <v>12.0</v>
      </c>
      <c r="Y22" s="29">
        <v>12.0</v>
      </c>
      <c r="Z22" s="29">
        <v>12.0</v>
      </c>
      <c r="AA22" s="29">
        <v>12.0</v>
      </c>
      <c r="AB22" s="29"/>
      <c r="AC22" s="30">
        <v>18.0</v>
      </c>
      <c r="AD22" s="30">
        <v>12.0</v>
      </c>
      <c r="AE22" s="29">
        <v>12.0</v>
      </c>
      <c r="AF22" s="29">
        <v>12.0</v>
      </c>
      <c r="AG22" s="29">
        <v>12.0</v>
      </c>
      <c r="AH22" s="29">
        <v>12.0</v>
      </c>
      <c r="AI22" s="29"/>
      <c r="AJ22" s="30">
        <v>12.0</v>
      </c>
      <c r="AK22" s="30">
        <v>12.0</v>
      </c>
      <c r="AL22" s="29">
        <v>12.0</v>
      </c>
      <c r="AM22" s="31">
        <v>28.0</v>
      </c>
      <c r="AN22" s="51">
        <f t="shared" si="4"/>
        <v>324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38"/>
      <c r="G23" s="78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3"/>
      <c r="AN23" s="21"/>
    </row>
    <row r="24" ht="14.25" customHeight="1">
      <c r="A24" s="34">
        <v>14.0</v>
      </c>
      <c r="B24" s="35" t="s">
        <v>81</v>
      </c>
      <c r="C24" s="27">
        <v>1.0</v>
      </c>
      <c r="D24" s="37" t="s">
        <v>82</v>
      </c>
      <c r="E24" s="27" t="s">
        <v>83</v>
      </c>
      <c r="F24" s="65">
        <v>24.0</v>
      </c>
      <c r="G24" s="66" t="s">
        <v>85</v>
      </c>
      <c r="H24" s="82">
        <v>24.0</v>
      </c>
      <c r="I24" s="82"/>
      <c r="J24" s="81"/>
      <c r="K24" s="81">
        <v>24.0</v>
      </c>
      <c r="L24" s="81"/>
      <c r="M24" s="81"/>
      <c r="N24" s="81">
        <v>24.0</v>
      </c>
      <c r="O24" s="82"/>
      <c r="P24" s="82">
        <v>24.0</v>
      </c>
      <c r="Q24" s="81"/>
      <c r="R24" s="81"/>
      <c r="S24" s="81"/>
      <c r="T24" s="81">
        <v>24.0</v>
      </c>
      <c r="U24" s="81"/>
      <c r="V24" s="82"/>
      <c r="W24" s="82">
        <v>24.0</v>
      </c>
      <c r="X24" s="81"/>
      <c r="Y24" s="81"/>
      <c r="Z24" s="81">
        <v>24.0</v>
      </c>
      <c r="AA24" s="81"/>
      <c r="AB24" s="81"/>
      <c r="AC24" s="82">
        <v>24.0</v>
      </c>
      <c r="AD24" s="82"/>
      <c r="AE24" s="81">
        <v>24.0</v>
      </c>
      <c r="AF24" s="81"/>
      <c r="AG24" s="81"/>
      <c r="AH24" s="81">
        <v>24.0</v>
      </c>
      <c r="AI24" s="81"/>
      <c r="AJ24" s="82"/>
      <c r="AK24" s="82">
        <v>24.0</v>
      </c>
      <c r="AL24" s="81"/>
      <c r="AM24" s="31">
        <f t="shared" ref="AM24:AM35" si="6">COUNTA(H24:AL24)</f>
        <v>11</v>
      </c>
      <c r="AN24" s="51">
        <f t="shared" ref="AN24:AN43" si="7">SUM(H24:AK24)</f>
        <v>264</v>
      </c>
    </row>
    <row r="25" ht="14.25" customHeight="1">
      <c r="A25" s="34">
        <v>15.0</v>
      </c>
      <c r="B25" s="35" t="s">
        <v>86</v>
      </c>
      <c r="C25" s="27">
        <v>1.0</v>
      </c>
      <c r="D25" s="37" t="s">
        <v>92</v>
      </c>
      <c r="E25" s="27" t="s">
        <v>83</v>
      </c>
      <c r="F25" s="65">
        <v>24.0</v>
      </c>
      <c r="G25" s="88"/>
      <c r="H25" s="82"/>
      <c r="I25" s="82"/>
      <c r="J25" s="81">
        <v>24.0</v>
      </c>
      <c r="K25" s="81"/>
      <c r="L25" s="81"/>
      <c r="M25" s="81">
        <v>24.0</v>
      </c>
      <c r="N25" s="81"/>
      <c r="O25" s="82"/>
      <c r="P25" s="82"/>
      <c r="Q25" s="81">
        <v>24.0</v>
      </c>
      <c r="R25" s="81"/>
      <c r="S25" s="81">
        <v>24.0</v>
      </c>
      <c r="T25" s="81"/>
      <c r="U25" s="81"/>
      <c r="V25" s="82">
        <v>24.0</v>
      </c>
      <c r="W25" s="82"/>
      <c r="X25" s="81"/>
      <c r="Y25" s="81"/>
      <c r="Z25" s="81"/>
      <c r="AA25" s="81"/>
      <c r="AB25" s="81"/>
      <c r="AC25" s="82"/>
      <c r="AD25" s="82"/>
      <c r="AE25" s="81"/>
      <c r="AF25" s="81"/>
      <c r="AG25" s="81"/>
      <c r="AH25" s="81"/>
      <c r="AI25" s="81"/>
      <c r="AJ25" s="82"/>
      <c r="AK25" s="82"/>
      <c r="AL25" s="81"/>
      <c r="AM25" s="31">
        <f t="shared" si="6"/>
        <v>5</v>
      </c>
      <c r="AN25" s="51">
        <f t="shared" si="7"/>
        <v>120</v>
      </c>
      <c r="AO25" s="96">
        <v>0.03</v>
      </c>
      <c r="AP25" s="89"/>
      <c r="AQ25" s="89"/>
      <c r="AR25" s="89"/>
      <c r="AS25" s="89"/>
      <c r="AT25" s="89"/>
      <c r="AU25" s="89"/>
      <c r="AV25" s="89"/>
      <c r="AW25" s="89"/>
    </row>
    <row r="26" ht="14.25" customHeight="1">
      <c r="A26" s="34">
        <v>16.0</v>
      </c>
      <c r="B26" s="35" t="s">
        <v>86</v>
      </c>
      <c r="C26" s="65">
        <v>1.0</v>
      </c>
      <c r="D26" s="90" t="s">
        <v>91</v>
      </c>
      <c r="E26" s="27" t="s">
        <v>83</v>
      </c>
      <c r="F26" s="65">
        <v>24.0</v>
      </c>
      <c r="G26" s="88"/>
      <c r="H26" s="82"/>
      <c r="I26" s="82">
        <v>24.0</v>
      </c>
      <c r="J26" s="81"/>
      <c r="K26" s="91"/>
      <c r="L26" s="81">
        <v>24.0</v>
      </c>
      <c r="M26" s="81"/>
      <c r="N26" s="81"/>
      <c r="O26" s="82">
        <v>24.0</v>
      </c>
      <c r="P26" s="82"/>
      <c r="Q26" s="91"/>
      <c r="R26" s="81">
        <v>24.0</v>
      </c>
      <c r="S26" s="81"/>
      <c r="T26" s="81"/>
      <c r="U26" s="81">
        <v>24.0</v>
      </c>
      <c r="V26" s="82"/>
      <c r="W26" s="82"/>
      <c r="X26" s="81">
        <v>24.0</v>
      </c>
      <c r="Y26" s="81"/>
      <c r="Z26" s="81"/>
      <c r="AA26" s="81">
        <v>24.0</v>
      </c>
      <c r="AB26" s="81"/>
      <c r="AC26" s="82"/>
      <c r="AD26" s="82">
        <v>24.0</v>
      </c>
      <c r="AE26" s="81"/>
      <c r="AF26" s="81">
        <v>24.0</v>
      </c>
      <c r="AG26" s="81"/>
      <c r="AH26" s="81"/>
      <c r="AI26" s="81"/>
      <c r="AJ26" s="82"/>
      <c r="AK26" s="82"/>
      <c r="AL26" s="81">
        <v>24.0</v>
      </c>
      <c r="AM26" s="31">
        <f t="shared" si="6"/>
        <v>10</v>
      </c>
      <c r="AN26" s="51">
        <f t="shared" si="7"/>
        <v>216</v>
      </c>
    </row>
    <row r="27" ht="14.25" customHeight="1">
      <c r="A27" s="34">
        <v>17.0</v>
      </c>
      <c r="B27" s="35" t="s">
        <v>86</v>
      </c>
      <c r="C27" s="65">
        <v>1.0</v>
      </c>
      <c r="D27" s="90" t="s">
        <v>98</v>
      </c>
      <c r="E27" s="27" t="s">
        <v>83</v>
      </c>
      <c r="F27" s="65">
        <v>24.0</v>
      </c>
      <c r="G27" s="88"/>
      <c r="H27" s="82"/>
      <c r="I27" s="82"/>
      <c r="J27" s="81"/>
      <c r="K27" s="91"/>
      <c r="L27" s="81"/>
      <c r="M27" s="81"/>
      <c r="N27" s="81"/>
      <c r="O27" s="82"/>
      <c r="P27" s="82"/>
      <c r="Q27" s="91"/>
      <c r="R27" s="81"/>
      <c r="S27" s="81"/>
      <c r="T27" s="81"/>
      <c r="U27" s="81"/>
      <c r="V27" s="82"/>
      <c r="W27" s="82"/>
      <c r="X27" s="81"/>
      <c r="Y27" s="81"/>
      <c r="Z27" s="81"/>
      <c r="AA27" s="81"/>
      <c r="AB27" s="81"/>
      <c r="AC27" s="82"/>
      <c r="AD27" s="82"/>
      <c r="AE27" s="81"/>
      <c r="AF27" s="91"/>
      <c r="AG27" s="81">
        <v>24.0</v>
      </c>
      <c r="AH27" s="81"/>
      <c r="AI27" s="81"/>
      <c r="AJ27" s="82">
        <v>24.0</v>
      </c>
      <c r="AK27" s="82"/>
      <c r="AL27" s="81"/>
      <c r="AM27" s="31">
        <f t="shared" si="6"/>
        <v>2</v>
      </c>
      <c r="AN27" s="51">
        <f t="shared" si="7"/>
        <v>48</v>
      </c>
      <c r="AO27" s="96">
        <v>0.03</v>
      </c>
    </row>
    <row r="28" ht="14.25" customHeight="1">
      <c r="A28" s="34"/>
      <c r="B28" s="35" t="s">
        <v>101</v>
      </c>
      <c r="C28" s="65">
        <v>1.0</v>
      </c>
      <c r="D28" s="90" t="s">
        <v>103</v>
      </c>
      <c r="E28" s="27" t="s">
        <v>94</v>
      </c>
      <c r="F28" s="65">
        <v>24.0</v>
      </c>
      <c r="G28" s="17"/>
      <c r="H28" s="82"/>
      <c r="I28" s="82"/>
      <c r="J28" s="81"/>
      <c r="K28" s="91"/>
      <c r="L28" s="81"/>
      <c r="M28" s="81"/>
      <c r="N28" s="81"/>
      <c r="O28" s="82"/>
      <c r="P28" s="82"/>
      <c r="Q28" s="91"/>
      <c r="R28" s="81"/>
      <c r="S28" s="81"/>
      <c r="T28" s="81"/>
      <c r="U28" s="81"/>
      <c r="V28" s="82"/>
      <c r="W28" s="82"/>
      <c r="X28" s="81"/>
      <c r="Y28" s="81">
        <v>24.0</v>
      </c>
      <c r="Z28" s="81"/>
      <c r="AA28" s="81"/>
      <c r="AB28" s="81">
        <v>24.0</v>
      </c>
      <c r="AC28" s="82"/>
      <c r="AD28" s="82"/>
      <c r="AE28" s="81"/>
      <c r="AF28" s="91"/>
      <c r="AG28" s="81"/>
      <c r="AH28" s="81"/>
      <c r="AI28" s="81">
        <v>24.0</v>
      </c>
      <c r="AJ28" s="82"/>
      <c r="AK28" s="82"/>
      <c r="AL28" s="81"/>
      <c r="AM28" s="31">
        <f t="shared" si="6"/>
        <v>3</v>
      </c>
      <c r="AN28" s="51">
        <f t="shared" si="7"/>
        <v>72</v>
      </c>
      <c r="AO28" s="96">
        <v>0.03</v>
      </c>
    </row>
    <row r="29" ht="14.25" customHeight="1">
      <c r="A29" s="34">
        <v>18.0</v>
      </c>
      <c r="B29" s="35" t="s">
        <v>95</v>
      </c>
      <c r="C29" s="65">
        <v>1.0</v>
      </c>
      <c r="D29" s="90" t="s">
        <v>106</v>
      </c>
      <c r="E29" s="27" t="s">
        <v>83</v>
      </c>
      <c r="F29" s="97"/>
      <c r="G29" s="66" t="s">
        <v>85</v>
      </c>
      <c r="H29" s="82"/>
      <c r="I29" s="82"/>
      <c r="J29" s="81"/>
      <c r="K29" s="81"/>
      <c r="L29" s="81"/>
      <c r="M29" s="81"/>
      <c r="N29" s="81"/>
      <c r="O29" s="82"/>
      <c r="P29" s="82"/>
      <c r="Q29" s="81">
        <v>24.0</v>
      </c>
      <c r="R29" s="81"/>
      <c r="S29" s="81">
        <v>24.0</v>
      </c>
      <c r="T29" s="81"/>
      <c r="U29" s="81"/>
      <c r="V29" s="82"/>
      <c r="W29" s="82"/>
      <c r="X29" s="81">
        <v>24.0</v>
      </c>
      <c r="Y29" s="81"/>
      <c r="Z29" s="81"/>
      <c r="AA29" s="81"/>
      <c r="AB29" s="81"/>
      <c r="AC29" s="82"/>
      <c r="AD29" s="82"/>
      <c r="AE29" s="81"/>
      <c r="AF29" s="81"/>
      <c r="AG29" s="81">
        <v>24.0</v>
      </c>
      <c r="AH29" s="81"/>
      <c r="AI29" s="81">
        <v>24.0</v>
      </c>
      <c r="AJ29" s="82"/>
      <c r="AK29" s="82"/>
      <c r="AL29" s="81">
        <v>24.0</v>
      </c>
      <c r="AM29" s="31">
        <f t="shared" si="6"/>
        <v>6</v>
      </c>
      <c r="AN29" s="51">
        <f t="shared" si="7"/>
        <v>120</v>
      </c>
    </row>
    <row r="30" ht="14.25" customHeight="1">
      <c r="A30" s="34">
        <v>19.0</v>
      </c>
      <c r="B30" s="35" t="s">
        <v>95</v>
      </c>
      <c r="C30" s="65">
        <v>1.0</v>
      </c>
      <c r="D30" s="90" t="s">
        <v>97</v>
      </c>
      <c r="E30" s="27" t="s">
        <v>83</v>
      </c>
      <c r="F30" s="97"/>
      <c r="G30" s="88"/>
      <c r="H30" s="30">
        <v>17.0</v>
      </c>
      <c r="I30" s="30">
        <v>17.0</v>
      </c>
      <c r="J30" s="29">
        <v>17.0</v>
      </c>
      <c r="K30" s="29"/>
      <c r="L30" s="29"/>
      <c r="M30" s="29">
        <v>24.0</v>
      </c>
      <c r="N30" s="29"/>
      <c r="O30" s="30">
        <v>24.0</v>
      </c>
      <c r="P30" s="30"/>
      <c r="Q30" s="29"/>
      <c r="R30" s="29">
        <v>24.0</v>
      </c>
      <c r="S30" s="114">
        <v>17.0</v>
      </c>
      <c r="T30" s="29"/>
      <c r="U30" s="29">
        <v>24.0</v>
      </c>
      <c r="V30" s="30"/>
      <c r="W30" s="30">
        <v>24.0</v>
      </c>
      <c r="X30" s="29"/>
      <c r="Y30" s="29"/>
      <c r="Z30" s="29">
        <v>24.0</v>
      </c>
      <c r="AA30" s="29"/>
      <c r="AB30" s="29">
        <v>17.0</v>
      </c>
      <c r="AC30" s="30">
        <v>17.0</v>
      </c>
      <c r="AD30" s="30">
        <v>17.0</v>
      </c>
      <c r="AE30" s="29">
        <v>17.0</v>
      </c>
      <c r="AF30" s="29"/>
      <c r="AG30" s="29"/>
      <c r="AH30" s="29">
        <v>24.0</v>
      </c>
      <c r="AI30" s="29"/>
      <c r="AJ30" s="30"/>
      <c r="AK30" s="30">
        <v>24.0</v>
      </c>
      <c r="AL30" s="29"/>
      <c r="AM30" s="31">
        <f t="shared" si="6"/>
        <v>16</v>
      </c>
      <c r="AN30" s="51">
        <f t="shared" si="7"/>
        <v>328</v>
      </c>
      <c r="AO30" s="33"/>
    </row>
    <row r="31" ht="14.25" customHeight="1">
      <c r="A31" s="34">
        <v>20.0</v>
      </c>
      <c r="B31" s="35" t="s">
        <v>95</v>
      </c>
      <c r="C31" s="65">
        <v>1.0</v>
      </c>
      <c r="D31" s="90" t="s">
        <v>114</v>
      </c>
      <c r="E31" s="27" t="s">
        <v>83</v>
      </c>
      <c r="F31" s="97"/>
      <c r="G31" s="88"/>
      <c r="H31" s="30">
        <v>24.0</v>
      </c>
      <c r="I31" s="30"/>
      <c r="J31" s="29">
        <v>24.0</v>
      </c>
      <c r="K31" s="29"/>
      <c r="L31" s="29"/>
      <c r="M31" s="29">
        <v>17.0</v>
      </c>
      <c r="N31" s="29">
        <v>17.0</v>
      </c>
      <c r="O31" s="30"/>
      <c r="P31" s="30">
        <v>17.0</v>
      </c>
      <c r="Q31" s="29">
        <v>17.0</v>
      </c>
      <c r="R31" s="29"/>
      <c r="S31" s="29"/>
      <c r="T31" s="29">
        <v>24.0</v>
      </c>
      <c r="U31" s="29"/>
      <c r="V31" s="30">
        <v>17.0</v>
      </c>
      <c r="W31" s="30">
        <v>17.0</v>
      </c>
      <c r="X31" s="29">
        <v>17.0</v>
      </c>
      <c r="Y31" s="29"/>
      <c r="Z31" s="29"/>
      <c r="AA31" s="29">
        <v>24.0</v>
      </c>
      <c r="AB31" s="29"/>
      <c r="AC31" s="30">
        <v>24.0</v>
      </c>
      <c r="AD31" s="30"/>
      <c r="AE31" s="29"/>
      <c r="AF31" s="29"/>
      <c r="AG31" s="29"/>
      <c r="AH31" s="29"/>
      <c r="AI31" s="29"/>
      <c r="AJ31" s="30"/>
      <c r="AK31" s="30"/>
      <c r="AL31" s="29"/>
      <c r="AM31" s="31">
        <f t="shared" si="6"/>
        <v>12</v>
      </c>
      <c r="AN31" s="51">
        <f t="shared" si="7"/>
        <v>239</v>
      </c>
    </row>
    <row r="32" ht="14.25" customHeight="1">
      <c r="A32" s="34">
        <v>21.0</v>
      </c>
      <c r="B32" s="36" t="s">
        <v>95</v>
      </c>
      <c r="C32" s="65">
        <v>1.0</v>
      </c>
      <c r="D32" s="90" t="s">
        <v>100</v>
      </c>
      <c r="E32" s="27" t="s">
        <v>102</v>
      </c>
      <c r="F32" s="97"/>
      <c r="G32" s="88"/>
      <c r="H32" s="30"/>
      <c r="I32" s="30">
        <v>24.0</v>
      </c>
      <c r="J32" s="29"/>
      <c r="K32" s="29"/>
      <c r="L32" s="29">
        <v>24.0</v>
      </c>
      <c r="M32" s="29"/>
      <c r="N32" s="29">
        <v>24.0</v>
      </c>
      <c r="O32" s="30"/>
      <c r="P32" s="30">
        <v>24.0</v>
      </c>
      <c r="Q32" s="29"/>
      <c r="R32" s="29"/>
      <c r="S32" s="29"/>
      <c r="T32" s="29">
        <v>17.0</v>
      </c>
      <c r="U32" s="29">
        <v>17.0</v>
      </c>
      <c r="V32" s="30">
        <v>24.0</v>
      </c>
      <c r="W32" s="30"/>
      <c r="X32" s="29"/>
      <c r="Y32" s="29">
        <v>24.0</v>
      </c>
      <c r="Z32" s="29"/>
      <c r="AA32" s="29"/>
      <c r="AB32" s="29">
        <v>24.0</v>
      </c>
      <c r="AC32" s="30"/>
      <c r="AD32" s="30">
        <v>24.0</v>
      </c>
      <c r="AE32" s="29"/>
      <c r="AF32" s="29">
        <v>24.0</v>
      </c>
      <c r="AG32" s="29"/>
      <c r="AH32" s="29"/>
      <c r="AI32" s="29"/>
      <c r="AJ32" s="30">
        <v>24.0</v>
      </c>
      <c r="AK32" s="30"/>
      <c r="AL32" s="29"/>
      <c r="AM32" s="31">
        <f t="shared" si="6"/>
        <v>12</v>
      </c>
      <c r="AN32" s="51">
        <f t="shared" si="7"/>
        <v>274</v>
      </c>
      <c r="AO32" s="89"/>
      <c r="AP32" s="89"/>
      <c r="AQ32" s="89"/>
      <c r="AR32" s="89"/>
      <c r="AS32" s="89"/>
      <c r="AT32" s="89"/>
      <c r="AU32" s="89"/>
      <c r="AV32" s="89"/>
      <c r="AW32" s="89"/>
    </row>
    <row r="33" ht="14.25" customHeight="1">
      <c r="A33" s="34">
        <v>22.0</v>
      </c>
      <c r="B33" s="36" t="s">
        <v>121</v>
      </c>
      <c r="C33" s="65">
        <v>1.0</v>
      </c>
      <c r="D33" s="90" t="s">
        <v>122</v>
      </c>
      <c r="E33" s="27" t="s">
        <v>102</v>
      </c>
      <c r="F33" s="97"/>
      <c r="G33" s="95"/>
      <c r="H33" s="30"/>
      <c r="I33" s="30"/>
      <c r="J33" s="29"/>
      <c r="K33" s="29"/>
      <c r="L33" s="29"/>
      <c r="M33" s="29"/>
      <c r="N33" s="29"/>
      <c r="O33" s="30"/>
      <c r="P33" s="30"/>
      <c r="Q33" s="29"/>
      <c r="R33" s="29"/>
      <c r="S33" s="29"/>
      <c r="T33" s="29"/>
      <c r="U33" s="29"/>
      <c r="V33" s="30"/>
      <c r="W33" s="30"/>
      <c r="X33" s="29"/>
      <c r="Y33" s="29"/>
      <c r="Z33" s="29"/>
      <c r="AA33" s="29"/>
      <c r="AB33" s="29"/>
      <c r="AC33" s="30">
        <v>17.0</v>
      </c>
      <c r="AD33" s="30">
        <v>17.0</v>
      </c>
      <c r="AE33" s="29">
        <v>17.0</v>
      </c>
      <c r="AF33" s="29">
        <v>17.0</v>
      </c>
      <c r="AG33" s="29">
        <v>17.0</v>
      </c>
      <c r="AH33" s="29">
        <v>17.0</v>
      </c>
      <c r="AI33" s="29"/>
      <c r="AJ33" s="30">
        <v>17.0</v>
      </c>
      <c r="AK33" s="30">
        <v>17.0</v>
      </c>
      <c r="AL33" s="29">
        <v>17.0</v>
      </c>
      <c r="AM33" s="31">
        <f t="shared" si="6"/>
        <v>9</v>
      </c>
      <c r="AN33" s="51">
        <f t="shared" si="7"/>
        <v>136</v>
      </c>
      <c r="AO33" s="89"/>
      <c r="AP33" s="89"/>
      <c r="AQ33" s="89"/>
      <c r="AR33" s="89"/>
      <c r="AS33" s="89"/>
      <c r="AT33" s="89"/>
      <c r="AU33" s="89"/>
      <c r="AV33" s="89"/>
      <c r="AW33" s="89"/>
    </row>
    <row r="34" ht="14.25" customHeight="1">
      <c r="A34" s="34">
        <v>23.0</v>
      </c>
      <c r="B34" s="64" t="s">
        <v>104</v>
      </c>
      <c r="C34" s="101">
        <v>1.0</v>
      </c>
      <c r="D34" s="102" t="s">
        <v>63</v>
      </c>
      <c r="E34" s="101" t="s">
        <v>105</v>
      </c>
      <c r="F34" s="97"/>
      <c r="G34" s="103">
        <v>0.4</v>
      </c>
      <c r="H34" s="105">
        <v>17.0</v>
      </c>
      <c r="I34" s="105">
        <v>17.0</v>
      </c>
      <c r="J34" s="104"/>
      <c r="K34" s="104"/>
      <c r="L34" s="104">
        <v>17.0</v>
      </c>
      <c r="M34" s="104">
        <v>17.0</v>
      </c>
      <c r="N34" s="104"/>
      <c r="O34" s="105"/>
      <c r="P34" s="105">
        <v>17.0</v>
      </c>
      <c r="Q34" s="104">
        <v>17.0</v>
      </c>
      <c r="R34" s="104"/>
      <c r="S34" s="104">
        <v>17.0</v>
      </c>
      <c r="T34" s="104">
        <v>17.0</v>
      </c>
      <c r="U34" s="104"/>
      <c r="V34" s="105">
        <v>17.0</v>
      </c>
      <c r="W34" s="105">
        <v>17.0</v>
      </c>
      <c r="X34" s="104"/>
      <c r="Y34" s="104"/>
      <c r="Z34" s="104"/>
      <c r="AA34" s="104"/>
      <c r="AB34" s="104"/>
      <c r="AC34" s="105"/>
      <c r="AD34" s="105"/>
      <c r="AE34" s="104"/>
      <c r="AF34" s="104"/>
      <c r="AG34" s="104"/>
      <c r="AH34" s="104"/>
      <c r="AI34" s="106"/>
      <c r="AJ34" s="107"/>
      <c r="AK34" s="107"/>
      <c r="AL34" s="106"/>
      <c r="AM34" s="31">
        <f t="shared" si="6"/>
        <v>10</v>
      </c>
      <c r="AN34" s="51">
        <f t="shared" si="7"/>
        <v>170</v>
      </c>
    </row>
    <row r="35" ht="14.25" customHeight="1">
      <c r="A35" s="34">
        <v>24.0</v>
      </c>
      <c r="B35" s="137" t="s">
        <v>104</v>
      </c>
      <c r="C35" s="129">
        <v>1.0</v>
      </c>
      <c r="D35" s="102" t="s">
        <v>63</v>
      </c>
      <c r="E35" s="121" t="s">
        <v>105</v>
      </c>
      <c r="F35" s="97"/>
      <c r="G35" s="103">
        <v>0.4</v>
      </c>
      <c r="H35" s="105">
        <v>17.0</v>
      </c>
      <c r="I35" s="105">
        <v>17.0</v>
      </c>
      <c r="J35" s="104"/>
      <c r="K35" s="104"/>
      <c r="L35" s="104">
        <v>17.0</v>
      </c>
      <c r="M35" s="104">
        <v>17.0</v>
      </c>
      <c r="N35" s="104"/>
      <c r="O35" s="105"/>
      <c r="P35" s="105">
        <v>17.0</v>
      </c>
      <c r="Q35" s="104"/>
      <c r="R35" s="104"/>
      <c r="S35" s="104"/>
      <c r="T35" s="104"/>
      <c r="U35" s="104"/>
      <c r="V35" s="105">
        <v>17.0</v>
      </c>
      <c r="W35" s="105">
        <v>17.0</v>
      </c>
      <c r="X35" s="104"/>
      <c r="Y35" s="104"/>
      <c r="Z35" s="104"/>
      <c r="AA35" s="104"/>
      <c r="AB35" s="104"/>
      <c r="AC35" s="105"/>
      <c r="AD35" s="105"/>
      <c r="AE35" s="104"/>
      <c r="AF35" s="104"/>
      <c r="AG35" s="104"/>
      <c r="AH35" s="104"/>
      <c r="AI35" s="106"/>
      <c r="AJ35" s="107"/>
      <c r="AK35" s="107"/>
      <c r="AL35" s="106"/>
      <c r="AM35" s="31">
        <f t="shared" si="6"/>
        <v>7</v>
      </c>
      <c r="AN35" s="51">
        <f t="shared" si="7"/>
        <v>119</v>
      </c>
    </row>
    <row r="36" ht="17.25" customHeight="1">
      <c r="A36" s="34">
        <v>25.0</v>
      </c>
      <c r="B36" s="36" t="s">
        <v>109</v>
      </c>
      <c r="C36" s="65">
        <v>1.0</v>
      </c>
      <c r="D36" s="117" t="s">
        <v>131</v>
      </c>
      <c r="E36" s="27" t="s">
        <v>111</v>
      </c>
      <c r="F36" s="65">
        <v>12.0</v>
      </c>
      <c r="G36" s="118" t="s">
        <v>26</v>
      </c>
      <c r="H36" s="30">
        <v>12.0</v>
      </c>
      <c r="I36" s="30">
        <v>12.0</v>
      </c>
      <c r="J36" s="29">
        <v>12.0</v>
      </c>
      <c r="K36" s="29">
        <v>6.0</v>
      </c>
      <c r="L36" s="29">
        <v>12.0</v>
      </c>
      <c r="M36" s="29">
        <v>6.0</v>
      </c>
      <c r="N36" s="29">
        <v>12.0</v>
      </c>
      <c r="O36" s="30">
        <v>6.0</v>
      </c>
      <c r="P36" s="30">
        <v>12.0</v>
      </c>
      <c r="Q36" s="29">
        <v>12.0</v>
      </c>
      <c r="R36" s="29">
        <v>12.0</v>
      </c>
      <c r="S36" s="29">
        <v>12.0</v>
      </c>
      <c r="T36" s="29">
        <v>6.0</v>
      </c>
      <c r="U36" s="29">
        <v>6.0</v>
      </c>
      <c r="V36" s="30">
        <v>12.0</v>
      </c>
      <c r="W36" s="30">
        <v>18.0</v>
      </c>
      <c r="X36" s="29">
        <v>12.0</v>
      </c>
      <c r="Y36" s="29">
        <v>12.0</v>
      </c>
      <c r="Z36" s="29">
        <v>12.0</v>
      </c>
      <c r="AA36" s="29">
        <v>6.0</v>
      </c>
      <c r="AB36" s="29">
        <v>12.0</v>
      </c>
      <c r="AC36" s="30">
        <v>12.0</v>
      </c>
      <c r="AD36" s="30">
        <v>12.0</v>
      </c>
      <c r="AE36" s="29">
        <v>12.0</v>
      </c>
      <c r="AF36" s="29">
        <v>12.0</v>
      </c>
      <c r="AG36" s="29">
        <v>6.0</v>
      </c>
      <c r="AH36" s="29">
        <v>12.0</v>
      </c>
      <c r="AI36" s="29">
        <v>12.0</v>
      </c>
      <c r="AJ36" s="30">
        <v>12.0</v>
      </c>
      <c r="AK36" s="30">
        <v>12.0</v>
      </c>
      <c r="AL36" s="29">
        <v>12.0</v>
      </c>
      <c r="AM36" s="31">
        <v>27.0</v>
      </c>
      <c r="AN36" s="51">
        <f t="shared" si="7"/>
        <v>324</v>
      </c>
    </row>
    <row r="37" ht="17.25" customHeight="1">
      <c r="A37" s="34">
        <v>26.0</v>
      </c>
      <c r="B37" s="35" t="s">
        <v>135</v>
      </c>
      <c r="C37" s="65">
        <v>1.0</v>
      </c>
      <c r="D37" s="90" t="s">
        <v>113</v>
      </c>
      <c r="E37" s="27" t="s">
        <v>111</v>
      </c>
      <c r="F37" s="65">
        <v>12.0</v>
      </c>
      <c r="G37" s="118" t="s">
        <v>26</v>
      </c>
      <c r="H37" s="30">
        <v>12.0</v>
      </c>
      <c r="I37" s="30">
        <v>12.0</v>
      </c>
      <c r="J37" s="29">
        <v>12.0</v>
      </c>
      <c r="K37" s="29">
        <v>12.0</v>
      </c>
      <c r="L37" s="29"/>
      <c r="M37" s="29">
        <v>12.0</v>
      </c>
      <c r="N37" s="29">
        <v>12.0</v>
      </c>
      <c r="O37" s="30">
        <v>12.0</v>
      </c>
      <c r="P37" s="30">
        <v>12.0</v>
      </c>
      <c r="Q37" s="29">
        <v>12.0</v>
      </c>
      <c r="R37" s="29"/>
      <c r="S37" s="29"/>
      <c r="T37" s="29">
        <v>12.0</v>
      </c>
      <c r="U37" s="29">
        <v>12.0</v>
      </c>
      <c r="V37" s="30">
        <v>12.0</v>
      </c>
      <c r="W37" s="30">
        <v>12.0</v>
      </c>
      <c r="X37" s="29">
        <v>12.0</v>
      </c>
      <c r="Y37" s="29">
        <v>12.0</v>
      </c>
      <c r="Z37" s="29">
        <v>12.0</v>
      </c>
      <c r="AA37" s="29"/>
      <c r="AB37" s="29">
        <v>12.0</v>
      </c>
      <c r="AC37" s="30">
        <v>12.0</v>
      </c>
      <c r="AD37" s="30">
        <v>12.0</v>
      </c>
      <c r="AE37" s="29">
        <v>12.0</v>
      </c>
      <c r="AF37" s="29">
        <v>12.0</v>
      </c>
      <c r="AG37" s="29"/>
      <c r="AH37" s="29">
        <v>12.0</v>
      </c>
      <c r="AI37" s="29">
        <v>12.0</v>
      </c>
      <c r="AJ37" s="30"/>
      <c r="AK37" s="30">
        <v>12.0</v>
      </c>
      <c r="AL37" s="29">
        <v>12.0</v>
      </c>
      <c r="AM37" s="31">
        <f t="shared" ref="AM37:AM42" si="8">COUNTA(H37:AL37)</f>
        <v>25</v>
      </c>
      <c r="AN37" s="51">
        <f t="shared" si="7"/>
        <v>288</v>
      </c>
    </row>
    <row r="38" ht="20.25" customHeight="1">
      <c r="A38" s="34">
        <v>27.0</v>
      </c>
      <c r="B38" s="35" t="s">
        <v>135</v>
      </c>
      <c r="C38" s="65">
        <v>1.0</v>
      </c>
      <c r="D38" s="90" t="s">
        <v>139</v>
      </c>
      <c r="E38" s="27" t="s">
        <v>73</v>
      </c>
      <c r="F38" s="27">
        <v>12.0</v>
      </c>
      <c r="G38" s="123" t="s">
        <v>26</v>
      </c>
      <c r="H38" s="30">
        <v>12.0</v>
      </c>
      <c r="I38" s="30">
        <v>12.0</v>
      </c>
      <c r="J38" s="29">
        <v>12.0</v>
      </c>
      <c r="K38" s="29">
        <v>12.0</v>
      </c>
      <c r="L38" s="29">
        <v>12.0</v>
      </c>
      <c r="M38" s="29">
        <v>12.0</v>
      </c>
      <c r="N38" s="29">
        <v>12.0</v>
      </c>
      <c r="O38" s="99"/>
      <c r="P38" s="99"/>
      <c r="Q38" s="99"/>
      <c r="R38" s="99"/>
      <c r="S38" s="29">
        <v>12.0</v>
      </c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31">
        <f t="shared" si="8"/>
        <v>8</v>
      </c>
      <c r="AN38" s="51">
        <f t="shared" si="7"/>
        <v>96</v>
      </c>
      <c r="AO38" s="133" t="s">
        <v>141</v>
      </c>
      <c r="AS38" s="89"/>
      <c r="AT38" s="89"/>
      <c r="AU38" s="89"/>
      <c r="AV38" s="89"/>
      <c r="AW38" s="89"/>
    </row>
    <row r="39" ht="25.5" customHeight="1">
      <c r="A39" s="124">
        <v>28.0</v>
      </c>
      <c r="B39" s="128" t="s">
        <v>142</v>
      </c>
      <c r="C39" s="129">
        <v>1.0</v>
      </c>
      <c r="D39" s="130" t="s">
        <v>63</v>
      </c>
      <c r="E39" s="129" t="s">
        <v>125</v>
      </c>
      <c r="F39" s="121">
        <v>12.0</v>
      </c>
      <c r="G39" s="131"/>
      <c r="H39" s="30"/>
      <c r="I39" s="30"/>
      <c r="J39" s="29"/>
      <c r="K39" s="29"/>
      <c r="L39" s="29"/>
      <c r="M39" s="29"/>
      <c r="N39" s="29">
        <v>12.0</v>
      </c>
      <c r="O39" s="30"/>
      <c r="P39" s="30"/>
      <c r="Q39" s="29"/>
      <c r="R39" s="29"/>
      <c r="S39" s="29"/>
      <c r="T39" s="29"/>
      <c r="U39" s="29"/>
      <c r="V39" s="30"/>
      <c r="W39" s="30"/>
      <c r="X39" s="104">
        <v>12.0</v>
      </c>
      <c r="Y39" s="104">
        <v>12.0</v>
      </c>
      <c r="Z39" s="104"/>
      <c r="AA39" s="104">
        <v>12.0</v>
      </c>
      <c r="AB39" s="29">
        <v>12.0</v>
      </c>
      <c r="AC39" s="30">
        <v>12.0</v>
      </c>
      <c r="AD39" s="30">
        <v>12.0</v>
      </c>
      <c r="AE39" s="29">
        <v>12.0</v>
      </c>
      <c r="AF39" s="29">
        <v>12.0</v>
      </c>
      <c r="AG39" s="29">
        <v>12.0</v>
      </c>
      <c r="AH39" s="29"/>
      <c r="AI39" s="29"/>
      <c r="AJ39" s="30"/>
      <c r="AK39" s="30"/>
      <c r="AL39" s="29"/>
      <c r="AM39" s="31">
        <f t="shared" si="8"/>
        <v>10</v>
      </c>
      <c r="AN39" s="51">
        <f t="shared" si="7"/>
        <v>120</v>
      </c>
      <c r="AP39" s="89"/>
      <c r="AQ39" s="89"/>
      <c r="AR39" s="89"/>
      <c r="AS39" s="89"/>
      <c r="AT39" s="89"/>
      <c r="AU39" s="89"/>
      <c r="AV39" s="89"/>
      <c r="AW39" s="89"/>
    </row>
    <row r="40" ht="21.75" customHeight="1">
      <c r="A40" s="17"/>
      <c r="B40" s="17"/>
      <c r="C40" s="17"/>
      <c r="D40" s="17"/>
      <c r="E40" s="121" t="s">
        <v>127</v>
      </c>
      <c r="F40" s="121">
        <v>12.0</v>
      </c>
      <c r="G40" s="131"/>
      <c r="H40" s="30"/>
      <c r="I40" s="30"/>
      <c r="J40" s="29"/>
      <c r="K40" s="29"/>
      <c r="L40" s="29"/>
      <c r="M40" s="29">
        <v>12.0</v>
      </c>
      <c r="N40" s="29"/>
      <c r="O40" s="30"/>
      <c r="P40" s="30"/>
      <c r="Q40" s="29"/>
      <c r="R40" s="29"/>
      <c r="S40" s="29"/>
      <c r="T40" s="29"/>
      <c r="U40" s="29"/>
      <c r="V40" s="30"/>
      <c r="W40" s="30"/>
      <c r="X40" s="29"/>
      <c r="Y40" s="29"/>
      <c r="Z40" s="29"/>
      <c r="AA40" s="29"/>
      <c r="AB40" s="29"/>
      <c r="AC40" s="30"/>
      <c r="AD40" s="30"/>
      <c r="AE40" s="29"/>
      <c r="AF40" s="29"/>
      <c r="AG40" s="29"/>
      <c r="AH40" s="29"/>
      <c r="AI40" s="29"/>
      <c r="AJ40" s="30"/>
      <c r="AK40" s="30"/>
      <c r="AL40" s="29"/>
      <c r="AM40" s="31">
        <f t="shared" si="8"/>
        <v>1</v>
      </c>
      <c r="AN40" s="51">
        <f t="shared" si="7"/>
        <v>12</v>
      </c>
      <c r="AP40" s="89"/>
      <c r="AQ40" s="89"/>
      <c r="AR40" s="89"/>
      <c r="AS40" s="89"/>
      <c r="AT40" s="89"/>
      <c r="AU40" s="89"/>
      <c r="AV40" s="89"/>
      <c r="AW40" s="89"/>
    </row>
    <row r="41" ht="19.5" customHeight="1">
      <c r="A41" s="34">
        <v>29.0</v>
      </c>
      <c r="B41" s="35" t="s">
        <v>144</v>
      </c>
      <c r="C41" s="135">
        <v>1.0</v>
      </c>
      <c r="D41" s="35" t="s">
        <v>146</v>
      </c>
      <c r="E41" s="27" t="s">
        <v>133</v>
      </c>
      <c r="F41" s="135">
        <v>12.0</v>
      </c>
      <c r="G41" s="47" t="s">
        <v>148</v>
      </c>
      <c r="H41" s="105">
        <v>12.0</v>
      </c>
      <c r="I41" s="105">
        <v>12.0</v>
      </c>
      <c r="J41" s="104">
        <v>12.0</v>
      </c>
      <c r="K41" s="104">
        <v>12.0</v>
      </c>
      <c r="L41" s="104">
        <v>12.0</v>
      </c>
      <c r="M41" s="104">
        <v>12.0</v>
      </c>
      <c r="N41" s="104">
        <v>12.0</v>
      </c>
      <c r="O41" s="105">
        <v>12.0</v>
      </c>
      <c r="P41" s="105">
        <v>12.0</v>
      </c>
      <c r="Q41" s="104">
        <v>12.0</v>
      </c>
      <c r="R41" s="104">
        <v>12.0</v>
      </c>
      <c r="S41" s="104">
        <v>12.0</v>
      </c>
      <c r="T41" s="104">
        <v>12.0</v>
      </c>
      <c r="U41" s="104">
        <v>12.0</v>
      </c>
      <c r="V41" s="105">
        <v>12.0</v>
      </c>
      <c r="W41" s="105">
        <v>12.0</v>
      </c>
      <c r="X41" s="104">
        <v>12.0</v>
      </c>
      <c r="Y41" s="104">
        <v>12.0</v>
      </c>
      <c r="Z41" s="104">
        <v>12.0</v>
      </c>
      <c r="AA41" s="104">
        <v>12.0</v>
      </c>
      <c r="AB41" s="29">
        <v>12.0</v>
      </c>
      <c r="AC41" s="30">
        <v>12.0</v>
      </c>
      <c r="AD41" s="30">
        <v>12.0</v>
      </c>
      <c r="AE41" s="29">
        <v>12.0</v>
      </c>
      <c r="AF41" s="29">
        <v>12.0</v>
      </c>
      <c r="AG41" s="29">
        <v>12.0</v>
      </c>
      <c r="AH41" s="29">
        <v>12.0</v>
      </c>
      <c r="AI41" s="29">
        <v>12.0</v>
      </c>
      <c r="AJ41" s="30">
        <v>12.0</v>
      </c>
      <c r="AK41" s="30">
        <v>12.0</v>
      </c>
      <c r="AL41" s="29">
        <v>12.0</v>
      </c>
      <c r="AM41" s="31">
        <f t="shared" si="8"/>
        <v>31</v>
      </c>
      <c r="AN41" s="51">
        <f t="shared" si="7"/>
        <v>360</v>
      </c>
      <c r="AO41" s="73" t="s">
        <v>79</v>
      </c>
      <c r="AP41" s="89"/>
      <c r="AQ41" s="89"/>
      <c r="AR41" s="89"/>
      <c r="AS41" s="89"/>
      <c r="AT41" s="89"/>
      <c r="AU41" s="89"/>
      <c r="AV41" s="89"/>
      <c r="AW41" s="89"/>
    </row>
    <row r="42" ht="18.75" customHeight="1">
      <c r="A42" s="34">
        <v>30.0</v>
      </c>
      <c r="B42" s="35" t="s">
        <v>144</v>
      </c>
      <c r="C42" s="27">
        <v>1.0</v>
      </c>
      <c r="D42" s="35" t="s">
        <v>149</v>
      </c>
      <c r="E42" s="27" t="s">
        <v>133</v>
      </c>
      <c r="F42" s="27">
        <v>12.0</v>
      </c>
      <c r="G42" s="123" t="s">
        <v>26</v>
      </c>
      <c r="H42" s="30">
        <v>12.0</v>
      </c>
      <c r="I42" s="30">
        <v>12.0</v>
      </c>
      <c r="J42" s="29">
        <v>12.0</v>
      </c>
      <c r="K42" s="29">
        <v>12.0</v>
      </c>
      <c r="L42" s="29"/>
      <c r="M42" s="29">
        <v>12.0</v>
      </c>
      <c r="N42" s="29"/>
      <c r="O42" s="30">
        <v>12.0</v>
      </c>
      <c r="P42" s="30"/>
      <c r="Q42" s="29">
        <v>12.0</v>
      </c>
      <c r="R42" s="29"/>
      <c r="S42" s="29"/>
      <c r="T42" s="29"/>
      <c r="U42" s="29"/>
      <c r="V42" s="30"/>
      <c r="W42" s="30">
        <v>12.0</v>
      </c>
      <c r="X42" s="29">
        <v>12.0</v>
      </c>
      <c r="Y42" s="29"/>
      <c r="Z42" s="29"/>
      <c r="AA42" s="29"/>
      <c r="AB42" s="29"/>
      <c r="AC42" s="30">
        <v>12.0</v>
      </c>
      <c r="AD42" s="30"/>
      <c r="AE42" s="29"/>
      <c r="AF42" s="29"/>
      <c r="AG42" s="29"/>
      <c r="AH42" s="29"/>
      <c r="AI42" s="29"/>
      <c r="AJ42" s="30"/>
      <c r="AK42" s="30"/>
      <c r="AL42" s="29"/>
      <c r="AM42" s="31">
        <f t="shared" si="8"/>
        <v>10</v>
      </c>
      <c r="AN42" s="51">
        <f t="shared" si="7"/>
        <v>120</v>
      </c>
      <c r="AO42" s="73" t="s">
        <v>79</v>
      </c>
    </row>
    <row r="43" ht="19.5" customHeight="1">
      <c r="A43" s="34">
        <v>31.0</v>
      </c>
      <c r="B43" s="35" t="s">
        <v>136</v>
      </c>
      <c r="C43" s="27">
        <v>1.0</v>
      </c>
      <c r="D43" s="117" t="s">
        <v>137</v>
      </c>
      <c r="E43" s="26" t="s">
        <v>138</v>
      </c>
      <c r="F43" s="26">
        <v>12.0</v>
      </c>
      <c r="G43" s="28" t="s">
        <v>26</v>
      </c>
      <c r="H43" s="30">
        <v>11.0</v>
      </c>
      <c r="I43" s="30">
        <v>11.0</v>
      </c>
      <c r="J43" s="29">
        <v>6.0</v>
      </c>
      <c r="K43" s="29">
        <v>11.0</v>
      </c>
      <c r="L43" s="29">
        <v>6.0</v>
      </c>
      <c r="M43" s="29">
        <v>11.0</v>
      </c>
      <c r="N43" s="29">
        <v>11.0</v>
      </c>
      <c r="O43" s="30">
        <v>6.0</v>
      </c>
      <c r="P43" s="30"/>
      <c r="Q43" s="29"/>
      <c r="R43" s="29">
        <v>6.0</v>
      </c>
      <c r="S43" s="29">
        <v>11.0</v>
      </c>
      <c r="T43" s="29">
        <v>11.0</v>
      </c>
      <c r="U43" s="29">
        <v>6.0</v>
      </c>
      <c r="V43" s="30">
        <v>6.0</v>
      </c>
      <c r="W43" s="30">
        <v>11.0</v>
      </c>
      <c r="X43" s="29">
        <v>6.0</v>
      </c>
      <c r="Y43" s="29">
        <v>11.0</v>
      </c>
      <c r="Z43" s="29">
        <v>11.0</v>
      </c>
      <c r="AA43" s="29">
        <v>6.0</v>
      </c>
      <c r="AB43" s="29">
        <v>6.0</v>
      </c>
      <c r="AC43" s="30">
        <v>11.0</v>
      </c>
      <c r="AD43" s="30">
        <v>11.0</v>
      </c>
      <c r="AE43" s="29">
        <v>11.0</v>
      </c>
      <c r="AF43" s="29">
        <v>6.0</v>
      </c>
      <c r="AG43" s="29">
        <v>11.0</v>
      </c>
      <c r="AH43" s="29">
        <v>11.0</v>
      </c>
      <c r="AI43" s="29">
        <v>11.0</v>
      </c>
      <c r="AJ43" s="30">
        <v>11.0</v>
      </c>
      <c r="AK43" s="30">
        <v>11.0</v>
      </c>
      <c r="AL43" s="29">
        <v>11.0</v>
      </c>
      <c r="AM43" s="31">
        <v>24.0</v>
      </c>
      <c r="AN43" s="51">
        <f t="shared" si="7"/>
        <v>258</v>
      </c>
    </row>
    <row r="44" ht="14.25" customHeight="1">
      <c r="A44" s="21"/>
      <c r="B44" s="20" t="s">
        <v>140</v>
      </c>
      <c r="C44" s="21"/>
      <c r="D44" s="20" t="s">
        <v>140</v>
      </c>
      <c r="E44" s="21"/>
      <c r="F44" s="21"/>
      <c r="G44" s="21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3"/>
      <c r="AN44" s="45"/>
    </row>
    <row r="45" ht="14.25" customHeight="1">
      <c r="A45" s="34">
        <v>32.0</v>
      </c>
      <c r="B45" s="35" t="s">
        <v>140</v>
      </c>
      <c r="C45" s="27">
        <v>1.0</v>
      </c>
      <c r="D45" s="117" t="s">
        <v>153</v>
      </c>
      <c r="E45" s="139" t="s">
        <v>51</v>
      </c>
      <c r="F45" s="139">
        <v>24.0</v>
      </c>
      <c r="G45" s="28" t="s">
        <v>85</v>
      </c>
      <c r="H45" s="30"/>
      <c r="I45" s="30"/>
      <c r="J45" s="29">
        <v>24.0</v>
      </c>
      <c r="K45" s="29"/>
      <c r="L45" s="29"/>
      <c r="M45" s="29">
        <v>24.0</v>
      </c>
      <c r="N45" s="29"/>
      <c r="O45" s="30"/>
      <c r="P45" s="30">
        <v>24.0</v>
      </c>
      <c r="Q45" s="29"/>
      <c r="R45" s="29"/>
      <c r="S45" s="29">
        <v>24.0</v>
      </c>
      <c r="T45" s="29"/>
      <c r="U45" s="29"/>
      <c r="V45" s="30">
        <v>24.0</v>
      </c>
      <c r="W45" s="30"/>
      <c r="X45" s="29"/>
      <c r="Y45" s="29">
        <v>24.0</v>
      </c>
      <c r="Z45" s="29"/>
      <c r="AA45" s="29"/>
      <c r="AB45" s="29">
        <v>24.0</v>
      </c>
      <c r="AC45" s="30"/>
      <c r="AD45" s="30"/>
      <c r="AE45" s="29">
        <v>24.0</v>
      </c>
      <c r="AF45" s="29"/>
      <c r="AG45" s="29"/>
      <c r="AH45" s="29">
        <v>24.0</v>
      </c>
      <c r="AI45" s="29"/>
      <c r="AJ45" s="30"/>
      <c r="AK45" s="30">
        <v>24.0</v>
      </c>
      <c r="AL45" s="29"/>
      <c r="AM45" s="31">
        <f t="shared" ref="AM45:AM47" si="9">COUNTA(H45:AK45)</f>
        <v>10</v>
      </c>
      <c r="AN45" s="51">
        <f t="shared" ref="AN45:AN47" si="10">SUM(H45:AK45)</f>
        <v>240</v>
      </c>
    </row>
    <row r="46" ht="14.25" customHeight="1">
      <c r="A46" s="24">
        <v>33.0</v>
      </c>
      <c r="B46" s="35" t="s">
        <v>140</v>
      </c>
      <c r="C46" s="27">
        <v>1.0</v>
      </c>
      <c r="D46" s="117" t="s">
        <v>137</v>
      </c>
      <c r="E46" s="139" t="s">
        <v>51</v>
      </c>
      <c r="F46" s="139">
        <v>24.0</v>
      </c>
      <c r="G46" s="28" t="s">
        <v>85</v>
      </c>
      <c r="H46" s="30"/>
      <c r="I46" s="30">
        <v>24.0</v>
      </c>
      <c r="J46" s="29"/>
      <c r="K46" s="29"/>
      <c r="L46" s="29">
        <v>24.0</v>
      </c>
      <c r="M46" s="29"/>
      <c r="N46" s="29"/>
      <c r="O46" s="30">
        <v>24.0</v>
      </c>
      <c r="P46" s="30"/>
      <c r="Q46" s="29"/>
      <c r="R46" s="29">
        <v>24.0</v>
      </c>
      <c r="S46" s="29"/>
      <c r="T46" s="29"/>
      <c r="U46" s="29">
        <v>24.0</v>
      </c>
      <c r="V46" s="30"/>
      <c r="W46" s="30"/>
      <c r="X46" s="29">
        <v>24.0</v>
      </c>
      <c r="Y46" s="29"/>
      <c r="Z46" s="29"/>
      <c r="AA46" s="29">
        <v>24.0</v>
      </c>
      <c r="AB46" s="29"/>
      <c r="AC46" s="30"/>
      <c r="AD46" s="30">
        <v>24.0</v>
      </c>
      <c r="AE46" s="29"/>
      <c r="AF46" s="29"/>
      <c r="AG46" s="29">
        <v>24.0</v>
      </c>
      <c r="AH46" s="29"/>
      <c r="AI46" s="29"/>
      <c r="AJ46" s="30">
        <v>24.0</v>
      </c>
      <c r="AK46" s="30"/>
      <c r="AL46" s="29"/>
      <c r="AM46" s="31">
        <f t="shared" si="9"/>
        <v>10</v>
      </c>
      <c r="AN46" s="51">
        <f t="shared" si="10"/>
        <v>240</v>
      </c>
    </row>
    <row r="47" ht="14.25" customHeight="1">
      <c r="A47" s="24">
        <v>34.0</v>
      </c>
      <c r="B47" s="35" t="s">
        <v>140</v>
      </c>
      <c r="C47" s="27">
        <v>1.0</v>
      </c>
      <c r="D47" s="117" t="s">
        <v>150</v>
      </c>
      <c r="E47" s="139" t="s">
        <v>51</v>
      </c>
      <c r="F47" s="139">
        <v>24.0</v>
      </c>
      <c r="G47" s="28" t="s">
        <v>85</v>
      </c>
      <c r="H47" s="30">
        <v>24.0</v>
      </c>
      <c r="I47" s="30"/>
      <c r="J47" s="29"/>
      <c r="K47" s="29">
        <v>24.0</v>
      </c>
      <c r="L47" s="29"/>
      <c r="M47" s="29"/>
      <c r="N47" s="29">
        <v>24.0</v>
      </c>
      <c r="O47" s="30"/>
      <c r="P47" s="30"/>
      <c r="Q47" s="29">
        <v>24.0</v>
      </c>
      <c r="R47" s="29"/>
      <c r="S47" s="29"/>
      <c r="T47" s="29">
        <v>24.0</v>
      </c>
      <c r="U47" s="29"/>
      <c r="V47" s="30"/>
      <c r="W47" s="30">
        <v>24.0</v>
      </c>
      <c r="X47" s="29"/>
      <c r="Y47" s="29"/>
      <c r="Z47" s="29">
        <v>24.0</v>
      </c>
      <c r="AA47" s="29"/>
      <c r="AB47" s="29"/>
      <c r="AC47" s="30">
        <v>24.0</v>
      </c>
      <c r="AD47" s="30"/>
      <c r="AE47" s="29"/>
      <c r="AF47" s="29">
        <v>24.0</v>
      </c>
      <c r="AG47" s="29"/>
      <c r="AH47" s="29"/>
      <c r="AI47" s="29">
        <v>24.0</v>
      </c>
      <c r="AJ47" s="30"/>
      <c r="AK47" s="30"/>
      <c r="AL47" s="29">
        <v>24.0</v>
      </c>
      <c r="AM47" s="31">
        <f t="shared" si="9"/>
        <v>10</v>
      </c>
      <c r="AN47" s="51">
        <f t="shared" si="10"/>
        <v>240</v>
      </c>
    </row>
    <row r="48" ht="14.25" customHeight="1">
      <c r="A48" s="142"/>
      <c r="B48" s="143" t="s">
        <v>151</v>
      </c>
      <c r="C48" s="144">
        <v>33.0</v>
      </c>
      <c r="D48" s="143" t="s">
        <v>152</v>
      </c>
      <c r="E48" s="144"/>
      <c r="F48" s="144"/>
      <c r="G48" s="144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40"/>
      <c r="AN48" s="45"/>
    </row>
    <row r="49" ht="14.25" customHeight="1">
      <c r="A49" s="142"/>
      <c r="B49" s="146" t="s">
        <v>154</v>
      </c>
      <c r="C49" s="147"/>
      <c r="D49" s="147"/>
      <c r="E49" s="147"/>
      <c r="F49" s="147"/>
      <c r="G49" s="148"/>
      <c r="H49" s="145" t="s">
        <v>155</v>
      </c>
      <c r="I49" s="145" t="s">
        <v>155</v>
      </c>
      <c r="J49" s="145" t="s">
        <v>155</v>
      </c>
      <c r="K49" s="145" t="s">
        <v>155</v>
      </c>
      <c r="L49" s="145" t="s">
        <v>155</v>
      </c>
      <c r="M49" s="145" t="s">
        <v>155</v>
      </c>
      <c r="N49" s="145" t="s">
        <v>155</v>
      </c>
      <c r="O49" s="145" t="s">
        <v>155</v>
      </c>
      <c r="P49" s="145" t="s">
        <v>155</v>
      </c>
      <c r="Q49" s="145" t="s">
        <v>155</v>
      </c>
      <c r="R49" s="145" t="s">
        <v>155</v>
      </c>
      <c r="S49" s="145" t="s">
        <v>155</v>
      </c>
      <c r="T49" s="145" t="s">
        <v>155</v>
      </c>
      <c r="U49" s="145" t="s">
        <v>155</v>
      </c>
      <c r="V49" s="145" t="s">
        <v>155</v>
      </c>
      <c r="W49" s="145" t="s">
        <v>155</v>
      </c>
      <c r="X49" s="145" t="s">
        <v>155</v>
      </c>
      <c r="Y49" s="145" t="s">
        <v>155</v>
      </c>
      <c r="Z49" s="145" t="s">
        <v>155</v>
      </c>
      <c r="AA49" s="145" t="s">
        <v>155</v>
      </c>
      <c r="AB49" s="145" t="s">
        <v>155</v>
      </c>
      <c r="AC49" s="145"/>
      <c r="AD49" s="145"/>
      <c r="AE49" s="145" t="s">
        <v>155</v>
      </c>
      <c r="AF49" s="145" t="s">
        <v>155</v>
      </c>
      <c r="AG49" s="145" t="s">
        <v>155</v>
      </c>
      <c r="AH49" s="145" t="s">
        <v>155</v>
      </c>
      <c r="AI49" s="145"/>
      <c r="AJ49" s="145"/>
      <c r="AK49" s="145"/>
      <c r="AL49" s="145"/>
      <c r="AM49" s="40"/>
      <c r="AN49" s="45"/>
    </row>
    <row r="50" ht="14.25" customHeight="1">
      <c r="A50" s="142"/>
      <c r="B50" s="146" t="s">
        <v>156</v>
      </c>
      <c r="C50" s="147"/>
      <c r="D50" s="147"/>
      <c r="E50" s="147"/>
      <c r="F50" s="147"/>
      <c r="G50" s="148"/>
      <c r="H50" s="145">
        <f t="shared" ref="H50:AB50" si="11">COUNTA(#REF!,#REF!,#REF!,#REF!,#REF!)</f>
        <v>5</v>
      </c>
      <c r="I50" s="145">
        <f t="shared" si="11"/>
        <v>5</v>
      </c>
      <c r="J50" s="145">
        <f t="shared" si="11"/>
        <v>5</v>
      </c>
      <c r="K50" s="145">
        <f t="shared" si="11"/>
        <v>5</v>
      </c>
      <c r="L50" s="145">
        <f t="shared" si="11"/>
        <v>5</v>
      </c>
      <c r="M50" s="145">
        <f t="shared" si="11"/>
        <v>5</v>
      </c>
      <c r="N50" s="145">
        <f t="shared" si="11"/>
        <v>5</v>
      </c>
      <c r="O50" s="145">
        <f t="shared" si="11"/>
        <v>5</v>
      </c>
      <c r="P50" s="145">
        <f t="shared" si="11"/>
        <v>5</v>
      </c>
      <c r="Q50" s="145">
        <f t="shared" si="11"/>
        <v>5</v>
      </c>
      <c r="R50" s="145">
        <f t="shared" si="11"/>
        <v>5</v>
      </c>
      <c r="S50" s="145">
        <f t="shared" si="11"/>
        <v>5</v>
      </c>
      <c r="T50" s="145">
        <f t="shared" si="11"/>
        <v>5</v>
      </c>
      <c r="U50" s="145">
        <f t="shared" si="11"/>
        <v>5</v>
      </c>
      <c r="V50" s="145">
        <f t="shared" si="11"/>
        <v>5</v>
      </c>
      <c r="W50" s="145">
        <f t="shared" si="11"/>
        <v>5</v>
      </c>
      <c r="X50" s="145">
        <f t="shared" si="11"/>
        <v>5</v>
      </c>
      <c r="Y50" s="145">
        <f t="shared" si="11"/>
        <v>5</v>
      </c>
      <c r="Z50" s="145">
        <f t="shared" si="11"/>
        <v>5</v>
      </c>
      <c r="AA50" s="145">
        <f t="shared" si="11"/>
        <v>5</v>
      </c>
      <c r="AB50" s="145">
        <f t="shared" si="11"/>
        <v>5</v>
      </c>
      <c r="AC50" s="145"/>
      <c r="AD50" s="145"/>
      <c r="AE50" s="145">
        <f t="shared" ref="AE50:AH50" si="12">COUNTA(#REF!,#REF!,#REF!,#REF!,#REF!)</f>
        <v>5</v>
      </c>
      <c r="AF50" s="145">
        <f t="shared" si="12"/>
        <v>5</v>
      </c>
      <c r="AG50" s="145">
        <f t="shared" si="12"/>
        <v>5</v>
      </c>
      <c r="AH50" s="145">
        <f t="shared" si="12"/>
        <v>5</v>
      </c>
      <c r="AI50" s="145"/>
      <c r="AJ50" s="145"/>
      <c r="AK50" s="145"/>
      <c r="AL50" s="145"/>
      <c r="AM50" s="40"/>
      <c r="AN50" s="45"/>
    </row>
    <row r="51" ht="14.25" customHeight="1">
      <c r="A51" s="142"/>
      <c r="B51" s="146" t="s">
        <v>157</v>
      </c>
      <c r="C51" s="147"/>
      <c r="D51" s="147"/>
      <c r="E51" s="147"/>
      <c r="F51" s="147"/>
      <c r="G51" s="148"/>
      <c r="H51" s="145">
        <f t="shared" ref="H51:AB51" si="13">COUNTA(#REF!,#REF!)</f>
        <v>2</v>
      </c>
      <c r="I51" s="145">
        <f t="shared" si="13"/>
        <v>2</v>
      </c>
      <c r="J51" s="145">
        <f t="shared" si="13"/>
        <v>2</v>
      </c>
      <c r="K51" s="145">
        <f t="shared" si="13"/>
        <v>2</v>
      </c>
      <c r="L51" s="145">
        <f t="shared" si="13"/>
        <v>2</v>
      </c>
      <c r="M51" s="145">
        <f t="shared" si="13"/>
        <v>2</v>
      </c>
      <c r="N51" s="145">
        <f t="shared" si="13"/>
        <v>2</v>
      </c>
      <c r="O51" s="145">
        <f t="shared" si="13"/>
        <v>2</v>
      </c>
      <c r="P51" s="145">
        <f t="shared" si="13"/>
        <v>2</v>
      </c>
      <c r="Q51" s="145">
        <f t="shared" si="13"/>
        <v>2</v>
      </c>
      <c r="R51" s="145">
        <f t="shared" si="13"/>
        <v>2</v>
      </c>
      <c r="S51" s="145">
        <f t="shared" si="13"/>
        <v>2</v>
      </c>
      <c r="T51" s="145">
        <f t="shared" si="13"/>
        <v>2</v>
      </c>
      <c r="U51" s="145">
        <f t="shared" si="13"/>
        <v>2</v>
      </c>
      <c r="V51" s="145">
        <f t="shared" si="13"/>
        <v>2</v>
      </c>
      <c r="W51" s="145">
        <f t="shared" si="13"/>
        <v>2</v>
      </c>
      <c r="X51" s="145">
        <f t="shared" si="13"/>
        <v>2</v>
      </c>
      <c r="Y51" s="145">
        <f t="shared" si="13"/>
        <v>2</v>
      </c>
      <c r="Z51" s="145">
        <f t="shared" si="13"/>
        <v>2</v>
      </c>
      <c r="AA51" s="145">
        <f t="shared" si="13"/>
        <v>2</v>
      </c>
      <c r="AB51" s="145">
        <f t="shared" si="13"/>
        <v>2</v>
      </c>
      <c r="AC51" s="145"/>
      <c r="AD51" s="145"/>
      <c r="AE51" s="145">
        <f t="shared" ref="AE51:AH51" si="14">COUNTA(#REF!,#REF!)</f>
        <v>2</v>
      </c>
      <c r="AF51" s="145">
        <f t="shared" si="14"/>
        <v>2</v>
      </c>
      <c r="AG51" s="145">
        <f t="shared" si="14"/>
        <v>2</v>
      </c>
      <c r="AH51" s="145">
        <f t="shared" si="14"/>
        <v>2</v>
      </c>
      <c r="AI51" s="145"/>
      <c r="AJ51" s="145"/>
      <c r="AK51" s="145"/>
      <c r="AL51" s="145"/>
      <c r="AM51" s="40"/>
      <c r="AN51" s="45"/>
    </row>
    <row r="52" ht="14.25" customHeight="1">
      <c r="A52" s="2"/>
      <c r="B52" s="3"/>
      <c r="C52" s="2"/>
      <c r="D52" s="2"/>
      <c r="E52" s="2"/>
      <c r="F52" s="2"/>
      <c r="G52" s="4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1"/>
      <c r="AN52" s="11"/>
    </row>
    <row r="53" ht="14.25" customHeight="1">
      <c r="A53" s="152"/>
      <c r="B53" s="153"/>
      <c r="C53" s="154"/>
      <c r="D53" s="155" t="s">
        <v>159</v>
      </c>
      <c r="E53" s="155"/>
      <c r="F53" s="155"/>
      <c r="G53" s="156"/>
      <c r="H53" s="49">
        <f t="shared" ref="H53:AB53" si="15">COUNTA(H10,H11:H16,#REF!,H24:H25,H44,H23:H42,#REF!)</f>
        <v>18</v>
      </c>
      <c r="I53" s="49">
        <f t="shared" si="15"/>
        <v>13</v>
      </c>
      <c r="J53" s="49">
        <f t="shared" si="15"/>
        <v>12</v>
      </c>
      <c r="K53" s="49">
        <f t="shared" si="15"/>
        <v>14</v>
      </c>
      <c r="L53" s="49">
        <f t="shared" si="15"/>
        <v>13</v>
      </c>
      <c r="M53" s="49">
        <f t="shared" si="15"/>
        <v>19</v>
      </c>
      <c r="N53" s="49">
        <f t="shared" si="15"/>
        <v>13</v>
      </c>
      <c r="O53" s="49">
        <f t="shared" si="15"/>
        <v>13</v>
      </c>
      <c r="P53" s="49">
        <f t="shared" si="15"/>
        <v>12</v>
      </c>
      <c r="Q53" s="49">
        <f t="shared" si="15"/>
        <v>12</v>
      </c>
      <c r="R53" s="49">
        <f t="shared" si="15"/>
        <v>11</v>
      </c>
      <c r="S53" s="49">
        <f t="shared" si="15"/>
        <v>15</v>
      </c>
      <c r="T53" s="49">
        <f t="shared" si="15"/>
        <v>14</v>
      </c>
      <c r="U53" s="49">
        <f t="shared" si="15"/>
        <v>13</v>
      </c>
      <c r="V53" s="49">
        <f t="shared" si="15"/>
        <v>16</v>
      </c>
      <c r="W53" s="49">
        <f t="shared" si="15"/>
        <v>13</v>
      </c>
      <c r="X53" s="49">
        <f t="shared" si="15"/>
        <v>10</v>
      </c>
      <c r="Y53" s="49">
        <f t="shared" si="15"/>
        <v>13</v>
      </c>
      <c r="Z53" s="49">
        <f t="shared" si="15"/>
        <v>12</v>
      </c>
      <c r="AA53" s="49">
        <f t="shared" si="15"/>
        <v>11</v>
      </c>
      <c r="AB53" s="49">
        <f t="shared" si="15"/>
        <v>14</v>
      </c>
      <c r="AC53" s="49"/>
      <c r="AD53" s="49"/>
      <c r="AE53" s="49">
        <f t="shared" ref="AE53:AH53" si="16">COUNTA(AE10,AE11:AE16,#REF!,AE24:AE25,AE44,AE23:AE42,#REF!)</f>
        <v>11</v>
      </c>
      <c r="AF53" s="49">
        <f t="shared" si="16"/>
        <v>14</v>
      </c>
      <c r="AG53" s="49">
        <f t="shared" si="16"/>
        <v>13</v>
      </c>
      <c r="AH53" s="49">
        <f t="shared" si="16"/>
        <v>13</v>
      </c>
      <c r="AI53" s="49"/>
      <c r="AJ53" s="49"/>
      <c r="AK53" s="49"/>
      <c r="AL53" s="49"/>
      <c r="AM53" s="157">
        <f t="shared" ref="AM53:AM56" si="19">SUM(H53:AH53)</f>
        <v>332</v>
      </c>
      <c r="AN53" s="158">
        <v>250.0</v>
      </c>
    </row>
    <row r="54" ht="14.25" customHeight="1">
      <c r="A54" s="159"/>
      <c r="B54" s="160"/>
      <c r="C54" s="161"/>
      <c r="D54" s="162" t="s">
        <v>160</v>
      </c>
      <c r="E54" s="162"/>
      <c r="F54" s="162"/>
      <c r="G54" s="163"/>
      <c r="H54" s="164">
        <f t="shared" ref="H54:AB54" si="17">COUNTA(H10,#REF!,#REF!,H16,H23:H42,H24:H44)</f>
        <v>24</v>
      </c>
      <c r="I54" s="164">
        <f t="shared" si="17"/>
        <v>23</v>
      </c>
      <c r="J54" s="164">
        <f t="shared" si="17"/>
        <v>19</v>
      </c>
      <c r="K54" s="164">
        <f t="shared" si="17"/>
        <v>16</v>
      </c>
      <c r="L54" s="164">
        <f t="shared" si="17"/>
        <v>18</v>
      </c>
      <c r="M54" s="164">
        <f t="shared" si="17"/>
        <v>26</v>
      </c>
      <c r="N54" s="164">
        <f t="shared" si="17"/>
        <v>20</v>
      </c>
      <c r="O54" s="164">
        <f t="shared" si="17"/>
        <v>16</v>
      </c>
      <c r="P54" s="164">
        <f t="shared" si="17"/>
        <v>18</v>
      </c>
      <c r="Q54" s="164">
        <f t="shared" si="17"/>
        <v>18</v>
      </c>
      <c r="R54" s="164">
        <f t="shared" si="17"/>
        <v>12</v>
      </c>
      <c r="S54" s="164">
        <f t="shared" si="17"/>
        <v>18</v>
      </c>
      <c r="T54" s="164">
        <f t="shared" si="17"/>
        <v>18</v>
      </c>
      <c r="U54" s="164">
        <f t="shared" si="17"/>
        <v>16</v>
      </c>
      <c r="V54" s="164">
        <f t="shared" si="17"/>
        <v>20</v>
      </c>
      <c r="W54" s="164">
        <f t="shared" si="17"/>
        <v>21</v>
      </c>
      <c r="X54" s="164">
        <f t="shared" si="17"/>
        <v>19</v>
      </c>
      <c r="Y54" s="164">
        <f t="shared" si="17"/>
        <v>16</v>
      </c>
      <c r="Z54" s="164">
        <f t="shared" si="17"/>
        <v>14</v>
      </c>
      <c r="AA54" s="164">
        <f t="shared" si="17"/>
        <v>14</v>
      </c>
      <c r="AB54" s="164">
        <f t="shared" si="17"/>
        <v>18</v>
      </c>
      <c r="AC54" s="164"/>
      <c r="AD54" s="164"/>
      <c r="AE54" s="164">
        <f t="shared" ref="AE54:AH54" si="18">COUNTA(AE10,#REF!,#REF!,AE16,AE23:AE42,AE24:AE44)</f>
        <v>17</v>
      </c>
      <c r="AF54" s="164">
        <f t="shared" si="18"/>
        <v>18</v>
      </c>
      <c r="AG54" s="164">
        <f t="shared" si="18"/>
        <v>16</v>
      </c>
      <c r="AH54" s="164">
        <f t="shared" si="18"/>
        <v>16</v>
      </c>
      <c r="AI54" s="164"/>
      <c r="AJ54" s="164"/>
      <c r="AK54" s="164"/>
      <c r="AL54" s="164"/>
      <c r="AM54" s="165">
        <f t="shared" si="19"/>
        <v>451</v>
      </c>
      <c r="AN54" s="158"/>
    </row>
    <row r="55" ht="14.25" customHeight="1">
      <c r="A55" s="166"/>
      <c r="B55" s="167"/>
      <c r="C55" s="168"/>
      <c r="D55" s="169" t="s">
        <v>161</v>
      </c>
      <c r="E55" s="169"/>
      <c r="F55" s="169"/>
      <c r="G55" s="170"/>
      <c r="H55" s="171">
        <f t="shared" ref="H55:AB55" si="20">COUNTA(H23:H42,#REF!,H44:H45)</f>
        <v>11</v>
      </c>
      <c r="I55" s="171">
        <f t="shared" si="20"/>
        <v>11</v>
      </c>
      <c r="J55" s="171">
        <f t="shared" si="20"/>
        <v>10</v>
      </c>
      <c r="K55" s="171">
        <f t="shared" si="20"/>
        <v>7</v>
      </c>
      <c r="L55" s="171">
        <f t="shared" si="20"/>
        <v>8</v>
      </c>
      <c r="M55" s="171">
        <f t="shared" si="20"/>
        <v>13</v>
      </c>
      <c r="N55" s="171">
        <f t="shared" si="20"/>
        <v>9</v>
      </c>
      <c r="O55" s="171">
        <f t="shared" si="20"/>
        <v>7</v>
      </c>
      <c r="P55" s="171">
        <f t="shared" si="20"/>
        <v>10</v>
      </c>
      <c r="Q55" s="171">
        <f t="shared" si="20"/>
        <v>9</v>
      </c>
      <c r="R55" s="171">
        <f t="shared" si="20"/>
        <v>5</v>
      </c>
      <c r="S55" s="171">
        <f t="shared" si="20"/>
        <v>9</v>
      </c>
      <c r="T55" s="171">
        <f t="shared" si="20"/>
        <v>8</v>
      </c>
      <c r="U55" s="171">
        <f t="shared" si="20"/>
        <v>7</v>
      </c>
      <c r="V55" s="171">
        <f t="shared" si="20"/>
        <v>10</v>
      </c>
      <c r="W55" s="171">
        <f t="shared" si="20"/>
        <v>10</v>
      </c>
      <c r="X55" s="171">
        <f t="shared" si="20"/>
        <v>9</v>
      </c>
      <c r="Y55" s="171">
        <f t="shared" si="20"/>
        <v>8</v>
      </c>
      <c r="Z55" s="171">
        <f t="shared" si="20"/>
        <v>6</v>
      </c>
      <c r="AA55" s="171">
        <f t="shared" si="20"/>
        <v>6</v>
      </c>
      <c r="AB55" s="171">
        <f t="shared" si="20"/>
        <v>9</v>
      </c>
      <c r="AC55" s="171"/>
      <c r="AD55" s="171"/>
      <c r="AE55" s="171">
        <f t="shared" ref="AE55:AH55" si="21">COUNTA(AE23:AE42,#REF!,AE44:AE45)</f>
        <v>9</v>
      </c>
      <c r="AF55" s="171">
        <f t="shared" si="21"/>
        <v>8</v>
      </c>
      <c r="AG55" s="171">
        <f t="shared" si="21"/>
        <v>7</v>
      </c>
      <c r="AH55" s="171">
        <f t="shared" si="21"/>
        <v>8</v>
      </c>
      <c r="AI55" s="171"/>
      <c r="AJ55" s="171"/>
      <c r="AK55" s="171"/>
      <c r="AL55" s="171"/>
      <c r="AM55" s="172">
        <f t="shared" si="19"/>
        <v>214</v>
      </c>
      <c r="AN55" s="173">
        <f>AN53*AM57</f>
        <v>274250</v>
      </c>
    </row>
    <row r="56" ht="14.25" customHeight="1">
      <c r="A56" s="174"/>
      <c r="B56" s="175"/>
      <c r="C56" s="176"/>
      <c r="D56" s="177" t="s">
        <v>162</v>
      </c>
      <c r="E56" s="177"/>
      <c r="F56" s="177"/>
      <c r="G56" s="178"/>
      <c r="H56" s="179">
        <f t="shared" ref="H56:AB56" si="22">COUNTA(#REF!,#REF!,#REF!,#REF!)</f>
        <v>4</v>
      </c>
      <c r="I56" s="179">
        <f t="shared" si="22"/>
        <v>4</v>
      </c>
      <c r="J56" s="179">
        <f t="shared" si="22"/>
        <v>4</v>
      </c>
      <c r="K56" s="179">
        <f t="shared" si="22"/>
        <v>4</v>
      </c>
      <c r="L56" s="179">
        <f t="shared" si="22"/>
        <v>4</v>
      </c>
      <c r="M56" s="179">
        <f t="shared" si="22"/>
        <v>4</v>
      </c>
      <c r="N56" s="179">
        <f t="shared" si="22"/>
        <v>4</v>
      </c>
      <c r="O56" s="179">
        <f t="shared" si="22"/>
        <v>4</v>
      </c>
      <c r="P56" s="179">
        <f t="shared" si="22"/>
        <v>4</v>
      </c>
      <c r="Q56" s="179">
        <f t="shared" si="22"/>
        <v>4</v>
      </c>
      <c r="R56" s="179">
        <f t="shared" si="22"/>
        <v>4</v>
      </c>
      <c r="S56" s="179">
        <f t="shared" si="22"/>
        <v>4</v>
      </c>
      <c r="T56" s="179">
        <f t="shared" si="22"/>
        <v>4</v>
      </c>
      <c r="U56" s="179">
        <f t="shared" si="22"/>
        <v>4</v>
      </c>
      <c r="V56" s="179">
        <f t="shared" si="22"/>
        <v>4</v>
      </c>
      <c r="W56" s="179">
        <f t="shared" si="22"/>
        <v>4</v>
      </c>
      <c r="X56" s="179">
        <f t="shared" si="22"/>
        <v>4</v>
      </c>
      <c r="Y56" s="179">
        <f t="shared" si="22"/>
        <v>4</v>
      </c>
      <c r="Z56" s="179">
        <f t="shared" si="22"/>
        <v>4</v>
      </c>
      <c r="AA56" s="179">
        <f t="shared" si="22"/>
        <v>4</v>
      </c>
      <c r="AB56" s="179">
        <f t="shared" si="22"/>
        <v>4</v>
      </c>
      <c r="AC56" s="179"/>
      <c r="AD56" s="179"/>
      <c r="AE56" s="179">
        <f t="shared" ref="AE56:AH56" si="23">COUNTA(#REF!,#REF!,#REF!,#REF!)</f>
        <v>4</v>
      </c>
      <c r="AF56" s="179">
        <f t="shared" si="23"/>
        <v>4</v>
      </c>
      <c r="AG56" s="179">
        <f t="shared" si="23"/>
        <v>4</v>
      </c>
      <c r="AH56" s="179">
        <f t="shared" si="23"/>
        <v>4</v>
      </c>
      <c r="AI56" s="179"/>
      <c r="AJ56" s="179"/>
      <c r="AK56" s="179"/>
      <c r="AL56" s="179"/>
      <c r="AM56" s="179">
        <f t="shared" si="19"/>
        <v>100</v>
      </c>
      <c r="AN56" s="180"/>
    </row>
    <row r="57" ht="14.25" customHeight="1">
      <c r="A57" s="146" t="s">
        <v>163</v>
      </c>
      <c r="B57" s="147"/>
      <c r="C57" s="147"/>
      <c r="D57" s="147"/>
      <c r="E57" s="147"/>
      <c r="F57" s="147"/>
      <c r="G57" s="148"/>
      <c r="H57" s="145">
        <f t="shared" ref="H57:AB57" si="24">SUM(H53:H56)</f>
        <v>57</v>
      </c>
      <c r="I57" s="145">
        <f t="shared" si="24"/>
        <v>51</v>
      </c>
      <c r="J57" s="145">
        <f t="shared" si="24"/>
        <v>45</v>
      </c>
      <c r="K57" s="145">
        <f t="shared" si="24"/>
        <v>41</v>
      </c>
      <c r="L57" s="145">
        <f t="shared" si="24"/>
        <v>43</v>
      </c>
      <c r="M57" s="145">
        <f t="shared" si="24"/>
        <v>62</v>
      </c>
      <c r="N57" s="145">
        <f t="shared" si="24"/>
        <v>46</v>
      </c>
      <c r="O57" s="145">
        <f t="shared" si="24"/>
        <v>40</v>
      </c>
      <c r="P57" s="145">
        <f t="shared" si="24"/>
        <v>44</v>
      </c>
      <c r="Q57" s="145">
        <f t="shared" si="24"/>
        <v>43</v>
      </c>
      <c r="R57" s="145">
        <f t="shared" si="24"/>
        <v>32</v>
      </c>
      <c r="S57" s="145">
        <f t="shared" si="24"/>
        <v>46</v>
      </c>
      <c r="T57" s="145">
        <f t="shared" si="24"/>
        <v>44</v>
      </c>
      <c r="U57" s="145">
        <f t="shared" si="24"/>
        <v>40</v>
      </c>
      <c r="V57" s="145">
        <f t="shared" si="24"/>
        <v>50</v>
      </c>
      <c r="W57" s="145">
        <f t="shared" si="24"/>
        <v>48</v>
      </c>
      <c r="X57" s="145">
        <f t="shared" si="24"/>
        <v>42</v>
      </c>
      <c r="Y57" s="145">
        <f t="shared" si="24"/>
        <v>41</v>
      </c>
      <c r="Z57" s="145">
        <f t="shared" si="24"/>
        <v>36</v>
      </c>
      <c r="AA57" s="145">
        <f t="shared" si="24"/>
        <v>35</v>
      </c>
      <c r="AB57" s="145">
        <f t="shared" si="24"/>
        <v>45</v>
      </c>
      <c r="AC57" s="145"/>
      <c r="AD57" s="145"/>
      <c r="AE57" s="145">
        <f t="shared" ref="AE57:AH57" si="25">SUM(AE53:AE56)</f>
        <v>41</v>
      </c>
      <c r="AF57" s="145">
        <f t="shared" si="25"/>
        <v>44</v>
      </c>
      <c r="AG57" s="145">
        <f t="shared" si="25"/>
        <v>40</v>
      </c>
      <c r="AH57" s="145">
        <f t="shared" si="25"/>
        <v>41</v>
      </c>
      <c r="AI57" s="145"/>
      <c r="AJ57" s="145"/>
      <c r="AK57" s="145"/>
      <c r="AL57" s="145"/>
      <c r="AM57" s="145">
        <f>SUM(AM53:AM56)</f>
        <v>1097</v>
      </c>
      <c r="AN57" s="181"/>
    </row>
    <row r="58" ht="14.25" customHeight="1">
      <c r="A58" s="2"/>
      <c r="B58" s="182" t="s">
        <v>164</v>
      </c>
      <c r="C58" s="182"/>
      <c r="D58" s="182"/>
      <c r="E58" s="182"/>
      <c r="F58" s="182"/>
      <c r="G58" s="4"/>
      <c r="H58" s="4"/>
      <c r="I58" s="4"/>
      <c r="J58" s="4"/>
      <c r="K58" s="4"/>
      <c r="L58" s="4"/>
      <c r="M58" s="4"/>
      <c r="N58" s="4"/>
      <c r="O58" s="4"/>
      <c r="P58" s="5"/>
      <c r="Q58" s="5"/>
      <c r="R58" s="4"/>
      <c r="S58" s="4"/>
      <c r="T58" s="4"/>
      <c r="U58" s="4"/>
      <c r="V58" s="5"/>
      <c r="W58" s="5"/>
      <c r="X58" s="5"/>
      <c r="Y58" s="4"/>
      <c r="Z58" s="4"/>
      <c r="AA58" s="4"/>
      <c r="AB58" s="4"/>
      <c r="AC58" s="4"/>
      <c r="AD58" s="4"/>
      <c r="AE58" s="5"/>
      <c r="AF58" s="5"/>
      <c r="AG58" s="5"/>
      <c r="AH58" s="5"/>
      <c r="AI58" s="5"/>
      <c r="AJ58" s="5"/>
      <c r="AK58" s="5"/>
      <c r="AL58" s="5"/>
      <c r="AM58" s="2"/>
      <c r="AN58" s="183"/>
    </row>
    <row r="59" ht="14.25" customHeight="1">
      <c r="A59" s="2"/>
      <c r="B59" s="182" t="s">
        <v>165</v>
      </c>
      <c r="C59" s="2"/>
      <c r="D59" s="2"/>
      <c r="E59" s="2"/>
      <c r="F59" s="2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11"/>
      <c r="AN59" s="2"/>
    </row>
    <row r="60" ht="14.25" customHeight="1">
      <c r="A60" s="2"/>
      <c r="B60" s="182" t="s">
        <v>166</v>
      </c>
      <c r="C60" s="184"/>
      <c r="D60" s="184"/>
      <c r="E60" s="2"/>
      <c r="F60" s="2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11"/>
      <c r="AN60" s="2"/>
    </row>
    <row r="61" ht="14.25" customHeight="1">
      <c r="A61" s="2"/>
      <c r="B61" s="182"/>
      <c r="C61" s="184"/>
      <c r="D61" s="184"/>
      <c r="E61" s="4" t="s">
        <v>167</v>
      </c>
      <c r="H61" s="5"/>
      <c r="I61" s="5"/>
      <c r="J61" s="5"/>
      <c r="K61" s="5"/>
      <c r="L61" s="5" t="s">
        <v>168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11"/>
      <c r="AN61" s="2"/>
    </row>
    <row r="62" ht="14.25" customHeight="1">
      <c r="A62" s="2"/>
      <c r="B62" s="3"/>
      <c r="C62" s="2"/>
      <c r="D62" s="2"/>
      <c r="E62" s="2"/>
      <c r="F62" s="2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11"/>
      <c r="AN62" s="11"/>
    </row>
    <row r="63" ht="14.25" customHeight="1">
      <c r="A63" s="2"/>
      <c r="B63" s="3"/>
      <c r="C63" s="2"/>
      <c r="D63" s="2"/>
      <c r="E63" s="4" t="s">
        <v>169</v>
      </c>
      <c r="H63" s="5"/>
      <c r="I63" s="5"/>
      <c r="J63" s="5"/>
      <c r="K63" s="5"/>
      <c r="L63" s="5"/>
      <c r="M63" s="5"/>
      <c r="N63" s="5"/>
      <c r="O63" s="5" t="s">
        <v>170</v>
      </c>
      <c r="P63" s="5"/>
      <c r="Q63" s="5"/>
      <c r="R63" s="5" t="s">
        <v>171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11"/>
      <c r="AN63" s="11"/>
    </row>
    <row r="64" ht="14.25" customHeight="1">
      <c r="A64" s="2"/>
      <c r="B64" s="3"/>
      <c r="C64" s="2"/>
      <c r="D64" s="2"/>
      <c r="E64" s="2"/>
      <c r="F64" s="2"/>
      <c r="G64" s="185"/>
      <c r="H64" s="5"/>
      <c r="I64" s="5"/>
      <c r="J64" s="5"/>
      <c r="K64" s="5"/>
      <c r="L64" s="5"/>
      <c r="M64" s="5"/>
      <c r="N64" s="5"/>
      <c r="O64" s="5"/>
      <c r="P64" s="5"/>
      <c r="Q64" s="5"/>
      <c r="R64" s="4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11"/>
      <c r="AN64" s="11"/>
    </row>
    <row r="65" ht="30.75" customHeight="1">
      <c r="A65" s="2"/>
      <c r="B65" s="3"/>
      <c r="C65" s="2"/>
      <c r="D65" s="2"/>
      <c r="E65" s="185" t="s">
        <v>172</v>
      </c>
      <c r="H65" s="5"/>
      <c r="I65" s="5"/>
      <c r="J65" s="5"/>
      <c r="K65" s="5"/>
      <c r="L65" s="5"/>
      <c r="M65" s="5"/>
      <c r="N65" s="5"/>
      <c r="O65" s="5" t="s">
        <v>170</v>
      </c>
      <c r="P65" s="5"/>
      <c r="Q65" s="5"/>
      <c r="R65" s="5" t="s">
        <v>171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11"/>
      <c r="AN65" s="11"/>
    </row>
    <row r="66" ht="14.25" customHeight="1">
      <c r="A66" s="11"/>
      <c r="B66" s="3"/>
      <c r="C66" s="2"/>
      <c r="D66" s="186"/>
      <c r="E66" s="2"/>
      <c r="F66" s="2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11"/>
      <c r="AN66" s="11"/>
    </row>
    <row r="67" ht="14.25" customHeight="1">
      <c r="G67" s="187"/>
    </row>
    <row r="68" ht="14.25" customHeight="1">
      <c r="G68" s="187"/>
    </row>
    <row r="69" ht="14.25" customHeight="1">
      <c r="G69" s="187"/>
    </row>
    <row r="70" ht="14.25" customHeight="1">
      <c r="G70" s="187"/>
    </row>
    <row r="71" ht="15.75" customHeight="1">
      <c r="G71" s="187"/>
    </row>
    <row r="72" ht="14.25" customHeight="1">
      <c r="G72" s="187"/>
    </row>
    <row r="73" ht="14.25" customHeight="1">
      <c r="G73" s="187"/>
    </row>
    <row r="74" ht="14.25" customHeight="1">
      <c r="G74" s="187"/>
    </row>
    <row r="75" ht="14.25" customHeight="1">
      <c r="G75" s="187"/>
    </row>
    <row r="76" ht="14.25" customHeight="1">
      <c r="G76" s="187"/>
    </row>
    <row r="77" ht="14.25" customHeight="1">
      <c r="G77" s="187"/>
    </row>
    <row r="78" ht="14.25" customHeight="1">
      <c r="G78" s="187"/>
    </row>
    <row r="79" ht="14.25" customHeight="1">
      <c r="G79" s="187"/>
    </row>
    <row r="80" ht="14.25" customHeight="1">
      <c r="G80" s="187"/>
    </row>
    <row r="81" ht="14.25" customHeight="1">
      <c r="G81" s="187"/>
    </row>
    <row r="82" ht="14.25" customHeight="1">
      <c r="G82" s="187"/>
    </row>
    <row r="83" ht="14.25" customHeight="1">
      <c r="G83" s="187"/>
    </row>
    <row r="84" ht="14.25" customHeight="1">
      <c r="G84" s="187"/>
    </row>
    <row r="85" ht="14.25" customHeight="1">
      <c r="G85" s="187"/>
    </row>
    <row r="86" ht="14.25" customHeight="1">
      <c r="G86" s="187"/>
    </row>
    <row r="87" ht="14.25" customHeight="1">
      <c r="G87" s="187"/>
    </row>
    <row r="88" ht="14.25" customHeight="1">
      <c r="G88" s="187"/>
    </row>
    <row r="89" ht="14.25" customHeight="1">
      <c r="G89" s="187"/>
    </row>
    <row r="90" ht="14.25" customHeight="1">
      <c r="G90" s="187"/>
    </row>
    <row r="91" ht="14.25" customHeight="1">
      <c r="G91" s="187"/>
    </row>
    <row r="92" ht="14.25" customHeight="1">
      <c r="G92" s="187"/>
    </row>
    <row r="93" ht="14.25" customHeight="1">
      <c r="G93" s="187"/>
    </row>
    <row r="94" ht="14.25" customHeight="1">
      <c r="G94" s="187"/>
    </row>
    <row r="95" ht="14.25" customHeight="1">
      <c r="G95" s="187"/>
    </row>
    <row r="96" ht="14.25" customHeight="1">
      <c r="G96" s="187"/>
    </row>
    <row r="97" ht="14.25" customHeight="1">
      <c r="G97" s="187"/>
    </row>
    <row r="98" ht="14.25" customHeight="1">
      <c r="G98" s="187"/>
    </row>
    <row r="99" ht="14.25" customHeight="1">
      <c r="G99" s="187"/>
    </row>
    <row r="100" ht="14.25" customHeight="1">
      <c r="G100" s="187"/>
    </row>
    <row r="101" ht="14.25" customHeight="1">
      <c r="G101" s="187"/>
    </row>
    <row r="102" ht="14.25" customHeight="1">
      <c r="G102" s="187"/>
    </row>
    <row r="103" ht="14.25" customHeight="1">
      <c r="G103" s="187"/>
    </row>
    <row r="104" ht="14.25" customHeight="1">
      <c r="G104" s="187"/>
    </row>
    <row r="105" ht="14.25" customHeight="1">
      <c r="G105" s="187"/>
    </row>
    <row r="106" ht="14.25" customHeight="1">
      <c r="G106" s="187"/>
    </row>
    <row r="107" ht="14.25" customHeight="1">
      <c r="G107" s="187"/>
    </row>
    <row r="108" ht="14.25" customHeight="1">
      <c r="G108" s="187"/>
    </row>
    <row r="109" ht="14.25" customHeight="1">
      <c r="G109" s="187"/>
    </row>
    <row r="110" ht="14.25" customHeight="1">
      <c r="G110" s="187"/>
    </row>
    <row r="111" ht="14.25" customHeight="1">
      <c r="G111" s="187"/>
    </row>
    <row r="112" ht="14.25" customHeight="1">
      <c r="G112" s="187"/>
    </row>
    <row r="113" ht="14.25" customHeight="1">
      <c r="G113" s="187"/>
    </row>
    <row r="114" ht="14.25" customHeight="1">
      <c r="G114" s="187"/>
    </row>
    <row r="115" ht="14.25" customHeight="1">
      <c r="G115" s="187"/>
    </row>
    <row r="116" ht="14.25" customHeight="1">
      <c r="G116" s="187"/>
    </row>
    <row r="117" ht="14.25" customHeight="1">
      <c r="G117" s="187"/>
    </row>
    <row r="118" ht="14.25" customHeight="1">
      <c r="G118" s="187"/>
    </row>
    <row r="119" ht="14.25" customHeight="1">
      <c r="G119" s="187"/>
    </row>
    <row r="120" ht="14.25" customHeight="1">
      <c r="G120" s="187"/>
    </row>
    <row r="121" ht="14.25" customHeight="1">
      <c r="G121" s="187"/>
    </row>
    <row r="122" ht="14.25" customHeight="1">
      <c r="G122" s="187"/>
    </row>
    <row r="123" ht="14.25" customHeight="1">
      <c r="G123" s="187"/>
    </row>
    <row r="124" ht="14.25" customHeight="1">
      <c r="G124" s="187"/>
    </row>
    <row r="125" ht="14.25" customHeight="1">
      <c r="G125" s="187"/>
    </row>
    <row r="126" ht="14.25" customHeight="1">
      <c r="G126" s="187"/>
    </row>
    <row r="127" ht="14.25" customHeight="1">
      <c r="G127" s="187"/>
    </row>
    <row r="128" ht="14.25" customHeight="1">
      <c r="G128" s="187"/>
    </row>
    <row r="129" ht="14.25" customHeight="1">
      <c r="G129" s="187"/>
    </row>
    <row r="130" ht="14.25" customHeight="1">
      <c r="G130" s="187"/>
    </row>
    <row r="131" ht="14.25" customHeight="1">
      <c r="G131" s="187"/>
    </row>
    <row r="132" ht="14.25" customHeight="1">
      <c r="G132" s="187"/>
    </row>
    <row r="133" ht="14.25" customHeight="1">
      <c r="G133" s="187"/>
    </row>
    <row r="134" ht="14.25" customHeight="1">
      <c r="G134" s="187"/>
    </row>
    <row r="135" ht="14.25" customHeight="1">
      <c r="G135" s="187"/>
    </row>
    <row r="136" ht="14.25" customHeight="1">
      <c r="G136" s="187"/>
    </row>
    <row r="137" ht="14.25" customHeight="1">
      <c r="G137" s="187"/>
    </row>
    <row r="138" ht="14.25" customHeight="1">
      <c r="G138" s="187"/>
    </row>
    <row r="139" ht="14.25" customHeight="1">
      <c r="G139" s="187"/>
    </row>
    <row r="140" ht="14.25" customHeight="1">
      <c r="G140" s="187"/>
    </row>
    <row r="141" ht="14.25" customHeight="1">
      <c r="G141" s="187"/>
    </row>
    <row r="142" ht="14.25" customHeight="1">
      <c r="G142" s="187"/>
    </row>
    <row r="143" ht="14.25" customHeight="1">
      <c r="G143" s="187"/>
    </row>
    <row r="144" ht="14.25" customHeight="1">
      <c r="G144" s="187"/>
    </row>
    <row r="145" ht="14.25" customHeight="1">
      <c r="G145" s="187"/>
    </row>
    <row r="146" ht="14.25" customHeight="1">
      <c r="G146" s="187"/>
    </row>
    <row r="147" ht="14.25" customHeight="1">
      <c r="G147" s="187"/>
    </row>
    <row r="148" ht="14.25" customHeight="1">
      <c r="G148" s="187"/>
    </row>
    <row r="149" ht="14.25" customHeight="1">
      <c r="G149" s="187"/>
    </row>
    <row r="150" ht="14.25" customHeight="1">
      <c r="G150" s="187"/>
    </row>
    <row r="151" ht="14.25" customHeight="1">
      <c r="G151" s="187"/>
    </row>
    <row r="152" ht="14.25" customHeight="1">
      <c r="G152" s="187"/>
    </row>
    <row r="153" ht="14.25" customHeight="1">
      <c r="G153" s="187"/>
    </row>
    <row r="154" ht="14.25" customHeight="1">
      <c r="G154" s="187"/>
    </row>
    <row r="155" ht="14.25" customHeight="1">
      <c r="G155" s="187"/>
    </row>
    <row r="156" ht="14.25" customHeight="1">
      <c r="G156" s="187"/>
    </row>
    <row r="157" ht="14.25" customHeight="1">
      <c r="G157" s="187"/>
    </row>
    <row r="158" ht="14.25" customHeight="1">
      <c r="G158" s="187"/>
    </row>
    <row r="159" ht="14.25" customHeight="1">
      <c r="G159" s="187"/>
    </row>
    <row r="160" ht="14.25" customHeight="1">
      <c r="G160" s="187"/>
    </row>
    <row r="161" ht="14.25" customHeight="1">
      <c r="G161" s="187"/>
    </row>
    <row r="162" ht="14.25" customHeight="1">
      <c r="G162" s="187"/>
    </row>
    <row r="163" ht="14.25" customHeight="1">
      <c r="G163" s="187"/>
    </row>
    <row r="164" ht="14.25" customHeight="1">
      <c r="G164" s="187"/>
    </row>
    <row r="165" ht="14.25" customHeight="1">
      <c r="G165" s="187"/>
    </row>
    <row r="166" ht="14.25" customHeight="1">
      <c r="G166" s="187"/>
    </row>
    <row r="167" ht="14.25" customHeight="1">
      <c r="G167" s="187"/>
    </row>
    <row r="168" ht="14.25" customHeight="1">
      <c r="G168" s="187"/>
    </row>
    <row r="169" ht="14.25" customHeight="1">
      <c r="G169" s="187"/>
    </row>
    <row r="170" ht="14.25" customHeight="1">
      <c r="G170" s="187"/>
    </row>
    <row r="171" ht="14.25" customHeight="1">
      <c r="G171" s="187"/>
    </row>
    <row r="172" ht="14.25" customHeight="1">
      <c r="G172" s="187"/>
    </row>
    <row r="173" ht="14.25" customHeight="1">
      <c r="G173" s="187"/>
    </row>
    <row r="174" ht="14.25" customHeight="1">
      <c r="G174" s="187"/>
    </row>
    <row r="175" ht="14.25" customHeight="1">
      <c r="G175" s="187"/>
    </row>
    <row r="176" ht="14.25" customHeight="1">
      <c r="G176" s="187"/>
    </row>
    <row r="177" ht="14.25" customHeight="1">
      <c r="G177" s="187"/>
    </row>
    <row r="178" ht="14.25" customHeight="1">
      <c r="G178" s="187"/>
    </row>
    <row r="179" ht="14.25" customHeight="1">
      <c r="G179" s="187"/>
    </row>
    <row r="180" ht="14.25" customHeight="1">
      <c r="G180" s="187"/>
    </row>
    <row r="181" ht="14.25" customHeight="1">
      <c r="G181" s="187"/>
    </row>
    <row r="182" ht="14.25" customHeight="1">
      <c r="G182" s="187"/>
    </row>
    <row r="183" ht="14.25" customHeight="1">
      <c r="G183" s="187"/>
    </row>
    <row r="184" ht="14.25" customHeight="1">
      <c r="G184" s="187"/>
    </row>
    <row r="185" ht="14.25" customHeight="1">
      <c r="G185" s="187"/>
    </row>
    <row r="186" ht="14.25" customHeight="1">
      <c r="G186" s="187"/>
    </row>
    <row r="187" ht="14.25" customHeight="1">
      <c r="G187" s="187"/>
    </row>
    <row r="188" ht="14.25" customHeight="1">
      <c r="G188" s="187"/>
    </row>
    <row r="189" ht="14.25" customHeight="1">
      <c r="G189" s="187"/>
    </row>
    <row r="190" ht="14.25" customHeight="1">
      <c r="G190" s="187"/>
    </row>
    <row r="191" ht="14.25" customHeight="1">
      <c r="G191" s="187"/>
    </row>
    <row r="192" ht="14.25" customHeight="1">
      <c r="G192" s="187"/>
    </row>
    <row r="193" ht="14.25" customHeight="1">
      <c r="G193" s="187"/>
    </row>
    <row r="194" ht="14.25" customHeight="1">
      <c r="G194" s="187"/>
    </row>
    <row r="195" ht="14.25" customHeight="1">
      <c r="G195" s="187"/>
    </row>
    <row r="196" ht="14.25" customHeight="1">
      <c r="G196" s="187"/>
    </row>
    <row r="197" ht="14.25" customHeight="1">
      <c r="G197" s="187"/>
    </row>
    <row r="198" ht="14.25" customHeight="1">
      <c r="G198" s="187"/>
    </row>
    <row r="199" ht="14.25" customHeight="1">
      <c r="G199" s="187"/>
    </row>
    <row r="200" ht="14.25" customHeight="1">
      <c r="G200" s="187"/>
    </row>
    <row r="201" ht="14.25" customHeight="1">
      <c r="G201" s="187"/>
    </row>
    <row r="202" ht="14.25" customHeight="1">
      <c r="G202" s="187"/>
    </row>
    <row r="203" ht="14.25" customHeight="1">
      <c r="G203" s="187"/>
    </row>
    <row r="204" ht="14.25" customHeight="1">
      <c r="G204" s="187"/>
    </row>
    <row r="205" ht="14.25" customHeight="1">
      <c r="G205" s="187"/>
    </row>
    <row r="206" ht="14.25" customHeight="1">
      <c r="G206" s="187"/>
    </row>
    <row r="207" ht="14.25" customHeight="1">
      <c r="G207" s="187"/>
    </row>
    <row r="208" ht="14.25" customHeight="1">
      <c r="G208" s="187"/>
    </row>
    <row r="209" ht="14.25" customHeight="1">
      <c r="G209" s="187"/>
    </row>
    <row r="210" ht="14.25" customHeight="1">
      <c r="G210" s="187"/>
    </row>
    <row r="211" ht="14.25" customHeight="1">
      <c r="G211" s="187"/>
    </row>
    <row r="212" ht="14.25" customHeight="1">
      <c r="G212" s="187"/>
    </row>
    <row r="213" ht="14.25" customHeight="1">
      <c r="G213" s="187"/>
    </row>
    <row r="214" ht="14.25" customHeight="1">
      <c r="G214" s="187"/>
    </row>
    <row r="215" ht="14.25" customHeight="1">
      <c r="G215" s="187"/>
    </row>
    <row r="216" ht="14.25" customHeight="1">
      <c r="G216" s="187"/>
    </row>
    <row r="217" ht="14.25" customHeight="1">
      <c r="G217" s="187"/>
    </row>
    <row r="218" ht="14.25" customHeight="1">
      <c r="G218" s="187"/>
    </row>
    <row r="219" ht="14.25" customHeight="1">
      <c r="G219" s="187"/>
    </row>
    <row r="220" ht="14.25" customHeight="1">
      <c r="G220" s="187"/>
    </row>
    <row r="221" ht="14.25" customHeight="1">
      <c r="G221" s="187"/>
    </row>
    <row r="222" ht="14.25" customHeight="1">
      <c r="G222" s="187"/>
    </row>
    <row r="223" ht="14.25" customHeight="1">
      <c r="G223" s="187"/>
    </row>
    <row r="224" ht="14.25" customHeight="1">
      <c r="G224" s="187"/>
    </row>
    <row r="225" ht="14.25" customHeight="1">
      <c r="G225" s="187"/>
    </row>
    <row r="226" ht="14.25" customHeight="1">
      <c r="G226" s="187"/>
    </row>
    <row r="227" ht="14.25" customHeight="1">
      <c r="G227" s="187"/>
    </row>
    <row r="228" ht="14.25" customHeight="1">
      <c r="G228" s="187"/>
    </row>
    <row r="229" ht="14.25" customHeight="1">
      <c r="G229" s="187"/>
    </row>
    <row r="230" ht="14.25" customHeight="1">
      <c r="G230" s="187"/>
    </row>
    <row r="231" ht="14.25" customHeight="1">
      <c r="G231" s="187"/>
    </row>
    <row r="232" ht="14.25" customHeight="1">
      <c r="G232" s="187"/>
    </row>
    <row r="233" ht="14.25" customHeight="1">
      <c r="G233" s="187"/>
    </row>
    <row r="234" ht="14.25" customHeight="1">
      <c r="G234" s="187"/>
    </row>
    <row r="235" ht="14.25" customHeight="1">
      <c r="G235" s="187"/>
    </row>
    <row r="236" ht="14.25" customHeight="1">
      <c r="G236" s="187"/>
    </row>
    <row r="237" ht="14.25" customHeight="1">
      <c r="G237" s="187"/>
    </row>
    <row r="238" ht="14.25" customHeight="1">
      <c r="G238" s="187"/>
    </row>
    <row r="239" ht="14.25" customHeight="1">
      <c r="G239" s="187"/>
    </row>
    <row r="240" ht="14.25" customHeight="1">
      <c r="G240" s="187"/>
    </row>
    <row r="241" ht="14.25" customHeight="1">
      <c r="G241" s="187"/>
    </row>
    <row r="242" ht="14.25" customHeight="1">
      <c r="G242" s="187"/>
    </row>
    <row r="243" ht="14.25" customHeight="1">
      <c r="G243" s="187"/>
    </row>
    <row r="244" ht="14.25" customHeight="1">
      <c r="G244" s="187"/>
    </row>
    <row r="245" ht="14.25" customHeight="1">
      <c r="G245" s="187"/>
    </row>
    <row r="246" ht="14.25" customHeight="1">
      <c r="G246" s="187"/>
    </row>
    <row r="247" ht="14.25" customHeight="1">
      <c r="G247" s="187"/>
    </row>
    <row r="248" ht="14.25" customHeight="1">
      <c r="G248" s="187"/>
    </row>
    <row r="249" ht="14.25" customHeight="1">
      <c r="G249" s="187"/>
    </row>
    <row r="250" ht="14.25" customHeight="1">
      <c r="G250" s="187"/>
    </row>
    <row r="251" ht="14.25" customHeight="1">
      <c r="G251" s="187"/>
    </row>
    <row r="252" ht="14.25" customHeight="1">
      <c r="G252" s="187"/>
    </row>
    <row r="253" ht="14.25" customHeight="1">
      <c r="G253" s="187"/>
    </row>
    <row r="254" ht="14.25" customHeight="1">
      <c r="G254" s="187"/>
    </row>
    <row r="255" ht="14.25" customHeight="1">
      <c r="G255" s="187"/>
    </row>
    <row r="256" ht="14.25" customHeight="1">
      <c r="G256" s="187"/>
    </row>
    <row r="257" ht="14.25" customHeight="1">
      <c r="G257" s="187"/>
    </row>
    <row r="258" ht="14.25" customHeight="1">
      <c r="G258" s="187"/>
    </row>
    <row r="259" ht="14.25" customHeight="1">
      <c r="G259" s="187"/>
    </row>
    <row r="260" ht="14.25" customHeight="1">
      <c r="G260" s="187"/>
    </row>
    <row r="261" ht="14.25" customHeight="1">
      <c r="G261" s="187"/>
    </row>
    <row r="262" ht="14.25" customHeight="1">
      <c r="G262" s="187"/>
    </row>
    <row r="263" ht="14.25" customHeight="1">
      <c r="G263" s="187"/>
    </row>
    <row r="264" ht="14.25" customHeight="1">
      <c r="G264" s="187"/>
    </row>
    <row r="265" ht="14.25" customHeight="1">
      <c r="G265" s="187"/>
    </row>
    <row r="266" ht="14.25" customHeight="1">
      <c r="G266" s="187"/>
    </row>
    <row r="267" ht="14.25" customHeight="1">
      <c r="G267" s="187"/>
    </row>
    <row r="268" ht="14.25" customHeight="1">
      <c r="G268" s="187"/>
    </row>
    <row r="269" ht="14.25" customHeight="1">
      <c r="G269" s="187"/>
    </row>
    <row r="270" ht="14.25" customHeight="1">
      <c r="G270" s="187"/>
    </row>
    <row r="271" ht="14.25" customHeight="1">
      <c r="G271" s="187"/>
    </row>
    <row r="272" ht="14.25" customHeight="1">
      <c r="G272" s="187"/>
    </row>
    <row r="273" ht="14.25" customHeight="1">
      <c r="G273" s="187"/>
    </row>
    <row r="274" ht="14.25" customHeight="1">
      <c r="G274" s="187"/>
    </row>
    <row r="275" ht="14.25" customHeight="1">
      <c r="G275" s="187"/>
    </row>
    <row r="276" ht="14.25" customHeight="1">
      <c r="G276" s="187"/>
    </row>
    <row r="277" ht="14.25" customHeight="1">
      <c r="G277" s="187"/>
    </row>
    <row r="278" ht="14.25" customHeight="1">
      <c r="G278" s="187"/>
    </row>
    <row r="279" ht="14.25" customHeight="1">
      <c r="G279" s="187"/>
    </row>
    <row r="280" ht="14.25" customHeight="1">
      <c r="G280" s="187"/>
    </row>
    <row r="281" ht="14.25" customHeight="1">
      <c r="G281" s="187"/>
    </row>
    <row r="282" ht="14.25" customHeight="1">
      <c r="G282" s="187"/>
    </row>
    <row r="283" ht="14.25" customHeight="1">
      <c r="G283" s="187"/>
    </row>
    <row r="284" ht="14.25" customHeight="1">
      <c r="G284" s="187"/>
    </row>
    <row r="285" ht="14.25" customHeight="1">
      <c r="G285" s="187"/>
    </row>
    <row r="286" ht="14.25" customHeight="1">
      <c r="G286" s="187"/>
    </row>
    <row r="287" ht="14.25" customHeight="1">
      <c r="G287" s="187"/>
    </row>
    <row r="288" ht="14.25" customHeight="1">
      <c r="G288" s="187"/>
    </row>
    <row r="289" ht="14.25" customHeight="1">
      <c r="G289" s="187"/>
    </row>
    <row r="290" ht="14.25" customHeight="1">
      <c r="G290" s="187"/>
    </row>
    <row r="291" ht="14.25" customHeight="1">
      <c r="G291" s="187"/>
    </row>
    <row r="292" ht="14.25" customHeight="1">
      <c r="G292" s="187"/>
    </row>
    <row r="293" ht="14.25" customHeight="1">
      <c r="G293" s="187"/>
    </row>
    <row r="294" ht="14.25" customHeight="1">
      <c r="G294" s="187"/>
    </row>
    <row r="295" ht="14.25" customHeight="1">
      <c r="G295" s="187"/>
    </row>
    <row r="296" ht="14.25" customHeight="1">
      <c r="G296" s="187"/>
    </row>
    <row r="297" ht="14.25" customHeight="1">
      <c r="G297" s="187"/>
    </row>
    <row r="298" ht="14.25" customHeight="1">
      <c r="G298" s="187"/>
    </row>
    <row r="299" ht="14.25" customHeight="1">
      <c r="G299" s="187"/>
    </row>
    <row r="300" ht="14.25" customHeight="1">
      <c r="G300" s="187"/>
    </row>
    <row r="301" ht="14.25" customHeight="1">
      <c r="G301" s="187"/>
    </row>
    <row r="302" ht="14.25" customHeight="1">
      <c r="G302" s="187"/>
    </row>
    <row r="303" ht="14.25" customHeight="1">
      <c r="G303" s="187"/>
    </row>
    <row r="304" ht="14.25" customHeight="1">
      <c r="G304" s="187"/>
    </row>
    <row r="305" ht="14.25" customHeight="1">
      <c r="G305" s="187"/>
    </row>
    <row r="306" ht="14.25" customHeight="1">
      <c r="G306" s="187"/>
    </row>
    <row r="307" ht="14.25" customHeight="1">
      <c r="G307" s="187"/>
    </row>
    <row r="308" ht="14.25" customHeight="1">
      <c r="G308" s="187"/>
    </row>
    <row r="309" ht="14.25" customHeight="1">
      <c r="G309" s="187"/>
    </row>
    <row r="310" ht="14.25" customHeight="1">
      <c r="G310" s="187"/>
    </row>
    <row r="311" ht="14.25" customHeight="1">
      <c r="G311" s="187"/>
    </row>
    <row r="312" ht="14.25" customHeight="1">
      <c r="G312" s="187"/>
    </row>
    <row r="313" ht="14.25" customHeight="1">
      <c r="G313" s="187"/>
    </row>
    <row r="314" ht="14.25" customHeight="1">
      <c r="G314" s="187"/>
    </row>
    <row r="315" ht="14.25" customHeight="1">
      <c r="G315" s="187"/>
    </row>
    <row r="316" ht="14.25" customHeight="1">
      <c r="G316" s="187"/>
    </row>
    <row r="317" ht="14.25" customHeight="1">
      <c r="G317" s="187"/>
    </row>
    <row r="318" ht="14.25" customHeight="1">
      <c r="G318" s="187"/>
    </row>
    <row r="319" ht="14.25" customHeight="1">
      <c r="G319" s="187"/>
    </row>
    <row r="320" ht="14.25" customHeight="1">
      <c r="G320" s="187"/>
    </row>
    <row r="321" ht="14.25" customHeight="1">
      <c r="G321" s="187"/>
    </row>
    <row r="322" ht="14.25" customHeight="1">
      <c r="G322" s="187"/>
    </row>
    <row r="323" ht="14.25" customHeight="1">
      <c r="G323" s="187"/>
    </row>
    <row r="324" ht="14.25" customHeight="1">
      <c r="G324" s="187"/>
    </row>
    <row r="325" ht="14.25" customHeight="1">
      <c r="G325" s="187"/>
    </row>
    <row r="326" ht="14.25" customHeight="1">
      <c r="G326" s="187"/>
    </row>
    <row r="327" ht="14.25" customHeight="1">
      <c r="G327" s="187"/>
    </row>
    <row r="328" ht="14.25" customHeight="1">
      <c r="G328" s="187"/>
    </row>
    <row r="329" ht="14.25" customHeight="1">
      <c r="G329" s="187"/>
    </row>
    <row r="330" ht="14.25" customHeight="1">
      <c r="G330" s="187"/>
    </row>
    <row r="331" ht="14.25" customHeight="1">
      <c r="G331" s="187"/>
    </row>
    <row r="332" ht="14.25" customHeight="1">
      <c r="G332" s="187"/>
    </row>
    <row r="333" ht="14.25" customHeight="1">
      <c r="G333" s="187"/>
    </row>
    <row r="334" ht="14.25" customHeight="1">
      <c r="G334" s="187"/>
    </row>
    <row r="335" ht="14.25" customHeight="1">
      <c r="G335" s="187"/>
    </row>
    <row r="336" ht="14.25" customHeight="1">
      <c r="G336" s="187"/>
    </row>
    <row r="337" ht="14.25" customHeight="1">
      <c r="G337" s="187"/>
    </row>
    <row r="338" ht="14.25" customHeight="1">
      <c r="G338" s="187"/>
    </row>
    <row r="339" ht="14.25" customHeight="1">
      <c r="G339" s="187"/>
    </row>
    <row r="340" ht="14.25" customHeight="1">
      <c r="G340" s="187"/>
    </row>
    <row r="341" ht="14.25" customHeight="1">
      <c r="G341" s="187"/>
    </row>
    <row r="342" ht="14.25" customHeight="1">
      <c r="G342" s="187"/>
    </row>
    <row r="343" ht="14.25" customHeight="1">
      <c r="G343" s="187"/>
    </row>
    <row r="344" ht="14.25" customHeight="1">
      <c r="G344" s="187"/>
    </row>
    <row r="345" ht="14.25" customHeight="1">
      <c r="G345" s="187"/>
    </row>
    <row r="346" ht="14.25" customHeight="1">
      <c r="G346" s="187"/>
    </row>
    <row r="347" ht="14.25" customHeight="1">
      <c r="G347" s="187"/>
    </row>
    <row r="348" ht="14.25" customHeight="1">
      <c r="G348" s="187"/>
    </row>
    <row r="349" ht="14.25" customHeight="1">
      <c r="G349" s="187"/>
    </row>
    <row r="350" ht="14.25" customHeight="1">
      <c r="G350" s="187"/>
    </row>
    <row r="351" ht="14.25" customHeight="1">
      <c r="G351" s="187"/>
    </row>
    <row r="352" ht="14.25" customHeight="1">
      <c r="G352" s="187"/>
    </row>
    <row r="353" ht="14.25" customHeight="1">
      <c r="G353" s="187"/>
    </row>
    <row r="354" ht="14.25" customHeight="1">
      <c r="G354" s="187"/>
    </row>
    <row r="355" ht="14.25" customHeight="1">
      <c r="G355" s="187"/>
    </row>
    <row r="356" ht="14.25" customHeight="1">
      <c r="G356" s="187"/>
    </row>
    <row r="357" ht="14.25" customHeight="1">
      <c r="G357" s="187"/>
    </row>
    <row r="358" ht="14.25" customHeight="1">
      <c r="G358" s="187"/>
    </row>
    <row r="359" ht="14.25" customHeight="1">
      <c r="G359" s="187"/>
    </row>
    <row r="360" ht="14.25" customHeight="1">
      <c r="G360" s="187"/>
    </row>
    <row r="361" ht="14.25" customHeight="1">
      <c r="G361" s="187"/>
    </row>
    <row r="362" ht="14.25" customHeight="1">
      <c r="G362" s="187"/>
    </row>
    <row r="363" ht="14.25" customHeight="1">
      <c r="G363" s="187"/>
    </row>
    <row r="364" ht="14.25" customHeight="1">
      <c r="G364" s="187"/>
    </row>
    <row r="365" ht="14.25" customHeight="1">
      <c r="G365" s="187"/>
    </row>
    <row r="366" ht="14.25" customHeight="1">
      <c r="G366" s="187"/>
    </row>
    <row r="367" ht="14.25" customHeight="1">
      <c r="G367" s="187"/>
    </row>
    <row r="368" ht="14.25" customHeight="1">
      <c r="G368" s="187"/>
    </row>
    <row r="369" ht="14.25" customHeight="1">
      <c r="G369" s="187"/>
    </row>
    <row r="370" ht="14.25" customHeight="1">
      <c r="G370" s="187"/>
    </row>
    <row r="371" ht="14.25" customHeight="1">
      <c r="G371" s="187"/>
    </row>
    <row r="372" ht="14.25" customHeight="1">
      <c r="G372" s="187"/>
    </row>
    <row r="373" ht="14.25" customHeight="1">
      <c r="G373" s="187"/>
    </row>
    <row r="374" ht="14.25" customHeight="1">
      <c r="G374" s="187"/>
    </row>
    <row r="375" ht="14.25" customHeight="1">
      <c r="G375" s="187"/>
    </row>
    <row r="376" ht="14.25" customHeight="1">
      <c r="G376" s="187"/>
    </row>
    <row r="377" ht="14.25" customHeight="1">
      <c r="G377" s="187"/>
    </row>
    <row r="378" ht="14.25" customHeight="1">
      <c r="G378" s="187"/>
    </row>
    <row r="379" ht="14.25" customHeight="1">
      <c r="G379" s="187"/>
    </row>
    <row r="380" ht="14.25" customHeight="1">
      <c r="G380" s="187"/>
    </row>
    <row r="381" ht="14.25" customHeight="1">
      <c r="G381" s="187"/>
    </row>
    <row r="382" ht="14.25" customHeight="1">
      <c r="G382" s="187"/>
    </row>
    <row r="383" ht="14.25" customHeight="1">
      <c r="G383" s="187"/>
    </row>
    <row r="384" ht="14.25" customHeight="1">
      <c r="G384" s="187"/>
    </row>
    <row r="385" ht="14.25" customHeight="1">
      <c r="G385" s="187"/>
    </row>
    <row r="386" ht="14.25" customHeight="1">
      <c r="G386" s="187"/>
    </row>
    <row r="387" ht="14.25" customHeight="1">
      <c r="G387" s="187"/>
    </row>
    <row r="388" ht="14.25" customHeight="1">
      <c r="G388" s="187"/>
    </row>
    <row r="389" ht="14.25" customHeight="1">
      <c r="G389" s="187"/>
    </row>
    <row r="390" ht="14.25" customHeight="1">
      <c r="G390" s="187"/>
    </row>
    <row r="391" ht="14.25" customHeight="1">
      <c r="G391" s="187"/>
    </row>
    <row r="392" ht="14.25" customHeight="1">
      <c r="G392" s="187"/>
    </row>
    <row r="393" ht="14.25" customHeight="1">
      <c r="G393" s="187"/>
    </row>
    <row r="394" ht="14.25" customHeight="1">
      <c r="G394" s="187"/>
    </row>
    <row r="395" ht="14.25" customHeight="1">
      <c r="G395" s="187"/>
    </row>
    <row r="396" ht="14.25" customHeight="1">
      <c r="G396" s="187"/>
    </row>
    <row r="397" ht="14.25" customHeight="1">
      <c r="G397" s="187"/>
    </row>
    <row r="398" ht="14.25" customHeight="1">
      <c r="G398" s="187"/>
    </row>
    <row r="399" ht="14.25" customHeight="1">
      <c r="G399" s="187"/>
    </row>
    <row r="400" ht="14.25" customHeight="1">
      <c r="G400" s="187"/>
    </row>
    <row r="401" ht="14.25" customHeight="1">
      <c r="G401" s="187"/>
    </row>
    <row r="402" ht="14.25" customHeight="1">
      <c r="G402" s="187"/>
    </row>
    <row r="403" ht="14.25" customHeight="1">
      <c r="G403" s="187"/>
    </row>
    <row r="404" ht="14.25" customHeight="1">
      <c r="G404" s="187"/>
    </row>
    <row r="405" ht="14.25" customHeight="1">
      <c r="G405" s="187"/>
    </row>
    <row r="406" ht="14.25" customHeight="1">
      <c r="G406" s="187"/>
    </row>
    <row r="407" ht="14.25" customHeight="1">
      <c r="G407" s="187"/>
    </row>
    <row r="408" ht="14.25" customHeight="1">
      <c r="G408" s="187"/>
    </row>
    <row r="409" ht="14.25" customHeight="1">
      <c r="G409" s="187"/>
    </row>
    <row r="410" ht="14.25" customHeight="1">
      <c r="G410" s="187"/>
    </row>
    <row r="411" ht="14.25" customHeight="1">
      <c r="G411" s="187"/>
    </row>
    <row r="412" ht="14.25" customHeight="1">
      <c r="G412" s="187"/>
    </row>
    <row r="413" ht="14.25" customHeight="1">
      <c r="G413" s="187"/>
    </row>
    <row r="414" ht="14.25" customHeight="1">
      <c r="G414" s="187"/>
    </row>
    <row r="415" ht="14.25" customHeight="1">
      <c r="G415" s="187"/>
    </row>
    <row r="416" ht="14.25" customHeight="1">
      <c r="G416" s="187"/>
    </row>
    <row r="417" ht="14.25" customHeight="1">
      <c r="G417" s="187"/>
    </row>
    <row r="418" ht="14.25" customHeight="1">
      <c r="G418" s="187"/>
    </row>
    <row r="419" ht="14.25" customHeight="1">
      <c r="G419" s="187"/>
    </row>
    <row r="420" ht="14.25" customHeight="1">
      <c r="G420" s="187"/>
    </row>
    <row r="421" ht="14.25" customHeight="1">
      <c r="G421" s="187"/>
    </row>
    <row r="422" ht="14.25" customHeight="1">
      <c r="G422" s="187"/>
    </row>
    <row r="423" ht="14.25" customHeight="1">
      <c r="G423" s="187"/>
    </row>
    <row r="424" ht="14.25" customHeight="1">
      <c r="G424" s="187"/>
    </row>
    <row r="425" ht="14.25" customHeight="1">
      <c r="G425" s="187"/>
    </row>
    <row r="426" ht="14.25" customHeight="1">
      <c r="G426" s="187"/>
    </row>
    <row r="427" ht="14.25" customHeight="1">
      <c r="G427" s="187"/>
    </row>
    <row r="428" ht="14.25" customHeight="1">
      <c r="G428" s="187"/>
    </row>
    <row r="429" ht="14.25" customHeight="1">
      <c r="G429" s="187"/>
    </row>
    <row r="430" ht="14.25" customHeight="1">
      <c r="G430" s="187"/>
    </row>
    <row r="431" ht="14.25" customHeight="1">
      <c r="G431" s="187"/>
    </row>
    <row r="432" ht="14.25" customHeight="1">
      <c r="G432" s="187"/>
    </row>
    <row r="433" ht="14.25" customHeight="1">
      <c r="G433" s="187"/>
    </row>
    <row r="434" ht="14.25" customHeight="1">
      <c r="G434" s="187"/>
    </row>
    <row r="435" ht="14.25" customHeight="1">
      <c r="G435" s="187"/>
    </row>
    <row r="436" ht="14.25" customHeight="1">
      <c r="G436" s="187"/>
    </row>
    <row r="437" ht="14.25" customHeight="1">
      <c r="G437" s="187"/>
    </row>
    <row r="438" ht="14.25" customHeight="1">
      <c r="G438" s="187"/>
    </row>
    <row r="439" ht="14.25" customHeight="1">
      <c r="G439" s="187"/>
    </row>
    <row r="440" ht="14.25" customHeight="1">
      <c r="G440" s="187"/>
    </row>
    <row r="441" ht="14.25" customHeight="1">
      <c r="G441" s="187"/>
    </row>
    <row r="442" ht="14.25" customHeight="1">
      <c r="G442" s="187"/>
    </row>
    <row r="443" ht="14.25" customHeight="1">
      <c r="G443" s="187"/>
    </row>
    <row r="444" ht="14.25" customHeight="1">
      <c r="G444" s="187"/>
    </row>
    <row r="445" ht="14.25" customHeight="1">
      <c r="G445" s="187"/>
    </row>
    <row r="446" ht="14.25" customHeight="1">
      <c r="G446" s="187"/>
    </row>
    <row r="447" ht="14.25" customHeight="1">
      <c r="G447" s="187"/>
    </row>
    <row r="448" ht="14.25" customHeight="1">
      <c r="G448" s="187"/>
    </row>
    <row r="449" ht="14.25" customHeight="1">
      <c r="G449" s="187"/>
    </row>
    <row r="450" ht="14.25" customHeight="1">
      <c r="G450" s="187"/>
    </row>
    <row r="451" ht="14.25" customHeight="1">
      <c r="G451" s="187"/>
    </row>
    <row r="452" ht="14.25" customHeight="1">
      <c r="G452" s="187"/>
    </row>
    <row r="453" ht="14.25" customHeight="1">
      <c r="G453" s="187"/>
    </row>
    <row r="454" ht="14.25" customHeight="1">
      <c r="G454" s="187"/>
    </row>
    <row r="455" ht="14.25" customHeight="1">
      <c r="G455" s="187"/>
    </row>
    <row r="456" ht="14.25" customHeight="1">
      <c r="G456" s="187"/>
    </row>
    <row r="457" ht="14.25" customHeight="1">
      <c r="G457" s="187"/>
    </row>
    <row r="458" ht="14.25" customHeight="1">
      <c r="G458" s="187"/>
    </row>
    <row r="459" ht="14.25" customHeight="1">
      <c r="G459" s="187"/>
    </row>
    <row r="460" ht="14.25" customHeight="1">
      <c r="G460" s="187"/>
    </row>
    <row r="461" ht="14.25" customHeight="1">
      <c r="G461" s="187"/>
    </row>
    <row r="462" ht="14.25" customHeight="1">
      <c r="G462" s="187"/>
    </row>
    <row r="463" ht="14.25" customHeight="1">
      <c r="G463" s="187"/>
    </row>
    <row r="464" ht="14.25" customHeight="1">
      <c r="G464" s="187"/>
    </row>
    <row r="465" ht="14.25" customHeight="1">
      <c r="G465" s="187"/>
    </row>
    <row r="466" ht="14.25" customHeight="1">
      <c r="G466" s="187"/>
    </row>
    <row r="467" ht="14.25" customHeight="1">
      <c r="G467" s="187"/>
    </row>
    <row r="468" ht="14.25" customHeight="1">
      <c r="G468" s="187"/>
    </row>
    <row r="469" ht="14.25" customHeight="1">
      <c r="G469" s="187"/>
    </row>
    <row r="470" ht="14.25" customHeight="1">
      <c r="G470" s="187"/>
    </row>
    <row r="471" ht="14.25" customHeight="1">
      <c r="G471" s="187"/>
    </row>
    <row r="472" ht="14.25" customHeight="1">
      <c r="G472" s="187"/>
    </row>
    <row r="473" ht="14.25" customHeight="1">
      <c r="G473" s="187"/>
    </row>
    <row r="474" ht="14.25" customHeight="1">
      <c r="G474" s="187"/>
    </row>
    <row r="475" ht="14.25" customHeight="1">
      <c r="G475" s="187"/>
    </row>
    <row r="476" ht="14.25" customHeight="1">
      <c r="G476" s="187"/>
    </row>
    <row r="477" ht="14.25" customHeight="1">
      <c r="G477" s="187"/>
    </row>
    <row r="478" ht="14.25" customHeight="1">
      <c r="G478" s="187"/>
    </row>
    <row r="479" ht="14.25" customHeight="1">
      <c r="G479" s="187"/>
    </row>
    <row r="480" ht="14.25" customHeight="1">
      <c r="G480" s="187"/>
    </row>
    <row r="481" ht="14.25" customHeight="1">
      <c r="G481" s="187"/>
    </row>
    <row r="482" ht="14.25" customHeight="1">
      <c r="G482" s="187"/>
    </row>
    <row r="483" ht="14.25" customHeight="1">
      <c r="G483" s="187"/>
    </row>
    <row r="484" ht="14.25" customHeight="1">
      <c r="G484" s="187"/>
    </row>
    <row r="485" ht="14.25" customHeight="1">
      <c r="G485" s="187"/>
    </row>
    <row r="486" ht="14.25" customHeight="1">
      <c r="G486" s="187"/>
    </row>
    <row r="487" ht="14.25" customHeight="1">
      <c r="G487" s="187"/>
    </row>
    <row r="488" ht="14.25" customHeight="1">
      <c r="G488" s="187"/>
    </row>
    <row r="489" ht="14.25" customHeight="1">
      <c r="G489" s="187"/>
    </row>
    <row r="490" ht="14.25" customHeight="1">
      <c r="G490" s="187"/>
    </row>
    <row r="491" ht="14.25" customHeight="1">
      <c r="G491" s="187"/>
    </row>
    <row r="492" ht="14.25" customHeight="1">
      <c r="G492" s="187"/>
    </row>
    <row r="493" ht="14.25" customHeight="1">
      <c r="G493" s="187"/>
    </row>
    <row r="494" ht="14.25" customHeight="1">
      <c r="G494" s="187"/>
    </row>
    <row r="495" ht="14.25" customHeight="1">
      <c r="G495" s="187"/>
    </row>
    <row r="496" ht="14.25" customHeight="1">
      <c r="G496" s="187"/>
    </row>
    <row r="497" ht="14.25" customHeight="1">
      <c r="G497" s="187"/>
    </row>
    <row r="498" ht="14.25" customHeight="1">
      <c r="G498" s="187"/>
    </row>
    <row r="499" ht="14.25" customHeight="1">
      <c r="G499" s="187"/>
    </row>
    <row r="500" ht="14.25" customHeight="1">
      <c r="G500" s="187"/>
    </row>
    <row r="501" ht="14.25" customHeight="1">
      <c r="G501" s="187"/>
    </row>
    <row r="502" ht="14.25" customHeight="1">
      <c r="G502" s="187"/>
    </row>
    <row r="503" ht="14.25" customHeight="1">
      <c r="G503" s="187"/>
    </row>
    <row r="504" ht="14.25" customHeight="1">
      <c r="G504" s="187"/>
    </row>
    <row r="505" ht="14.25" customHeight="1">
      <c r="G505" s="187"/>
    </row>
    <row r="506" ht="14.25" customHeight="1">
      <c r="G506" s="187"/>
    </row>
    <row r="507" ht="14.25" customHeight="1">
      <c r="G507" s="187"/>
    </row>
    <row r="508" ht="14.25" customHeight="1">
      <c r="G508" s="187"/>
    </row>
    <row r="509" ht="14.25" customHeight="1">
      <c r="G509" s="187"/>
    </row>
    <row r="510" ht="14.25" customHeight="1">
      <c r="G510" s="187"/>
    </row>
    <row r="511" ht="14.25" customHeight="1">
      <c r="G511" s="187"/>
    </row>
    <row r="512" ht="14.25" customHeight="1">
      <c r="G512" s="187"/>
    </row>
    <row r="513" ht="14.25" customHeight="1">
      <c r="G513" s="187"/>
    </row>
    <row r="514" ht="14.25" customHeight="1">
      <c r="G514" s="187"/>
    </row>
    <row r="515" ht="14.25" customHeight="1">
      <c r="G515" s="187"/>
    </row>
    <row r="516" ht="14.25" customHeight="1">
      <c r="G516" s="187"/>
    </row>
    <row r="517" ht="14.25" customHeight="1">
      <c r="G517" s="187"/>
    </row>
    <row r="518" ht="14.25" customHeight="1">
      <c r="G518" s="187"/>
    </row>
    <row r="519" ht="14.25" customHeight="1">
      <c r="G519" s="187"/>
    </row>
    <row r="520" ht="14.25" customHeight="1">
      <c r="G520" s="187"/>
    </row>
    <row r="521" ht="14.25" customHeight="1">
      <c r="G521" s="187"/>
    </row>
    <row r="522" ht="14.25" customHeight="1">
      <c r="G522" s="187"/>
    </row>
    <row r="523" ht="14.25" customHeight="1">
      <c r="G523" s="187"/>
    </row>
    <row r="524" ht="14.25" customHeight="1">
      <c r="G524" s="187"/>
    </row>
    <row r="525" ht="14.25" customHeight="1">
      <c r="G525" s="187"/>
    </row>
    <row r="526" ht="14.25" customHeight="1">
      <c r="G526" s="187"/>
    </row>
    <row r="527" ht="14.25" customHeight="1">
      <c r="G527" s="187"/>
    </row>
    <row r="528" ht="14.25" customHeight="1">
      <c r="G528" s="187"/>
    </row>
    <row r="529" ht="14.25" customHeight="1">
      <c r="G529" s="187"/>
    </row>
    <row r="530" ht="14.25" customHeight="1">
      <c r="G530" s="187"/>
    </row>
    <row r="531" ht="14.25" customHeight="1">
      <c r="G531" s="187"/>
    </row>
    <row r="532" ht="14.25" customHeight="1">
      <c r="G532" s="187"/>
    </row>
    <row r="533" ht="14.25" customHeight="1">
      <c r="G533" s="187"/>
    </row>
    <row r="534" ht="14.25" customHeight="1">
      <c r="G534" s="187"/>
    </row>
    <row r="535" ht="14.25" customHeight="1">
      <c r="G535" s="187"/>
    </row>
    <row r="536" ht="14.25" customHeight="1">
      <c r="G536" s="187"/>
    </row>
    <row r="537" ht="14.25" customHeight="1">
      <c r="G537" s="187"/>
    </row>
    <row r="538" ht="14.25" customHeight="1">
      <c r="G538" s="187"/>
    </row>
    <row r="539" ht="14.25" customHeight="1">
      <c r="G539" s="187"/>
    </row>
    <row r="540" ht="14.25" customHeight="1">
      <c r="G540" s="187"/>
    </row>
    <row r="541" ht="14.25" customHeight="1">
      <c r="G541" s="187"/>
    </row>
    <row r="542" ht="14.25" customHeight="1">
      <c r="G542" s="187"/>
    </row>
    <row r="543" ht="14.25" customHeight="1">
      <c r="G543" s="187"/>
    </row>
    <row r="544" ht="14.25" customHeight="1">
      <c r="G544" s="187"/>
    </row>
    <row r="545" ht="14.25" customHeight="1">
      <c r="G545" s="187"/>
    </row>
    <row r="546" ht="14.25" customHeight="1">
      <c r="G546" s="187"/>
    </row>
    <row r="547" ht="14.25" customHeight="1">
      <c r="G547" s="187"/>
    </row>
    <row r="548" ht="14.25" customHeight="1">
      <c r="G548" s="187"/>
    </row>
    <row r="549" ht="14.25" customHeight="1">
      <c r="G549" s="187"/>
    </row>
    <row r="550" ht="14.25" customHeight="1">
      <c r="G550" s="187"/>
    </row>
    <row r="551" ht="14.25" customHeight="1">
      <c r="G551" s="187"/>
    </row>
    <row r="552" ht="14.25" customHeight="1">
      <c r="G552" s="187"/>
    </row>
    <row r="553" ht="14.25" customHeight="1">
      <c r="G553" s="187"/>
    </row>
    <row r="554" ht="14.25" customHeight="1">
      <c r="G554" s="187"/>
    </row>
    <row r="555" ht="14.25" customHeight="1">
      <c r="G555" s="187"/>
    </row>
    <row r="556" ht="14.25" customHeight="1">
      <c r="G556" s="187"/>
    </row>
    <row r="557" ht="14.25" customHeight="1">
      <c r="G557" s="187"/>
    </row>
    <row r="558" ht="14.25" customHeight="1">
      <c r="G558" s="187"/>
    </row>
    <row r="559" ht="14.25" customHeight="1">
      <c r="G559" s="187"/>
    </row>
    <row r="560" ht="14.25" customHeight="1">
      <c r="G560" s="187"/>
    </row>
    <row r="561" ht="14.25" customHeight="1">
      <c r="G561" s="187"/>
    </row>
    <row r="562" ht="14.25" customHeight="1">
      <c r="G562" s="187"/>
    </row>
    <row r="563" ht="14.25" customHeight="1">
      <c r="G563" s="187"/>
    </row>
    <row r="564" ht="14.25" customHeight="1">
      <c r="G564" s="187"/>
    </row>
    <row r="565" ht="14.25" customHeight="1">
      <c r="G565" s="187"/>
    </row>
    <row r="566" ht="14.25" customHeight="1">
      <c r="G566" s="187"/>
    </row>
    <row r="567" ht="14.25" customHeight="1">
      <c r="G567" s="187"/>
    </row>
    <row r="568" ht="14.25" customHeight="1">
      <c r="G568" s="187"/>
    </row>
    <row r="569" ht="14.25" customHeight="1">
      <c r="G569" s="187"/>
    </row>
    <row r="570" ht="14.25" customHeight="1">
      <c r="G570" s="187"/>
    </row>
    <row r="571" ht="14.25" customHeight="1">
      <c r="G571" s="187"/>
    </row>
    <row r="572" ht="14.25" customHeight="1">
      <c r="G572" s="187"/>
    </row>
    <row r="573" ht="14.25" customHeight="1">
      <c r="G573" s="187"/>
    </row>
    <row r="574" ht="14.25" customHeight="1">
      <c r="G574" s="187"/>
    </row>
    <row r="575" ht="14.25" customHeight="1">
      <c r="G575" s="187"/>
    </row>
    <row r="576" ht="14.25" customHeight="1">
      <c r="G576" s="187"/>
    </row>
    <row r="577" ht="14.25" customHeight="1">
      <c r="G577" s="187"/>
    </row>
    <row r="578" ht="14.25" customHeight="1">
      <c r="G578" s="187"/>
    </row>
    <row r="579" ht="14.25" customHeight="1">
      <c r="G579" s="187"/>
    </row>
    <row r="580" ht="14.25" customHeight="1">
      <c r="G580" s="187"/>
    </row>
    <row r="581" ht="14.25" customHeight="1">
      <c r="G581" s="187"/>
    </row>
    <row r="582" ht="14.25" customHeight="1">
      <c r="G582" s="187"/>
    </row>
    <row r="583" ht="14.25" customHeight="1">
      <c r="G583" s="187"/>
    </row>
    <row r="584" ht="14.25" customHeight="1">
      <c r="G584" s="187"/>
    </row>
    <row r="585" ht="14.25" customHeight="1">
      <c r="G585" s="187"/>
    </row>
    <row r="586" ht="14.25" customHeight="1">
      <c r="G586" s="187"/>
    </row>
    <row r="587" ht="14.25" customHeight="1">
      <c r="G587" s="187"/>
    </row>
    <row r="588" ht="14.25" customHeight="1">
      <c r="G588" s="187"/>
    </row>
    <row r="589" ht="14.25" customHeight="1">
      <c r="G589" s="187"/>
    </row>
    <row r="590" ht="14.25" customHeight="1">
      <c r="G590" s="187"/>
    </row>
    <row r="591" ht="14.25" customHeight="1">
      <c r="G591" s="187"/>
    </row>
    <row r="592" ht="14.25" customHeight="1">
      <c r="G592" s="187"/>
    </row>
    <row r="593" ht="14.25" customHeight="1">
      <c r="G593" s="187"/>
    </row>
    <row r="594" ht="14.25" customHeight="1">
      <c r="G594" s="187"/>
    </row>
    <row r="595" ht="14.25" customHeight="1">
      <c r="G595" s="187"/>
    </row>
    <row r="596" ht="14.25" customHeight="1">
      <c r="G596" s="187"/>
    </row>
    <row r="597" ht="14.25" customHeight="1">
      <c r="G597" s="187"/>
    </row>
    <row r="598" ht="14.25" customHeight="1">
      <c r="G598" s="187"/>
    </row>
    <row r="599" ht="14.25" customHeight="1">
      <c r="G599" s="187"/>
    </row>
    <row r="600" ht="14.25" customHeight="1">
      <c r="G600" s="187"/>
    </row>
    <row r="601" ht="14.25" customHeight="1">
      <c r="G601" s="187"/>
    </row>
    <row r="602" ht="14.25" customHeight="1">
      <c r="G602" s="187"/>
    </row>
    <row r="603" ht="14.25" customHeight="1">
      <c r="G603" s="187"/>
    </row>
    <row r="604" ht="14.25" customHeight="1">
      <c r="G604" s="187"/>
    </row>
    <row r="605" ht="14.25" customHeight="1">
      <c r="G605" s="187"/>
    </row>
    <row r="606" ht="14.25" customHeight="1">
      <c r="G606" s="187"/>
    </row>
    <row r="607" ht="14.25" customHeight="1">
      <c r="G607" s="187"/>
    </row>
    <row r="608" ht="14.25" customHeight="1">
      <c r="G608" s="187"/>
    </row>
    <row r="609" ht="14.25" customHeight="1">
      <c r="G609" s="187"/>
    </row>
    <row r="610" ht="14.25" customHeight="1">
      <c r="G610" s="187"/>
    </row>
    <row r="611" ht="14.25" customHeight="1">
      <c r="G611" s="187"/>
    </row>
    <row r="612" ht="14.25" customHeight="1">
      <c r="G612" s="187"/>
    </row>
    <row r="613" ht="14.25" customHeight="1">
      <c r="G613" s="187"/>
    </row>
    <row r="614" ht="14.25" customHeight="1">
      <c r="G614" s="187"/>
    </row>
    <row r="615" ht="14.25" customHeight="1">
      <c r="G615" s="187"/>
    </row>
    <row r="616" ht="14.25" customHeight="1">
      <c r="G616" s="187"/>
    </row>
    <row r="617" ht="14.25" customHeight="1">
      <c r="G617" s="187"/>
    </row>
    <row r="618" ht="14.25" customHeight="1">
      <c r="G618" s="187"/>
    </row>
    <row r="619" ht="14.25" customHeight="1">
      <c r="G619" s="187"/>
    </row>
    <row r="620" ht="14.25" customHeight="1">
      <c r="G620" s="187"/>
    </row>
    <row r="621" ht="14.25" customHeight="1">
      <c r="G621" s="187"/>
    </row>
    <row r="622" ht="14.25" customHeight="1">
      <c r="G622" s="187"/>
    </row>
    <row r="623" ht="14.25" customHeight="1">
      <c r="G623" s="187"/>
    </row>
    <row r="624" ht="14.25" customHeight="1">
      <c r="G624" s="187"/>
    </row>
    <row r="625" ht="14.25" customHeight="1">
      <c r="G625" s="187"/>
    </row>
    <row r="626" ht="14.25" customHeight="1">
      <c r="G626" s="187"/>
    </row>
    <row r="627" ht="14.25" customHeight="1">
      <c r="G627" s="187"/>
    </row>
    <row r="628" ht="14.25" customHeight="1">
      <c r="G628" s="187"/>
    </row>
    <row r="629" ht="14.25" customHeight="1">
      <c r="G629" s="187"/>
    </row>
    <row r="630" ht="14.25" customHeight="1">
      <c r="G630" s="187"/>
    </row>
    <row r="631" ht="14.25" customHeight="1">
      <c r="G631" s="187"/>
    </row>
    <row r="632" ht="14.25" customHeight="1">
      <c r="G632" s="187"/>
    </row>
    <row r="633" ht="14.25" customHeight="1">
      <c r="G633" s="187"/>
    </row>
    <row r="634" ht="14.25" customHeight="1">
      <c r="G634" s="187"/>
    </row>
    <row r="635" ht="14.25" customHeight="1">
      <c r="G635" s="187"/>
    </row>
    <row r="636" ht="14.25" customHeight="1">
      <c r="G636" s="187"/>
    </row>
    <row r="637" ht="14.25" customHeight="1">
      <c r="G637" s="187"/>
    </row>
    <row r="638" ht="14.25" customHeight="1">
      <c r="G638" s="187"/>
    </row>
    <row r="639" ht="14.25" customHeight="1">
      <c r="G639" s="187"/>
    </row>
    <row r="640" ht="14.25" customHeight="1">
      <c r="G640" s="187"/>
    </row>
    <row r="641" ht="14.25" customHeight="1">
      <c r="G641" s="187"/>
    </row>
    <row r="642" ht="14.25" customHeight="1">
      <c r="G642" s="187"/>
    </row>
    <row r="643" ht="14.25" customHeight="1">
      <c r="G643" s="187"/>
    </row>
    <row r="644" ht="14.25" customHeight="1">
      <c r="G644" s="187"/>
    </row>
    <row r="645" ht="14.25" customHeight="1">
      <c r="G645" s="187"/>
    </row>
    <row r="646" ht="14.25" customHeight="1">
      <c r="G646" s="187"/>
    </row>
    <row r="647" ht="14.25" customHeight="1">
      <c r="G647" s="187"/>
    </row>
    <row r="648" ht="14.25" customHeight="1">
      <c r="G648" s="187"/>
    </row>
    <row r="649" ht="14.25" customHeight="1">
      <c r="G649" s="187"/>
    </row>
    <row r="650" ht="14.25" customHeight="1">
      <c r="G650" s="187"/>
    </row>
    <row r="651" ht="14.25" customHeight="1">
      <c r="G651" s="187"/>
    </row>
    <row r="652" ht="14.25" customHeight="1">
      <c r="G652" s="187"/>
    </row>
    <row r="653" ht="14.25" customHeight="1">
      <c r="G653" s="187"/>
    </row>
    <row r="654" ht="14.25" customHeight="1">
      <c r="G654" s="187"/>
    </row>
    <row r="655" ht="14.25" customHeight="1">
      <c r="G655" s="187"/>
    </row>
    <row r="656" ht="14.25" customHeight="1">
      <c r="G656" s="187"/>
    </row>
    <row r="657" ht="14.25" customHeight="1">
      <c r="G657" s="187"/>
    </row>
    <row r="658" ht="14.25" customHeight="1">
      <c r="G658" s="187"/>
    </row>
    <row r="659" ht="14.25" customHeight="1">
      <c r="G659" s="187"/>
    </row>
    <row r="660" ht="14.25" customHeight="1">
      <c r="G660" s="187"/>
    </row>
    <row r="661" ht="14.25" customHeight="1">
      <c r="G661" s="187"/>
    </row>
    <row r="662" ht="14.25" customHeight="1">
      <c r="G662" s="187"/>
    </row>
    <row r="663" ht="14.25" customHeight="1">
      <c r="G663" s="187"/>
    </row>
    <row r="664" ht="14.25" customHeight="1">
      <c r="G664" s="187"/>
    </row>
    <row r="665" ht="14.25" customHeight="1">
      <c r="G665" s="187"/>
    </row>
    <row r="666" ht="14.25" customHeight="1">
      <c r="G666" s="187"/>
    </row>
    <row r="667" ht="14.25" customHeight="1">
      <c r="G667" s="187"/>
    </row>
    <row r="668" ht="14.25" customHeight="1">
      <c r="G668" s="187"/>
    </row>
    <row r="669" ht="14.25" customHeight="1">
      <c r="G669" s="187"/>
    </row>
    <row r="670" ht="14.25" customHeight="1">
      <c r="G670" s="187"/>
    </row>
    <row r="671" ht="14.25" customHeight="1">
      <c r="G671" s="187"/>
    </row>
    <row r="672" ht="14.25" customHeight="1">
      <c r="G672" s="187"/>
    </row>
    <row r="673" ht="14.25" customHeight="1">
      <c r="G673" s="187"/>
    </row>
    <row r="674" ht="14.25" customHeight="1">
      <c r="G674" s="187"/>
    </row>
    <row r="675" ht="14.25" customHeight="1">
      <c r="G675" s="187"/>
    </row>
    <row r="676" ht="14.25" customHeight="1">
      <c r="G676" s="187"/>
    </row>
    <row r="677" ht="14.25" customHeight="1">
      <c r="G677" s="187"/>
    </row>
    <row r="678" ht="14.25" customHeight="1">
      <c r="G678" s="187"/>
    </row>
    <row r="679" ht="14.25" customHeight="1">
      <c r="G679" s="187"/>
    </row>
    <row r="680" ht="14.25" customHeight="1">
      <c r="G680" s="187"/>
    </row>
    <row r="681" ht="14.25" customHeight="1">
      <c r="G681" s="187"/>
    </row>
    <row r="682" ht="14.25" customHeight="1">
      <c r="G682" s="187"/>
    </row>
    <row r="683" ht="14.25" customHeight="1">
      <c r="G683" s="187"/>
    </row>
    <row r="684" ht="14.25" customHeight="1">
      <c r="G684" s="187"/>
    </row>
    <row r="685" ht="14.25" customHeight="1">
      <c r="G685" s="187"/>
    </row>
    <row r="686" ht="14.25" customHeight="1">
      <c r="G686" s="187"/>
    </row>
    <row r="687" ht="14.25" customHeight="1">
      <c r="G687" s="187"/>
    </row>
    <row r="688" ht="14.25" customHeight="1">
      <c r="G688" s="187"/>
    </row>
    <row r="689" ht="14.25" customHeight="1">
      <c r="G689" s="187"/>
    </row>
    <row r="690" ht="14.25" customHeight="1">
      <c r="G690" s="187"/>
    </row>
    <row r="691" ht="14.25" customHeight="1">
      <c r="G691" s="187"/>
    </row>
    <row r="692" ht="14.25" customHeight="1">
      <c r="G692" s="187"/>
    </row>
    <row r="693" ht="14.25" customHeight="1">
      <c r="G693" s="187"/>
    </row>
    <row r="694" ht="14.25" customHeight="1">
      <c r="G694" s="187"/>
    </row>
    <row r="695" ht="14.25" customHeight="1">
      <c r="G695" s="187"/>
    </row>
    <row r="696" ht="14.25" customHeight="1">
      <c r="G696" s="187"/>
    </row>
    <row r="697" ht="14.25" customHeight="1">
      <c r="G697" s="187"/>
    </row>
    <row r="698" ht="14.25" customHeight="1">
      <c r="G698" s="187"/>
    </row>
    <row r="699" ht="14.25" customHeight="1">
      <c r="G699" s="187"/>
    </row>
    <row r="700" ht="14.25" customHeight="1">
      <c r="G700" s="187"/>
    </row>
    <row r="701" ht="14.25" customHeight="1">
      <c r="G701" s="187"/>
    </row>
    <row r="702" ht="14.25" customHeight="1">
      <c r="G702" s="187"/>
    </row>
    <row r="703" ht="14.25" customHeight="1">
      <c r="G703" s="187"/>
    </row>
    <row r="704" ht="14.25" customHeight="1">
      <c r="G704" s="187"/>
    </row>
    <row r="705" ht="14.25" customHeight="1">
      <c r="G705" s="187"/>
    </row>
    <row r="706" ht="14.25" customHeight="1">
      <c r="G706" s="187"/>
    </row>
    <row r="707" ht="14.25" customHeight="1">
      <c r="G707" s="187"/>
    </row>
    <row r="708" ht="14.25" customHeight="1">
      <c r="G708" s="187"/>
    </row>
    <row r="709" ht="14.25" customHeight="1">
      <c r="G709" s="187"/>
    </row>
    <row r="710" ht="14.25" customHeight="1">
      <c r="G710" s="187"/>
    </row>
    <row r="711" ht="14.25" customHeight="1">
      <c r="G711" s="187"/>
    </row>
    <row r="712" ht="14.25" customHeight="1">
      <c r="G712" s="187"/>
    </row>
    <row r="713" ht="14.25" customHeight="1">
      <c r="G713" s="187"/>
    </row>
    <row r="714" ht="14.25" customHeight="1">
      <c r="G714" s="187"/>
    </row>
    <row r="715" ht="14.25" customHeight="1">
      <c r="G715" s="187"/>
    </row>
    <row r="716" ht="14.25" customHeight="1">
      <c r="G716" s="187"/>
    </row>
    <row r="717" ht="14.25" customHeight="1">
      <c r="G717" s="187"/>
    </row>
    <row r="718" ht="14.25" customHeight="1">
      <c r="G718" s="187"/>
    </row>
    <row r="719" ht="14.25" customHeight="1">
      <c r="G719" s="187"/>
    </row>
    <row r="720" ht="14.25" customHeight="1">
      <c r="G720" s="187"/>
    </row>
    <row r="721" ht="14.25" customHeight="1">
      <c r="G721" s="187"/>
    </row>
    <row r="722" ht="14.25" customHeight="1">
      <c r="G722" s="187"/>
    </row>
    <row r="723" ht="14.25" customHeight="1">
      <c r="G723" s="187"/>
    </row>
    <row r="724" ht="14.25" customHeight="1">
      <c r="G724" s="187"/>
    </row>
    <row r="725" ht="14.25" customHeight="1">
      <c r="G725" s="187"/>
    </row>
    <row r="726" ht="14.25" customHeight="1">
      <c r="G726" s="187"/>
    </row>
    <row r="727" ht="14.25" customHeight="1">
      <c r="G727" s="187"/>
    </row>
    <row r="728" ht="14.25" customHeight="1">
      <c r="G728" s="187"/>
    </row>
    <row r="729" ht="14.25" customHeight="1">
      <c r="G729" s="187"/>
    </row>
    <row r="730" ht="14.25" customHeight="1">
      <c r="G730" s="187"/>
    </row>
    <row r="731" ht="14.25" customHeight="1">
      <c r="G731" s="187"/>
    </row>
    <row r="732" ht="14.25" customHeight="1">
      <c r="G732" s="187"/>
    </row>
    <row r="733" ht="14.25" customHeight="1">
      <c r="G733" s="187"/>
    </row>
    <row r="734" ht="14.25" customHeight="1">
      <c r="G734" s="187"/>
    </row>
    <row r="735" ht="14.25" customHeight="1">
      <c r="G735" s="187"/>
    </row>
    <row r="736" ht="14.25" customHeight="1">
      <c r="G736" s="187"/>
    </row>
    <row r="737" ht="14.25" customHeight="1">
      <c r="G737" s="187"/>
    </row>
    <row r="738" ht="14.25" customHeight="1">
      <c r="G738" s="187"/>
    </row>
    <row r="739" ht="14.25" customHeight="1">
      <c r="G739" s="187"/>
    </row>
    <row r="740" ht="14.25" customHeight="1">
      <c r="G740" s="187"/>
    </row>
    <row r="741" ht="14.25" customHeight="1">
      <c r="G741" s="187"/>
    </row>
    <row r="742" ht="14.25" customHeight="1">
      <c r="G742" s="187"/>
    </row>
    <row r="743" ht="14.25" customHeight="1">
      <c r="G743" s="187"/>
    </row>
    <row r="744" ht="14.25" customHeight="1">
      <c r="G744" s="187"/>
    </row>
    <row r="745" ht="14.25" customHeight="1">
      <c r="G745" s="187"/>
    </row>
    <row r="746" ht="14.25" customHeight="1">
      <c r="G746" s="187"/>
    </row>
    <row r="747" ht="14.25" customHeight="1">
      <c r="G747" s="187"/>
    </row>
    <row r="748" ht="14.25" customHeight="1">
      <c r="G748" s="187"/>
    </row>
    <row r="749" ht="14.25" customHeight="1">
      <c r="G749" s="187"/>
    </row>
    <row r="750" ht="14.25" customHeight="1">
      <c r="G750" s="187"/>
    </row>
    <row r="751" ht="14.25" customHeight="1">
      <c r="G751" s="187"/>
    </row>
    <row r="752" ht="14.25" customHeight="1">
      <c r="G752" s="187"/>
    </row>
    <row r="753" ht="14.25" customHeight="1">
      <c r="G753" s="187"/>
    </row>
    <row r="754" ht="14.25" customHeight="1">
      <c r="G754" s="187"/>
    </row>
    <row r="755" ht="14.25" customHeight="1">
      <c r="G755" s="187"/>
    </row>
    <row r="756" ht="14.25" customHeight="1">
      <c r="G756" s="187"/>
    </row>
    <row r="757" ht="14.25" customHeight="1">
      <c r="G757" s="187"/>
    </row>
    <row r="758" ht="14.25" customHeight="1">
      <c r="G758" s="187"/>
    </row>
    <row r="759" ht="14.25" customHeight="1">
      <c r="G759" s="187"/>
    </row>
    <row r="760" ht="14.25" customHeight="1">
      <c r="G760" s="187"/>
    </row>
    <row r="761" ht="14.25" customHeight="1">
      <c r="G761" s="187"/>
    </row>
    <row r="762" ht="14.25" customHeight="1">
      <c r="G762" s="187"/>
    </row>
    <row r="763" ht="14.25" customHeight="1">
      <c r="G763" s="187"/>
    </row>
    <row r="764" ht="14.25" customHeight="1">
      <c r="G764" s="187"/>
    </row>
    <row r="765" ht="14.25" customHeight="1">
      <c r="G765" s="187"/>
    </row>
    <row r="766" ht="14.25" customHeight="1">
      <c r="G766" s="187"/>
    </row>
    <row r="767" ht="14.25" customHeight="1">
      <c r="G767" s="187"/>
    </row>
    <row r="768" ht="14.25" customHeight="1">
      <c r="G768" s="187"/>
    </row>
    <row r="769" ht="14.25" customHeight="1">
      <c r="G769" s="187"/>
    </row>
    <row r="770" ht="14.25" customHeight="1">
      <c r="G770" s="187"/>
    </row>
    <row r="771" ht="14.25" customHeight="1">
      <c r="G771" s="187"/>
    </row>
    <row r="772" ht="14.25" customHeight="1">
      <c r="G772" s="187"/>
    </row>
    <row r="773" ht="14.25" customHeight="1">
      <c r="G773" s="187"/>
    </row>
    <row r="774" ht="14.25" customHeight="1">
      <c r="G774" s="187"/>
    </row>
    <row r="775" ht="14.25" customHeight="1">
      <c r="G775" s="187"/>
    </row>
    <row r="776" ht="14.25" customHeight="1">
      <c r="G776" s="187"/>
    </row>
    <row r="777" ht="14.25" customHeight="1">
      <c r="G777" s="187"/>
    </row>
    <row r="778" ht="14.25" customHeight="1">
      <c r="G778" s="187"/>
    </row>
    <row r="779" ht="14.25" customHeight="1">
      <c r="G779" s="187"/>
    </row>
    <row r="780" ht="14.25" customHeight="1">
      <c r="G780" s="187"/>
    </row>
    <row r="781" ht="14.25" customHeight="1">
      <c r="G781" s="187"/>
    </row>
    <row r="782" ht="14.25" customHeight="1">
      <c r="G782" s="187"/>
    </row>
    <row r="783" ht="14.25" customHeight="1">
      <c r="G783" s="187"/>
    </row>
    <row r="784" ht="14.25" customHeight="1">
      <c r="G784" s="187"/>
    </row>
    <row r="785" ht="14.25" customHeight="1">
      <c r="G785" s="187"/>
    </row>
    <row r="786" ht="14.25" customHeight="1">
      <c r="G786" s="187"/>
    </row>
    <row r="787" ht="14.25" customHeight="1">
      <c r="G787" s="187"/>
    </row>
    <row r="788" ht="14.25" customHeight="1">
      <c r="G788" s="187"/>
    </row>
    <row r="789" ht="14.25" customHeight="1">
      <c r="G789" s="187"/>
    </row>
    <row r="790" ht="14.25" customHeight="1">
      <c r="G790" s="187"/>
    </row>
    <row r="791" ht="14.25" customHeight="1">
      <c r="G791" s="187"/>
    </row>
    <row r="792" ht="14.25" customHeight="1">
      <c r="G792" s="187"/>
    </row>
    <row r="793" ht="14.25" customHeight="1">
      <c r="G793" s="187"/>
    </row>
    <row r="794" ht="14.25" customHeight="1">
      <c r="G794" s="187"/>
    </row>
    <row r="795" ht="14.25" customHeight="1">
      <c r="G795" s="187"/>
    </row>
    <row r="796" ht="14.25" customHeight="1">
      <c r="G796" s="187"/>
    </row>
    <row r="797" ht="14.25" customHeight="1">
      <c r="G797" s="187"/>
    </row>
    <row r="798" ht="14.25" customHeight="1">
      <c r="G798" s="187"/>
    </row>
    <row r="799" ht="14.25" customHeight="1">
      <c r="G799" s="187"/>
    </row>
    <row r="800" ht="14.25" customHeight="1">
      <c r="G800" s="187"/>
    </row>
    <row r="801" ht="14.25" customHeight="1">
      <c r="G801" s="187"/>
    </row>
    <row r="802" ht="14.25" customHeight="1">
      <c r="G802" s="187"/>
    </row>
    <row r="803" ht="14.25" customHeight="1">
      <c r="G803" s="187"/>
    </row>
    <row r="804" ht="14.25" customHeight="1">
      <c r="G804" s="187"/>
    </row>
    <row r="805" ht="14.25" customHeight="1">
      <c r="G805" s="187"/>
    </row>
    <row r="806" ht="14.25" customHeight="1">
      <c r="G806" s="187"/>
    </row>
    <row r="807" ht="14.25" customHeight="1">
      <c r="G807" s="187"/>
    </row>
    <row r="808" ht="14.25" customHeight="1">
      <c r="G808" s="187"/>
    </row>
    <row r="809" ht="14.25" customHeight="1">
      <c r="G809" s="187"/>
    </row>
    <row r="810" ht="14.25" customHeight="1">
      <c r="G810" s="187"/>
    </row>
    <row r="811" ht="14.25" customHeight="1">
      <c r="G811" s="187"/>
    </row>
    <row r="812" ht="14.25" customHeight="1">
      <c r="G812" s="187"/>
    </row>
    <row r="813" ht="14.25" customHeight="1">
      <c r="G813" s="187"/>
    </row>
    <row r="814" ht="14.25" customHeight="1">
      <c r="G814" s="187"/>
    </row>
    <row r="815" ht="14.25" customHeight="1">
      <c r="G815" s="187"/>
    </row>
    <row r="816" ht="14.25" customHeight="1">
      <c r="G816" s="187"/>
    </row>
    <row r="817" ht="14.25" customHeight="1">
      <c r="G817" s="187"/>
    </row>
    <row r="818" ht="14.25" customHeight="1">
      <c r="G818" s="187"/>
    </row>
    <row r="819" ht="14.25" customHeight="1">
      <c r="G819" s="187"/>
    </row>
    <row r="820" ht="14.25" customHeight="1">
      <c r="G820" s="187"/>
    </row>
    <row r="821" ht="14.25" customHeight="1">
      <c r="G821" s="187"/>
    </row>
    <row r="822" ht="14.25" customHeight="1">
      <c r="G822" s="187"/>
    </row>
    <row r="823" ht="14.25" customHeight="1">
      <c r="G823" s="187"/>
    </row>
    <row r="824" ht="14.25" customHeight="1">
      <c r="G824" s="187"/>
    </row>
    <row r="825" ht="14.25" customHeight="1">
      <c r="G825" s="187"/>
    </row>
    <row r="826" ht="14.25" customHeight="1">
      <c r="G826" s="187"/>
    </row>
    <row r="827" ht="14.25" customHeight="1">
      <c r="G827" s="187"/>
    </row>
    <row r="828" ht="14.25" customHeight="1">
      <c r="G828" s="187"/>
    </row>
    <row r="829" ht="14.25" customHeight="1">
      <c r="G829" s="187"/>
    </row>
    <row r="830" ht="14.25" customHeight="1">
      <c r="G830" s="187"/>
    </row>
    <row r="831" ht="14.25" customHeight="1">
      <c r="G831" s="187"/>
    </row>
    <row r="832" ht="14.25" customHeight="1">
      <c r="G832" s="187"/>
    </row>
    <row r="833" ht="14.25" customHeight="1">
      <c r="G833" s="187"/>
    </row>
    <row r="834" ht="14.25" customHeight="1">
      <c r="G834" s="187"/>
    </row>
    <row r="835" ht="14.25" customHeight="1">
      <c r="G835" s="187"/>
    </row>
    <row r="836" ht="14.25" customHeight="1">
      <c r="G836" s="187"/>
    </row>
    <row r="837" ht="14.25" customHeight="1">
      <c r="G837" s="187"/>
    </row>
    <row r="838" ht="14.25" customHeight="1">
      <c r="G838" s="187"/>
    </row>
    <row r="839" ht="14.25" customHeight="1">
      <c r="G839" s="187"/>
    </row>
    <row r="840" ht="14.25" customHeight="1">
      <c r="G840" s="187"/>
    </row>
    <row r="841" ht="14.25" customHeight="1">
      <c r="G841" s="187"/>
    </row>
    <row r="842" ht="14.25" customHeight="1">
      <c r="G842" s="187"/>
    </row>
    <row r="843" ht="14.25" customHeight="1">
      <c r="G843" s="187"/>
    </row>
    <row r="844" ht="14.25" customHeight="1">
      <c r="G844" s="187"/>
    </row>
    <row r="845" ht="14.25" customHeight="1">
      <c r="G845" s="187"/>
    </row>
    <row r="846" ht="14.25" customHeight="1">
      <c r="G846" s="187"/>
    </row>
    <row r="847" ht="14.25" customHeight="1">
      <c r="G847" s="187"/>
    </row>
    <row r="848" ht="14.25" customHeight="1">
      <c r="G848" s="187"/>
    </row>
    <row r="849" ht="14.25" customHeight="1">
      <c r="G849" s="187"/>
    </row>
    <row r="850" ht="14.25" customHeight="1">
      <c r="G850" s="187"/>
    </row>
    <row r="851" ht="14.25" customHeight="1">
      <c r="G851" s="187"/>
    </row>
    <row r="852" ht="14.25" customHeight="1">
      <c r="G852" s="187"/>
    </row>
    <row r="853" ht="14.25" customHeight="1">
      <c r="G853" s="187"/>
    </row>
    <row r="854" ht="14.25" customHeight="1">
      <c r="G854" s="187"/>
    </row>
    <row r="855" ht="14.25" customHeight="1">
      <c r="G855" s="187"/>
    </row>
    <row r="856" ht="14.25" customHeight="1">
      <c r="G856" s="187"/>
    </row>
    <row r="857" ht="14.25" customHeight="1">
      <c r="G857" s="187"/>
    </row>
    <row r="858" ht="14.25" customHeight="1">
      <c r="G858" s="187"/>
    </row>
    <row r="859" ht="14.25" customHeight="1">
      <c r="G859" s="187"/>
    </row>
    <row r="860" ht="14.25" customHeight="1">
      <c r="G860" s="187"/>
    </row>
    <row r="861" ht="14.25" customHeight="1">
      <c r="G861" s="187"/>
    </row>
    <row r="862" ht="14.25" customHeight="1">
      <c r="G862" s="187"/>
    </row>
    <row r="863" ht="14.25" customHeight="1">
      <c r="G863" s="187"/>
    </row>
    <row r="864" ht="14.25" customHeight="1">
      <c r="G864" s="187"/>
    </row>
    <row r="865" ht="14.25" customHeight="1">
      <c r="G865" s="187"/>
    </row>
    <row r="866" ht="14.25" customHeight="1">
      <c r="G866" s="187"/>
    </row>
    <row r="867" ht="14.25" customHeight="1">
      <c r="G867" s="187"/>
    </row>
    <row r="868" ht="14.25" customHeight="1">
      <c r="G868" s="187"/>
    </row>
    <row r="869" ht="14.25" customHeight="1">
      <c r="G869" s="187"/>
    </row>
    <row r="870" ht="14.25" customHeight="1">
      <c r="G870" s="187"/>
    </row>
    <row r="871" ht="14.25" customHeight="1">
      <c r="G871" s="187"/>
    </row>
    <row r="872" ht="14.25" customHeight="1">
      <c r="G872" s="187"/>
    </row>
    <row r="873" ht="14.25" customHeight="1">
      <c r="G873" s="187"/>
    </row>
    <row r="874" ht="14.25" customHeight="1">
      <c r="G874" s="187"/>
    </row>
    <row r="875" ht="14.25" customHeight="1">
      <c r="G875" s="187"/>
    </row>
    <row r="876" ht="14.25" customHeight="1">
      <c r="G876" s="187"/>
    </row>
    <row r="877" ht="14.25" customHeight="1">
      <c r="G877" s="187"/>
    </row>
    <row r="878" ht="14.25" customHeight="1">
      <c r="G878" s="187"/>
    </row>
    <row r="879" ht="14.25" customHeight="1">
      <c r="G879" s="187"/>
    </row>
    <row r="880" ht="14.25" customHeight="1">
      <c r="G880" s="187"/>
    </row>
    <row r="881" ht="14.25" customHeight="1">
      <c r="G881" s="187"/>
    </row>
    <row r="882" ht="14.25" customHeight="1">
      <c r="G882" s="187"/>
    </row>
    <row r="883" ht="14.25" customHeight="1">
      <c r="G883" s="187"/>
    </row>
    <row r="884" ht="14.25" customHeight="1">
      <c r="G884" s="187"/>
    </row>
    <row r="885" ht="14.25" customHeight="1">
      <c r="G885" s="187"/>
    </row>
    <row r="886" ht="14.25" customHeight="1">
      <c r="G886" s="187"/>
    </row>
    <row r="887" ht="14.25" customHeight="1">
      <c r="G887" s="187"/>
    </row>
    <row r="888" ht="14.25" customHeight="1">
      <c r="G888" s="187"/>
    </row>
    <row r="889" ht="14.25" customHeight="1">
      <c r="G889" s="187"/>
    </row>
    <row r="890" ht="14.25" customHeight="1">
      <c r="G890" s="187"/>
    </row>
    <row r="891" ht="14.25" customHeight="1">
      <c r="G891" s="187"/>
    </row>
    <row r="892" ht="14.25" customHeight="1">
      <c r="G892" s="187"/>
    </row>
    <row r="893" ht="14.25" customHeight="1">
      <c r="G893" s="187"/>
    </row>
    <row r="894" ht="14.25" customHeight="1">
      <c r="G894" s="187"/>
    </row>
    <row r="895" ht="14.25" customHeight="1">
      <c r="G895" s="187"/>
    </row>
    <row r="896" ht="14.25" customHeight="1">
      <c r="G896" s="187"/>
    </row>
    <row r="897" ht="14.25" customHeight="1">
      <c r="G897" s="187"/>
    </row>
    <row r="898" ht="14.25" customHeight="1">
      <c r="G898" s="187"/>
    </row>
    <row r="899" ht="14.25" customHeight="1">
      <c r="G899" s="187"/>
    </row>
    <row r="900" ht="14.25" customHeight="1">
      <c r="G900" s="187"/>
    </row>
    <row r="901" ht="14.25" customHeight="1">
      <c r="G901" s="187"/>
    </row>
    <row r="902" ht="14.25" customHeight="1">
      <c r="G902" s="187"/>
    </row>
    <row r="903" ht="14.25" customHeight="1">
      <c r="G903" s="187"/>
    </row>
    <row r="904" ht="14.25" customHeight="1">
      <c r="G904" s="187"/>
    </row>
    <row r="905" ht="14.25" customHeight="1">
      <c r="G905" s="187"/>
    </row>
    <row r="906" ht="14.25" customHeight="1">
      <c r="G906" s="187"/>
    </row>
    <row r="907" ht="14.25" customHeight="1">
      <c r="G907" s="187"/>
    </row>
    <row r="908" ht="14.25" customHeight="1">
      <c r="G908" s="187"/>
    </row>
    <row r="909" ht="14.25" customHeight="1">
      <c r="G909" s="187"/>
    </row>
    <row r="910" ht="14.25" customHeight="1">
      <c r="G910" s="187"/>
    </row>
    <row r="911" ht="14.25" customHeight="1">
      <c r="G911" s="187"/>
    </row>
    <row r="912" ht="14.25" customHeight="1">
      <c r="G912" s="187"/>
    </row>
    <row r="913" ht="14.25" customHeight="1">
      <c r="G913" s="187"/>
    </row>
    <row r="914" ht="14.25" customHeight="1">
      <c r="G914" s="187"/>
    </row>
    <row r="915" ht="14.25" customHeight="1">
      <c r="G915" s="187"/>
    </row>
    <row r="916" ht="14.25" customHeight="1">
      <c r="G916" s="187"/>
    </row>
    <row r="917" ht="14.25" customHeight="1">
      <c r="G917" s="187"/>
    </row>
    <row r="918" ht="14.25" customHeight="1">
      <c r="G918" s="187"/>
    </row>
    <row r="919" ht="14.25" customHeight="1">
      <c r="G919" s="187"/>
    </row>
    <row r="920" ht="14.25" customHeight="1">
      <c r="G920" s="187"/>
    </row>
    <row r="921" ht="14.25" customHeight="1">
      <c r="G921" s="187"/>
    </row>
    <row r="922" ht="14.25" customHeight="1">
      <c r="G922" s="187"/>
    </row>
    <row r="923" ht="14.25" customHeight="1">
      <c r="G923" s="187"/>
    </row>
    <row r="924" ht="14.25" customHeight="1">
      <c r="G924" s="187"/>
    </row>
    <row r="925" ht="14.25" customHeight="1">
      <c r="G925" s="187"/>
    </row>
    <row r="926" ht="14.25" customHeight="1">
      <c r="G926" s="187"/>
    </row>
    <row r="927" ht="14.25" customHeight="1">
      <c r="G927" s="187"/>
    </row>
    <row r="928" ht="14.25" customHeight="1">
      <c r="G928" s="187"/>
    </row>
    <row r="929" ht="14.25" customHeight="1">
      <c r="G929" s="187"/>
    </row>
    <row r="930" ht="14.25" customHeight="1">
      <c r="G930" s="187"/>
    </row>
    <row r="931" ht="14.25" customHeight="1">
      <c r="G931" s="187"/>
    </row>
    <row r="932" ht="14.25" customHeight="1">
      <c r="G932" s="187"/>
    </row>
    <row r="933" ht="14.25" customHeight="1">
      <c r="G933" s="187"/>
    </row>
    <row r="934" ht="14.25" customHeight="1">
      <c r="G934" s="187"/>
    </row>
    <row r="935" ht="14.25" customHeight="1">
      <c r="G935" s="187"/>
    </row>
    <row r="936" ht="14.25" customHeight="1">
      <c r="G936" s="187"/>
    </row>
    <row r="937" ht="14.25" customHeight="1">
      <c r="G937" s="187"/>
    </row>
    <row r="938" ht="14.25" customHeight="1">
      <c r="G938" s="187"/>
    </row>
    <row r="939" ht="14.25" customHeight="1">
      <c r="G939" s="187"/>
    </row>
    <row r="940" ht="14.25" customHeight="1">
      <c r="G940" s="187"/>
    </row>
    <row r="941" ht="14.25" customHeight="1">
      <c r="G941" s="187"/>
    </row>
    <row r="942" ht="14.25" customHeight="1">
      <c r="G942" s="187"/>
    </row>
    <row r="943" ht="14.25" customHeight="1">
      <c r="G943" s="187"/>
    </row>
    <row r="944" ht="14.25" customHeight="1">
      <c r="G944" s="187"/>
    </row>
    <row r="945" ht="14.25" customHeight="1">
      <c r="G945" s="187"/>
    </row>
    <row r="946" ht="14.25" customHeight="1">
      <c r="G946" s="187"/>
    </row>
    <row r="947" ht="14.25" customHeight="1">
      <c r="G947" s="187"/>
    </row>
    <row r="948" ht="14.25" customHeight="1">
      <c r="G948" s="187"/>
    </row>
    <row r="949" ht="14.25" customHeight="1">
      <c r="G949" s="187"/>
    </row>
    <row r="950" ht="14.25" customHeight="1">
      <c r="G950" s="187"/>
    </row>
    <row r="951" ht="14.25" customHeight="1">
      <c r="G951" s="187"/>
    </row>
    <row r="952" ht="14.25" customHeight="1">
      <c r="G952" s="187"/>
    </row>
    <row r="953" ht="14.25" customHeight="1">
      <c r="G953" s="187"/>
    </row>
    <row r="954" ht="14.25" customHeight="1">
      <c r="G954" s="187"/>
    </row>
    <row r="955" ht="14.25" customHeight="1">
      <c r="G955" s="187"/>
    </row>
    <row r="956" ht="14.25" customHeight="1">
      <c r="G956" s="187"/>
    </row>
    <row r="957" ht="14.25" customHeight="1">
      <c r="G957" s="187"/>
    </row>
    <row r="958" ht="14.25" customHeight="1">
      <c r="G958" s="187"/>
    </row>
    <row r="959" ht="14.25" customHeight="1">
      <c r="G959" s="187"/>
    </row>
    <row r="960" ht="14.25" customHeight="1">
      <c r="G960" s="187"/>
    </row>
    <row r="961" ht="14.25" customHeight="1">
      <c r="G961" s="187"/>
    </row>
    <row r="962" ht="14.25" customHeight="1">
      <c r="G962" s="187"/>
    </row>
    <row r="963" ht="14.25" customHeight="1">
      <c r="G963" s="187"/>
    </row>
    <row r="964" ht="14.25" customHeight="1">
      <c r="G964" s="187"/>
    </row>
    <row r="965" ht="14.25" customHeight="1">
      <c r="G965" s="187"/>
    </row>
    <row r="966" ht="14.25" customHeight="1">
      <c r="G966" s="187"/>
    </row>
    <row r="967" ht="14.25" customHeight="1">
      <c r="G967" s="187"/>
    </row>
    <row r="968" ht="14.25" customHeight="1">
      <c r="G968" s="187"/>
    </row>
    <row r="969" ht="14.25" customHeight="1">
      <c r="G969" s="187"/>
    </row>
    <row r="970" ht="14.25" customHeight="1">
      <c r="G970" s="187"/>
    </row>
    <row r="971" ht="14.25" customHeight="1">
      <c r="G971" s="187"/>
    </row>
    <row r="972" ht="14.25" customHeight="1">
      <c r="G972" s="187"/>
    </row>
    <row r="973" ht="14.25" customHeight="1">
      <c r="G973" s="187"/>
    </row>
    <row r="974" ht="14.25" customHeight="1">
      <c r="G974" s="187"/>
    </row>
    <row r="975" ht="14.25" customHeight="1">
      <c r="G975" s="187"/>
    </row>
    <row r="976" ht="14.25" customHeight="1">
      <c r="G976" s="187"/>
    </row>
    <row r="977" ht="14.25" customHeight="1">
      <c r="G977" s="187"/>
    </row>
    <row r="978" ht="14.25" customHeight="1">
      <c r="G978" s="187"/>
    </row>
    <row r="979" ht="14.25" customHeight="1">
      <c r="G979" s="187"/>
    </row>
    <row r="980" ht="14.25" customHeight="1">
      <c r="G980" s="187"/>
    </row>
    <row r="981" ht="14.25" customHeight="1">
      <c r="G981" s="187"/>
    </row>
    <row r="982" ht="14.25" customHeight="1">
      <c r="G982" s="187"/>
    </row>
    <row r="983" ht="14.25" customHeight="1">
      <c r="G983" s="187"/>
    </row>
    <row r="984" ht="14.25" customHeight="1">
      <c r="G984" s="187"/>
    </row>
    <row r="985" ht="14.25" customHeight="1">
      <c r="G985" s="187"/>
    </row>
    <row r="986" ht="14.25" customHeight="1">
      <c r="G986" s="187"/>
    </row>
    <row r="987" ht="14.25" customHeight="1">
      <c r="G987" s="187"/>
    </row>
    <row r="988" ht="14.25" customHeight="1">
      <c r="G988" s="187"/>
    </row>
    <row r="989" ht="14.25" customHeight="1">
      <c r="G989" s="187"/>
    </row>
    <row r="990" ht="14.25" customHeight="1">
      <c r="G990" s="187"/>
    </row>
    <row r="991" ht="14.25" customHeight="1">
      <c r="G991" s="187"/>
    </row>
    <row r="992" ht="14.25" customHeight="1">
      <c r="G992" s="187"/>
    </row>
    <row r="993" ht="14.25" customHeight="1">
      <c r="G993" s="187"/>
    </row>
    <row r="994" ht="14.25" customHeight="1">
      <c r="G994" s="187"/>
    </row>
    <row r="995" ht="14.25" customHeight="1">
      <c r="G995" s="187"/>
    </row>
    <row r="996" ht="14.25" customHeight="1">
      <c r="G996" s="187"/>
    </row>
    <row r="997" ht="14.25" customHeight="1">
      <c r="G997" s="187"/>
    </row>
    <row r="998" ht="14.25" customHeight="1">
      <c r="G998" s="187"/>
    </row>
    <row r="999" ht="14.25" customHeight="1">
      <c r="G999" s="187"/>
    </row>
    <row r="1000" ht="14.25" customHeight="1">
      <c r="G1000" s="187"/>
    </row>
  </sheetData>
  <mergeCells count="26">
    <mergeCell ref="AM6:AM7"/>
    <mergeCell ref="AN6:AN7"/>
    <mergeCell ref="AO9:AW9"/>
    <mergeCell ref="AO30:AU30"/>
    <mergeCell ref="AO38:AR38"/>
    <mergeCell ref="A5:D5"/>
    <mergeCell ref="B6:B7"/>
    <mergeCell ref="C6:C7"/>
    <mergeCell ref="D6:D7"/>
    <mergeCell ref="E6:E7"/>
    <mergeCell ref="F6:F7"/>
    <mergeCell ref="G6:G7"/>
    <mergeCell ref="B50:G50"/>
    <mergeCell ref="B51:G51"/>
    <mergeCell ref="A57:G57"/>
    <mergeCell ref="E61:G61"/>
    <mergeCell ref="L61:S61"/>
    <mergeCell ref="E63:G63"/>
    <mergeCell ref="E65:G65"/>
    <mergeCell ref="G24:G28"/>
    <mergeCell ref="G29:G32"/>
    <mergeCell ref="A39:A40"/>
    <mergeCell ref="B39:B40"/>
    <mergeCell ref="C39:C40"/>
    <mergeCell ref="D39:D40"/>
    <mergeCell ref="B49:G49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5.43"/>
    <col customWidth="1" min="6" max="6" width="9.29"/>
    <col customWidth="1" min="7" max="7" width="7.43"/>
    <col customWidth="1" min="8" max="8" width="5.14"/>
    <col customWidth="1" min="9" max="9" width="4.71"/>
    <col customWidth="1" min="10" max="10" width="4.43"/>
    <col customWidth="1" min="11" max="11" width="4.71"/>
    <col customWidth="1" min="12" max="14" width="5.29"/>
    <col customWidth="1" min="15" max="15" width="5.14"/>
    <col customWidth="1" min="16" max="16" width="5.29"/>
    <col customWidth="1" min="17" max="17" width="4.57"/>
    <col customWidth="1" min="18" max="18" width="5.29"/>
    <col customWidth="1" min="19" max="19" width="5.0"/>
    <col customWidth="1" min="20" max="20" width="5.29"/>
    <col customWidth="1" min="21" max="21" width="5.0"/>
    <col customWidth="1" min="22" max="23" width="5.29"/>
    <col customWidth="1" min="24" max="24" width="5.14"/>
    <col customWidth="1" min="25" max="25" width="4.71"/>
    <col customWidth="1" min="26" max="26" width="5.0"/>
    <col customWidth="1" min="27" max="27" width="4.86"/>
    <col customWidth="1" min="28" max="30" width="5.0"/>
    <col customWidth="1" min="31" max="31" width="5.29"/>
    <col customWidth="1" min="32" max="32" width="4.86"/>
    <col customWidth="1" min="33" max="33" width="4.71"/>
    <col customWidth="1" min="34" max="38" width="4.57"/>
    <col customWidth="1" min="39" max="39" width="12.71"/>
    <col customWidth="1" min="40" max="40" width="17.43"/>
    <col customWidth="1" min="41" max="41" width="17.57"/>
    <col customWidth="1" min="42" max="42" width="11.71"/>
    <col customWidth="1" min="43" max="49" width="8.71"/>
  </cols>
  <sheetData>
    <row r="1" ht="14.25" customHeight="1">
      <c r="A1" s="2"/>
      <c r="B1" s="3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 t="s">
        <v>0</v>
      </c>
    </row>
    <row r="2" ht="14.25" customHeight="1">
      <c r="A2" s="2"/>
      <c r="B2" s="3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</v>
      </c>
    </row>
    <row r="3" ht="14.25" customHeight="1">
      <c r="A3" s="2"/>
      <c r="B3" s="3"/>
      <c r="C3" s="2"/>
      <c r="D3" s="2"/>
      <c r="E3" s="2"/>
      <c r="F3" s="2"/>
      <c r="G3" s="4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2</v>
      </c>
    </row>
    <row r="4" ht="14.25" customHeight="1">
      <c r="A4" s="2"/>
      <c r="B4" s="3"/>
      <c r="C4" s="2"/>
      <c r="D4" s="2"/>
      <c r="E4" s="2"/>
      <c r="F4" s="2"/>
      <c r="G4" s="4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7" t="s">
        <v>3</v>
      </c>
    </row>
    <row r="5" ht="14.25" customHeight="1">
      <c r="A5" s="8" t="s">
        <v>4</v>
      </c>
      <c r="B5" s="9"/>
      <c r="C5" s="9"/>
      <c r="D5" s="9"/>
      <c r="E5" s="2"/>
      <c r="F5" s="2"/>
      <c r="G5" s="4"/>
      <c r="H5" s="5"/>
      <c r="I5" s="5"/>
      <c r="J5" s="5"/>
      <c r="K5" s="5"/>
      <c r="L5" s="5"/>
      <c r="M5" s="5"/>
      <c r="N5" s="5"/>
      <c r="O5" s="5"/>
      <c r="P5" s="5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 t="s">
        <v>12</v>
      </c>
      <c r="G6" s="13" t="s">
        <v>13</v>
      </c>
      <c r="H6" s="15">
        <v>1.0</v>
      </c>
      <c r="I6" s="15">
        <f t="shared" ref="I6:AB6" si="1">H6+1</f>
        <v>2</v>
      </c>
      <c r="J6" s="15">
        <f t="shared" si="1"/>
        <v>3</v>
      </c>
      <c r="K6" s="15">
        <f t="shared" si="1"/>
        <v>4</v>
      </c>
      <c r="L6" s="15">
        <f t="shared" si="1"/>
        <v>5</v>
      </c>
      <c r="M6" s="15">
        <f t="shared" si="1"/>
        <v>6</v>
      </c>
      <c r="N6" s="15">
        <f t="shared" si="1"/>
        <v>7</v>
      </c>
      <c r="O6" s="15">
        <f t="shared" si="1"/>
        <v>8</v>
      </c>
      <c r="P6" s="15">
        <f t="shared" si="1"/>
        <v>9</v>
      </c>
      <c r="Q6" s="15">
        <f t="shared" si="1"/>
        <v>10</v>
      </c>
      <c r="R6" s="15">
        <f t="shared" si="1"/>
        <v>11</v>
      </c>
      <c r="S6" s="15">
        <f t="shared" si="1"/>
        <v>12</v>
      </c>
      <c r="T6" s="15">
        <f t="shared" si="1"/>
        <v>13</v>
      </c>
      <c r="U6" s="15">
        <f t="shared" si="1"/>
        <v>14</v>
      </c>
      <c r="V6" s="15">
        <f t="shared" si="1"/>
        <v>15</v>
      </c>
      <c r="W6" s="15">
        <f t="shared" si="1"/>
        <v>16</v>
      </c>
      <c r="X6" s="15">
        <f t="shared" si="1"/>
        <v>17</v>
      </c>
      <c r="Y6" s="15">
        <f t="shared" si="1"/>
        <v>18</v>
      </c>
      <c r="Z6" s="15">
        <f t="shared" si="1"/>
        <v>19</v>
      </c>
      <c r="AA6" s="15">
        <f t="shared" si="1"/>
        <v>20</v>
      </c>
      <c r="AB6" s="15">
        <f t="shared" si="1"/>
        <v>21</v>
      </c>
      <c r="AC6" s="15">
        <v>22.0</v>
      </c>
      <c r="AD6" s="15">
        <v>23.0</v>
      </c>
      <c r="AE6" s="15">
        <v>24.0</v>
      </c>
      <c r="AF6" s="15">
        <v>25.0</v>
      </c>
      <c r="AG6" s="15">
        <v>26.0</v>
      </c>
      <c r="AH6" s="15">
        <v>27.0</v>
      </c>
      <c r="AI6" s="15">
        <v>28.0</v>
      </c>
      <c r="AJ6" s="15">
        <v>29.0</v>
      </c>
      <c r="AK6" s="15">
        <v>30.0</v>
      </c>
      <c r="AL6" s="15">
        <v>31.0</v>
      </c>
      <c r="AM6" s="13" t="s">
        <v>14</v>
      </c>
      <c r="AN6" s="13" t="s">
        <v>15</v>
      </c>
    </row>
    <row r="7" ht="14.25" customHeight="1">
      <c r="A7" s="16"/>
      <c r="B7" s="17"/>
      <c r="C7" s="17"/>
      <c r="D7" s="17"/>
      <c r="E7" s="17"/>
      <c r="F7" s="17"/>
      <c r="G7" s="17"/>
      <c r="H7" s="18" t="s">
        <v>18</v>
      </c>
      <c r="I7" s="18" t="s">
        <v>19</v>
      </c>
      <c r="J7" s="18" t="s">
        <v>20</v>
      </c>
      <c r="K7" s="18" t="s">
        <v>21</v>
      </c>
      <c r="L7" s="18" t="s">
        <v>22</v>
      </c>
      <c r="M7" s="18" t="s">
        <v>16</v>
      </c>
      <c r="N7" s="18" t="s">
        <v>17</v>
      </c>
      <c r="O7" s="18" t="s">
        <v>18</v>
      </c>
      <c r="P7" s="18" t="s">
        <v>19</v>
      </c>
      <c r="Q7" s="18" t="s">
        <v>20</v>
      </c>
      <c r="R7" s="18" t="s">
        <v>21</v>
      </c>
      <c r="S7" s="18" t="s">
        <v>22</v>
      </c>
      <c r="T7" s="18" t="s">
        <v>16</v>
      </c>
      <c r="U7" s="18" t="s">
        <v>17</v>
      </c>
      <c r="V7" s="18" t="s">
        <v>18</v>
      </c>
      <c r="W7" s="18" t="s">
        <v>19</v>
      </c>
      <c r="X7" s="18" t="s">
        <v>20</v>
      </c>
      <c r="Y7" s="18" t="s">
        <v>21</v>
      </c>
      <c r="Z7" s="18" t="s">
        <v>22</v>
      </c>
      <c r="AA7" s="18" t="s">
        <v>16</v>
      </c>
      <c r="AB7" s="18" t="s">
        <v>17</v>
      </c>
      <c r="AC7" s="18" t="s">
        <v>18</v>
      </c>
      <c r="AD7" s="18" t="s">
        <v>19</v>
      </c>
      <c r="AE7" s="18" t="s">
        <v>20</v>
      </c>
      <c r="AF7" s="18" t="s">
        <v>21</v>
      </c>
      <c r="AG7" s="18" t="s">
        <v>22</v>
      </c>
      <c r="AH7" s="18" t="s">
        <v>16</v>
      </c>
      <c r="AI7" s="18" t="s">
        <v>17</v>
      </c>
      <c r="AJ7" s="18" t="s">
        <v>18</v>
      </c>
      <c r="AK7" s="18" t="s">
        <v>19</v>
      </c>
      <c r="AL7" s="18" t="s">
        <v>20</v>
      </c>
      <c r="AM7" s="17"/>
      <c r="AN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2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2"/>
      <c r="AN8" s="23"/>
    </row>
    <row r="9" ht="14.25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7">
        <v>12.0</v>
      </c>
      <c r="G9" s="28" t="s">
        <v>26</v>
      </c>
      <c r="H9" s="30">
        <v>12.0</v>
      </c>
      <c r="I9" s="30">
        <v>12.0</v>
      </c>
      <c r="J9" s="29"/>
      <c r="K9" s="29">
        <v>12.0</v>
      </c>
      <c r="L9" s="29">
        <v>12.0</v>
      </c>
      <c r="M9" s="29">
        <v>12.0</v>
      </c>
      <c r="N9" s="29">
        <v>12.0</v>
      </c>
      <c r="O9" s="30">
        <v>12.0</v>
      </c>
      <c r="P9" s="30">
        <v>12.0</v>
      </c>
      <c r="Q9" s="29"/>
      <c r="R9" s="29">
        <v>12.0</v>
      </c>
      <c r="S9" s="29">
        <v>12.0</v>
      </c>
      <c r="T9" s="29">
        <v>12.0</v>
      </c>
      <c r="U9" s="29">
        <v>12.0</v>
      </c>
      <c r="V9" s="30">
        <v>12.0</v>
      </c>
      <c r="W9" s="30">
        <v>12.0</v>
      </c>
      <c r="X9" s="29"/>
      <c r="Y9" s="29">
        <v>12.0</v>
      </c>
      <c r="Z9" s="29">
        <v>12.0</v>
      </c>
      <c r="AA9" s="29">
        <v>12.0</v>
      </c>
      <c r="AB9" s="29">
        <v>12.0</v>
      </c>
      <c r="AC9" s="30">
        <v>12.0</v>
      </c>
      <c r="AD9" s="30">
        <v>12.0</v>
      </c>
      <c r="AE9" s="29"/>
      <c r="AF9" s="29">
        <v>12.0</v>
      </c>
      <c r="AG9" s="29">
        <v>12.0</v>
      </c>
      <c r="AH9" s="29">
        <v>12.0</v>
      </c>
      <c r="AI9" s="29">
        <v>12.0</v>
      </c>
      <c r="AJ9" s="30">
        <v>12.0</v>
      </c>
      <c r="AK9" s="30">
        <v>12.0</v>
      </c>
      <c r="AL9" s="29"/>
      <c r="AM9" s="31">
        <f t="shared" ref="AM9:AM14" si="2">COUNTA(H9:AL9)</f>
        <v>26</v>
      </c>
      <c r="AN9" s="32">
        <f t="shared" ref="AN9:AN14" si="3">SUM(H9:AK9)</f>
        <v>312</v>
      </c>
      <c r="AO9" s="33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7">
        <v>12.0</v>
      </c>
      <c r="G10" s="28" t="s">
        <v>30</v>
      </c>
      <c r="H10" s="30">
        <v>9.0</v>
      </c>
      <c r="I10" s="30"/>
      <c r="J10" s="29"/>
      <c r="K10" s="29">
        <v>9.0</v>
      </c>
      <c r="L10" s="29">
        <v>9.0</v>
      </c>
      <c r="M10" s="29">
        <v>9.0</v>
      </c>
      <c r="N10" s="29">
        <v>9.0</v>
      </c>
      <c r="O10" s="30">
        <v>9.0</v>
      </c>
      <c r="P10" s="30"/>
      <c r="Q10" s="29"/>
      <c r="R10" s="29">
        <v>9.0</v>
      </c>
      <c r="S10" s="29">
        <v>9.0</v>
      </c>
      <c r="T10" s="29">
        <v>9.0</v>
      </c>
      <c r="U10" s="29">
        <v>9.0</v>
      </c>
      <c r="V10" s="30">
        <v>9.0</v>
      </c>
      <c r="W10" s="30"/>
      <c r="X10" s="29"/>
      <c r="Y10" s="29">
        <v>9.0</v>
      </c>
      <c r="Z10" s="29">
        <v>9.0</v>
      </c>
      <c r="AA10" s="29">
        <v>9.0</v>
      </c>
      <c r="AB10" s="29">
        <v>9.0</v>
      </c>
      <c r="AC10" s="30">
        <v>9.0</v>
      </c>
      <c r="AD10" s="30"/>
      <c r="AE10" s="29"/>
      <c r="AF10" s="29">
        <v>9.0</v>
      </c>
      <c r="AG10" s="29">
        <v>9.0</v>
      </c>
      <c r="AH10" s="29">
        <v>9.0</v>
      </c>
      <c r="AI10" s="29">
        <v>9.0</v>
      </c>
      <c r="AJ10" s="30">
        <v>9.0</v>
      </c>
      <c r="AK10" s="30"/>
      <c r="AL10" s="29"/>
      <c r="AM10" s="31">
        <f t="shared" si="2"/>
        <v>21</v>
      </c>
      <c r="AN10" s="32">
        <f t="shared" si="3"/>
        <v>189</v>
      </c>
    </row>
    <row r="11" ht="14.25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6">
        <v>9.0</v>
      </c>
      <c r="G11" s="28" t="s">
        <v>30</v>
      </c>
      <c r="H11" s="30">
        <v>9.0</v>
      </c>
      <c r="I11" s="30"/>
      <c r="J11" s="29"/>
      <c r="K11" s="29">
        <v>9.0</v>
      </c>
      <c r="L11" s="29">
        <v>9.0</v>
      </c>
      <c r="M11" s="29">
        <v>9.0</v>
      </c>
      <c r="N11" s="29">
        <v>9.0</v>
      </c>
      <c r="O11" s="30">
        <v>9.0</v>
      </c>
      <c r="P11" s="30"/>
      <c r="Q11" s="29"/>
      <c r="R11" s="29">
        <v>9.0</v>
      </c>
      <c r="S11" s="29">
        <v>9.0</v>
      </c>
      <c r="T11" s="29">
        <v>9.0</v>
      </c>
      <c r="U11" s="29">
        <v>9.0</v>
      </c>
      <c r="V11" s="30">
        <v>9.0</v>
      </c>
      <c r="W11" s="30"/>
      <c r="X11" s="29"/>
      <c r="Y11" s="29">
        <v>9.0</v>
      </c>
      <c r="Z11" s="29">
        <v>9.0</v>
      </c>
      <c r="AA11" s="29">
        <v>9.0</v>
      </c>
      <c r="AB11" s="29">
        <v>9.0</v>
      </c>
      <c r="AC11" s="30">
        <v>9.0</v>
      </c>
      <c r="AD11" s="30"/>
      <c r="AE11" s="29"/>
      <c r="AF11" s="29">
        <v>9.0</v>
      </c>
      <c r="AG11" s="29">
        <v>9.0</v>
      </c>
      <c r="AH11" s="29">
        <v>9.0</v>
      </c>
      <c r="AI11" s="29">
        <v>9.0</v>
      </c>
      <c r="AJ11" s="30">
        <v>9.0</v>
      </c>
      <c r="AK11" s="30"/>
      <c r="AL11" s="29"/>
      <c r="AM11" s="31">
        <f t="shared" si="2"/>
        <v>21</v>
      </c>
      <c r="AN11" s="32">
        <f t="shared" si="3"/>
        <v>189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7">
        <v>9.0</v>
      </c>
      <c r="G12" s="28" t="s">
        <v>30</v>
      </c>
      <c r="H12" s="30">
        <v>9.0</v>
      </c>
      <c r="I12" s="30"/>
      <c r="J12" s="29"/>
      <c r="K12" s="29">
        <v>9.0</v>
      </c>
      <c r="L12" s="29">
        <v>9.0</v>
      </c>
      <c r="M12" s="29">
        <v>9.0</v>
      </c>
      <c r="N12" s="29">
        <v>9.0</v>
      </c>
      <c r="O12" s="30">
        <v>9.0</v>
      </c>
      <c r="P12" s="30"/>
      <c r="Q12" s="29"/>
      <c r="R12" s="29">
        <v>9.0</v>
      </c>
      <c r="S12" s="29">
        <v>9.0</v>
      </c>
      <c r="T12" s="29">
        <v>9.0</v>
      </c>
      <c r="U12" s="29">
        <v>9.0</v>
      </c>
      <c r="V12" s="30">
        <v>9.0</v>
      </c>
      <c r="W12" s="30"/>
      <c r="X12" s="29"/>
      <c r="Y12" s="29">
        <v>9.0</v>
      </c>
      <c r="Z12" s="29">
        <v>9.0</v>
      </c>
      <c r="AA12" s="29">
        <v>9.0</v>
      </c>
      <c r="AB12" s="29">
        <v>9.0</v>
      </c>
      <c r="AC12" s="30">
        <v>9.0</v>
      </c>
      <c r="AD12" s="30"/>
      <c r="AE12" s="29"/>
      <c r="AF12" s="29">
        <v>9.0</v>
      </c>
      <c r="AG12" s="29">
        <v>9.0</v>
      </c>
      <c r="AH12" s="29">
        <v>9.0</v>
      </c>
      <c r="AI12" s="29">
        <v>9.0</v>
      </c>
      <c r="AJ12" s="30">
        <v>9.0</v>
      </c>
      <c r="AK12" s="30"/>
      <c r="AL12" s="29"/>
      <c r="AM12" s="31">
        <f t="shared" si="2"/>
        <v>21</v>
      </c>
      <c r="AN12" s="32">
        <f t="shared" si="3"/>
        <v>189</v>
      </c>
    </row>
    <row r="13" ht="14.25" customHeight="1">
      <c r="A13" s="24">
        <v>5.0</v>
      </c>
      <c r="B13" s="35" t="s">
        <v>36</v>
      </c>
      <c r="C13" s="27">
        <v>1.0</v>
      </c>
      <c r="D13" s="36" t="s">
        <v>174</v>
      </c>
      <c r="E13" s="27" t="s">
        <v>33</v>
      </c>
      <c r="F13" s="27">
        <v>9.0</v>
      </c>
      <c r="G13" s="28" t="s">
        <v>30</v>
      </c>
      <c r="H13" s="30">
        <v>9.0</v>
      </c>
      <c r="I13" s="30"/>
      <c r="J13" s="29"/>
      <c r="K13" s="29">
        <v>9.0</v>
      </c>
      <c r="L13" s="29">
        <v>9.0</v>
      </c>
      <c r="M13" s="29">
        <v>9.0</v>
      </c>
      <c r="N13" s="29">
        <v>9.0</v>
      </c>
      <c r="O13" s="30">
        <v>9.0</v>
      </c>
      <c r="P13" s="30"/>
      <c r="Q13" s="29"/>
      <c r="R13" s="29">
        <v>9.0</v>
      </c>
      <c r="S13" s="29">
        <v>9.0</v>
      </c>
      <c r="T13" s="29">
        <v>9.0</v>
      </c>
      <c r="U13" s="29">
        <v>9.0</v>
      </c>
      <c r="V13" s="30">
        <v>9.0</v>
      </c>
      <c r="W13" s="30"/>
      <c r="X13" s="29"/>
      <c r="Y13" s="29">
        <v>9.0</v>
      </c>
      <c r="Z13" s="29">
        <v>9.0</v>
      </c>
      <c r="AA13" s="29">
        <v>9.0</v>
      </c>
      <c r="AB13" s="29">
        <v>9.0</v>
      </c>
      <c r="AC13" s="30">
        <v>9.0</v>
      </c>
      <c r="AD13" s="30"/>
      <c r="AE13" s="29"/>
      <c r="AF13" s="29">
        <v>9.0</v>
      </c>
      <c r="AG13" s="29">
        <v>9.0</v>
      </c>
      <c r="AH13" s="29">
        <v>9.0</v>
      </c>
      <c r="AI13" s="29">
        <v>9.0</v>
      </c>
      <c r="AJ13" s="30">
        <v>9.0</v>
      </c>
      <c r="AK13" s="30"/>
      <c r="AL13" s="29"/>
      <c r="AM13" s="31">
        <f t="shared" si="2"/>
        <v>21</v>
      </c>
      <c r="AN13" s="32">
        <f t="shared" si="3"/>
        <v>189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42</v>
      </c>
      <c r="E14" s="27" t="s">
        <v>40</v>
      </c>
      <c r="F14" s="27">
        <v>12.0</v>
      </c>
      <c r="G14" s="28" t="s">
        <v>30</v>
      </c>
      <c r="H14" s="30">
        <v>12.0</v>
      </c>
      <c r="I14" s="46">
        <v>12.0</v>
      </c>
      <c r="J14" s="44">
        <v>12.0</v>
      </c>
      <c r="K14" s="29">
        <v>12.0</v>
      </c>
      <c r="L14" s="29"/>
      <c r="M14" s="29"/>
      <c r="N14" s="29">
        <v>12.0</v>
      </c>
      <c r="O14" s="30">
        <v>12.0</v>
      </c>
      <c r="P14" s="30">
        <v>12.0</v>
      </c>
      <c r="Q14" s="29">
        <v>12.0</v>
      </c>
      <c r="R14" s="29">
        <v>12.0</v>
      </c>
      <c r="S14" s="29"/>
      <c r="T14" s="29"/>
      <c r="U14" s="29">
        <v>12.0</v>
      </c>
      <c r="V14" s="30">
        <v>12.0</v>
      </c>
      <c r="W14" s="30">
        <v>12.0</v>
      </c>
      <c r="X14" s="29">
        <v>12.0</v>
      </c>
      <c r="Y14" s="29">
        <v>12.0</v>
      </c>
      <c r="Z14" s="29"/>
      <c r="AA14" s="29"/>
      <c r="AB14" s="29">
        <v>12.0</v>
      </c>
      <c r="AC14" s="30">
        <v>12.0</v>
      </c>
      <c r="AD14" s="30">
        <v>12.0</v>
      </c>
      <c r="AE14" s="29">
        <v>12.0</v>
      </c>
      <c r="AF14" s="29">
        <v>12.0</v>
      </c>
      <c r="AG14" s="29"/>
      <c r="AH14" s="29"/>
      <c r="AI14" s="29">
        <v>12.0</v>
      </c>
      <c r="AJ14" s="30">
        <v>12.0</v>
      </c>
      <c r="AK14" s="30">
        <v>12.0</v>
      </c>
      <c r="AL14" s="29">
        <v>12.0</v>
      </c>
      <c r="AM14" s="31">
        <f t="shared" si="2"/>
        <v>23</v>
      </c>
      <c r="AN14" s="32">
        <f t="shared" si="3"/>
        <v>264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8"/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3"/>
      <c r="AN15" s="45"/>
    </row>
    <row r="16" ht="14.25" customHeight="1">
      <c r="A16" s="24">
        <v>7.0</v>
      </c>
      <c r="B16" s="35" t="s">
        <v>53</v>
      </c>
      <c r="C16" s="27">
        <v>1.0</v>
      </c>
      <c r="D16" s="36" t="s">
        <v>54</v>
      </c>
      <c r="E16" s="27" t="s">
        <v>55</v>
      </c>
      <c r="F16" s="27">
        <v>12.0</v>
      </c>
      <c r="G16" s="47" t="s">
        <v>46</v>
      </c>
      <c r="H16" s="30">
        <v>12.0</v>
      </c>
      <c r="I16" s="30">
        <v>12.0</v>
      </c>
      <c r="J16" s="29">
        <v>12.0</v>
      </c>
      <c r="K16" s="29"/>
      <c r="L16" s="48">
        <v>12.0</v>
      </c>
      <c r="M16" s="48">
        <v>12.0</v>
      </c>
      <c r="N16" s="48">
        <v>12.0</v>
      </c>
      <c r="O16" s="49">
        <v>12.0</v>
      </c>
      <c r="P16" s="49">
        <v>12.0</v>
      </c>
      <c r="Q16" s="48">
        <v>12.0</v>
      </c>
      <c r="R16" s="29"/>
      <c r="S16" s="48">
        <v>12.0</v>
      </c>
      <c r="T16" s="48">
        <v>12.0</v>
      </c>
      <c r="U16" s="48">
        <v>12.0</v>
      </c>
      <c r="V16" s="49">
        <v>12.0</v>
      </c>
      <c r="W16" s="49">
        <v>12.0</v>
      </c>
      <c r="X16" s="48">
        <v>12.0</v>
      </c>
      <c r="Y16" s="29"/>
      <c r="Z16" s="48">
        <v>12.0</v>
      </c>
      <c r="AA16" s="48">
        <v>12.0</v>
      </c>
      <c r="AB16" s="48">
        <v>12.0</v>
      </c>
      <c r="AC16" s="49">
        <v>12.0</v>
      </c>
      <c r="AD16" s="49">
        <v>12.0</v>
      </c>
      <c r="AE16" s="48">
        <v>12.0</v>
      </c>
      <c r="AF16" s="29"/>
      <c r="AG16" s="48">
        <v>12.0</v>
      </c>
      <c r="AH16" s="48">
        <v>12.0</v>
      </c>
      <c r="AI16" s="48">
        <v>12.0</v>
      </c>
      <c r="AJ16" s="49">
        <v>12.0</v>
      </c>
      <c r="AK16" s="49">
        <v>12.0</v>
      </c>
      <c r="AL16" s="48">
        <v>12.0</v>
      </c>
      <c r="AM16" s="31">
        <f t="shared" ref="AM16:AM21" si="4">COUNTA(H16:AL16)</f>
        <v>27</v>
      </c>
      <c r="AN16" s="51">
        <f t="shared" ref="AN16:AN21" si="5">SUM(H16:AK16)</f>
        <v>312</v>
      </c>
    </row>
    <row r="17" ht="14.25" customHeight="1">
      <c r="A17" s="24">
        <v>8.0</v>
      </c>
      <c r="B17" s="35" t="s">
        <v>49</v>
      </c>
      <c r="C17" s="27">
        <v>1.0</v>
      </c>
      <c r="D17" s="36" t="s">
        <v>60</v>
      </c>
      <c r="E17" s="27" t="s">
        <v>51</v>
      </c>
      <c r="F17" s="27">
        <v>24.0</v>
      </c>
      <c r="G17" s="47" t="s">
        <v>52</v>
      </c>
      <c r="H17" s="30">
        <v>24.0</v>
      </c>
      <c r="I17" s="30"/>
      <c r="J17" s="29">
        <v>24.0</v>
      </c>
      <c r="K17" s="29"/>
      <c r="L17" s="29">
        <v>24.0</v>
      </c>
      <c r="M17" s="29"/>
      <c r="N17" s="29">
        <v>24.0</v>
      </c>
      <c r="O17" s="30"/>
      <c r="P17" s="30">
        <v>24.0</v>
      </c>
      <c r="Q17" s="29"/>
      <c r="R17" s="29">
        <v>24.0</v>
      </c>
      <c r="S17" s="29"/>
      <c r="T17" s="29">
        <v>24.0</v>
      </c>
      <c r="U17" s="29"/>
      <c r="V17" s="30">
        <v>24.0</v>
      </c>
      <c r="W17" s="30"/>
      <c r="X17" s="29">
        <v>24.0</v>
      </c>
      <c r="Y17" s="29"/>
      <c r="Z17" s="29">
        <v>24.0</v>
      </c>
      <c r="AA17" s="29"/>
      <c r="AB17" s="29">
        <v>24.0</v>
      </c>
      <c r="AC17" s="30"/>
      <c r="AD17" s="30">
        <v>24.0</v>
      </c>
      <c r="AE17" s="29"/>
      <c r="AF17" s="29">
        <v>24.0</v>
      </c>
      <c r="AG17" s="29"/>
      <c r="AH17" s="29">
        <v>24.0</v>
      </c>
      <c r="AI17" s="29"/>
      <c r="AJ17" s="30">
        <v>24.0</v>
      </c>
      <c r="AK17" s="30"/>
      <c r="AL17" s="29">
        <v>24.0</v>
      </c>
      <c r="AM17" s="31">
        <f t="shared" si="4"/>
        <v>16</v>
      </c>
      <c r="AN17" s="51">
        <f t="shared" si="5"/>
        <v>360</v>
      </c>
    </row>
    <row r="18" ht="14.25" customHeight="1">
      <c r="A18" s="24">
        <v>9.0</v>
      </c>
      <c r="B18" s="35" t="s">
        <v>49</v>
      </c>
      <c r="C18" s="27">
        <v>1.0</v>
      </c>
      <c r="D18" s="36" t="s">
        <v>56</v>
      </c>
      <c r="E18" s="27" t="s">
        <v>51</v>
      </c>
      <c r="F18" s="27">
        <v>24.0</v>
      </c>
      <c r="G18" s="47" t="s">
        <v>52</v>
      </c>
      <c r="H18" s="30"/>
      <c r="I18" s="30">
        <v>24.0</v>
      </c>
      <c r="J18" s="29"/>
      <c r="K18" s="29">
        <v>24.0</v>
      </c>
      <c r="L18" s="29"/>
      <c r="M18" s="29">
        <v>24.0</v>
      </c>
      <c r="N18" s="29"/>
      <c r="O18" s="30">
        <v>24.0</v>
      </c>
      <c r="P18" s="30"/>
      <c r="Q18" s="29">
        <v>24.0</v>
      </c>
      <c r="R18" s="29"/>
      <c r="S18" s="29">
        <v>24.0</v>
      </c>
      <c r="T18" s="29"/>
      <c r="U18" s="29">
        <v>24.0</v>
      </c>
      <c r="V18" s="30"/>
      <c r="W18" s="30">
        <v>24.0</v>
      </c>
      <c r="X18" s="29"/>
      <c r="Y18" s="29">
        <v>24.0</v>
      </c>
      <c r="Z18" s="29"/>
      <c r="AA18" s="29">
        <v>24.0</v>
      </c>
      <c r="AB18" s="29"/>
      <c r="AC18" s="30">
        <v>24.0</v>
      </c>
      <c r="AD18" s="30"/>
      <c r="AE18" s="29">
        <v>24.0</v>
      </c>
      <c r="AF18" s="29"/>
      <c r="AG18" s="29">
        <v>24.0</v>
      </c>
      <c r="AH18" s="29"/>
      <c r="AI18" s="29">
        <v>24.0</v>
      </c>
      <c r="AJ18" s="30"/>
      <c r="AK18" s="30">
        <v>24.0</v>
      </c>
      <c r="AL18" s="29"/>
      <c r="AM18" s="31">
        <f t="shared" si="4"/>
        <v>15</v>
      </c>
      <c r="AN18" s="51">
        <f t="shared" si="5"/>
        <v>360</v>
      </c>
    </row>
    <row r="19" ht="14.25" customHeight="1">
      <c r="A19" s="24">
        <v>10.0</v>
      </c>
      <c r="B19" s="35" t="s">
        <v>62</v>
      </c>
      <c r="C19" s="27">
        <v>1.0</v>
      </c>
      <c r="D19" s="67" t="s">
        <v>66</v>
      </c>
      <c r="E19" s="27" t="s">
        <v>64</v>
      </c>
      <c r="F19" s="27">
        <v>12.0</v>
      </c>
      <c r="G19" s="47" t="s">
        <v>65</v>
      </c>
      <c r="H19" s="49">
        <v>12.0</v>
      </c>
      <c r="I19" s="49">
        <v>12.0</v>
      </c>
      <c r="J19" s="48">
        <v>12.0</v>
      </c>
      <c r="K19" s="48"/>
      <c r="L19" s="48">
        <v>12.0</v>
      </c>
      <c r="M19" s="48">
        <v>12.0</v>
      </c>
      <c r="N19" s="48">
        <v>12.0</v>
      </c>
      <c r="O19" s="49">
        <v>12.0</v>
      </c>
      <c r="P19" s="49">
        <v>12.0</v>
      </c>
      <c r="Q19" s="48">
        <v>12.0</v>
      </c>
      <c r="R19" s="48"/>
      <c r="S19" s="48">
        <v>12.0</v>
      </c>
      <c r="T19" s="48">
        <v>12.0</v>
      </c>
      <c r="U19" s="48">
        <v>12.0</v>
      </c>
      <c r="V19" s="49">
        <v>12.0</v>
      </c>
      <c r="W19" s="49">
        <v>12.0</v>
      </c>
      <c r="X19" s="48">
        <v>12.0</v>
      </c>
      <c r="Y19" s="69"/>
      <c r="Z19" s="48">
        <v>12.0</v>
      </c>
      <c r="AA19" s="48">
        <v>12.0</v>
      </c>
      <c r="AB19" s="48">
        <v>12.0</v>
      </c>
      <c r="AC19" s="49">
        <v>12.0</v>
      </c>
      <c r="AD19" s="49">
        <v>12.0</v>
      </c>
      <c r="AE19" s="48">
        <v>12.0</v>
      </c>
      <c r="AF19" s="48"/>
      <c r="AG19" s="48">
        <v>12.0</v>
      </c>
      <c r="AH19" s="48">
        <v>12.0</v>
      </c>
      <c r="AI19" s="48">
        <v>12.0</v>
      </c>
      <c r="AJ19" s="49">
        <v>12.0</v>
      </c>
      <c r="AK19" s="49">
        <v>12.0</v>
      </c>
      <c r="AL19" s="48">
        <v>12.0</v>
      </c>
      <c r="AM19" s="31">
        <f t="shared" si="4"/>
        <v>27</v>
      </c>
      <c r="AN19" s="51">
        <f t="shared" si="5"/>
        <v>312</v>
      </c>
    </row>
    <row r="20" ht="14.25" customHeight="1">
      <c r="A20" s="24">
        <v>11.0</v>
      </c>
      <c r="B20" s="35" t="s">
        <v>67</v>
      </c>
      <c r="C20" s="27">
        <v>1.0</v>
      </c>
      <c r="D20" s="36" t="s">
        <v>176</v>
      </c>
      <c r="E20" s="27" t="s">
        <v>70</v>
      </c>
      <c r="F20" s="27">
        <v>12.0</v>
      </c>
      <c r="G20" s="28" t="s">
        <v>30</v>
      </c>
      <c r="H20" s="30">
        <v>12.0</v>
      </c>
      <c r="I20" s="30">
        <v>12.0</v>
      </c>
      <c r="J20" s="29">
        <v>12.0</v>
      </c>
      <c r="K20" s="29">
        <v>12.0</v>
      </c>
      <c r="L20" s="29"/>
      <c r="M20" s="29"/>
      <c r="N20" s="29">
        <v>12.0</v>
      </c>
      <c r="O20" s="30">
        <v>12.0</v>
      </c>
      <c r="P20" s="30">
        <v>12.0</v>
      </c>
      <c r="Q20" s="29">
        <v>12.0</v>
      </c>
      <c r="R20" s="29">
        <v>12.0</v>
      </c>
      <c r="S20" s="29"/>
      <c r="T20" s="29"/>
      <c r="U20" s="29">
        <v>12.0</v>
      </c>
      <c r="V20" s="30">
        <v>12.0</v>
      </c>
      <c r="W20" s="30">
        <v>12.0</v>
      </c>
      <c r="X20" s="29">
        <v>12.0</v>
      </c>
      <c r="Y20" s="29">
        <v>12.0</v>
      </c>
      <c r="Z20" s="29"/>
      <c r="AA20" s="29"/>
      <c r="AB20" s="29">
        <v>12.0</v>
      </c>
      <c r="AC20" s="30">
        <v>12.0</v>
      </c>
      <c r="AD20" s="30">
        <v>12.0</v>
      </c>
      <c r="AE20" s="29">
        <v>12.0</v>
      </c>
      <c r="AF20" s="29">
        <v>12.0</v>
      </c>
      <c r="AG20" s="29"/>
      <c r="AH20" s="29"/>
      <c r="AI20" s="29">
        <v>12.0</v>
      </c>
      <c r="AJ20" s="30">
        <v>12.0</v>
      </c>
      <c r="AK20" s="30">
        <v>12.0</v>
      </c>
      <c r="AL20" s="29">
        <v>12.0</v>
      </c>
      <c r="AM20" s="31">
        <f t="shared" si="4"/>
        <v>23</v>
      </c>
      <c r="AN20" s="51">
        <f t="shared" si="5"/>
        <v>264</v>
      </c>
    </row>
    <row r="21" ht="14.25" customHeight="1">
      <c r="A21" s="24">
        <v>12.0</v>
      </c>
      <c r="B21" s="35" t="s">
        <v>71</v>
      </c>
      <c r="C21" s="27">
        <v>1.0</v>
      </c>
      <c r="D21" s="36" t="s">
        <v>76</v>
      </c>
      <c r="E21" s="27" t="s">
        <v>73</v>
      </c>
      <c r="F21" s="27">
        <v>12.0</v>
      </c>
      <c r="G21" s="28" t="s">
        <v>26</v>
      </c>
      <c r="H21" s="30">
        <v>12.0</v>
      </c>
      <c r="I21" s="30">
        <v>12.0</v>
      </c>
      <c r="J21" s="29">
        <v>12.0</v>
      </c>
      <c r="K21" s="29">
        <v>12.0</v>
      </c>
      <c r="L21" s="29">
        <v>12.0</v>
      </c>
      <c r="M21" s="29">
        <v>12.0</v>
      </c>
      <c r="N21" s="29"/>
      <c r="O21" s="30">
        <v>12.0</v>
      </c>
      <c r="P21" s="30">
        <v>12.0</v>
      </c>
      <c r="Q21" s="29">
        <v>12.0</v>
      </c>
      <c r="R21" s="29">
        <v>12.0</v>
      </c>
      <c r="S21" s="29">
        <v>12.0</v>
      </c>
      <c r="T21" s="29">
        <v>12.0</v>
      </c>
      <c r="U21" s="29"/>
      <c r="V21" s="30">
        <v>12.0</v>
      </c>
      <c r="W21" s="30">
        <v>12.0</v>
      </c>
      <c r="X21" s="29">
        <v>12.0</v>
      </c>
      <c r="Y21" s="29">
        <v>12.0</v>
      </c>
      <c r="Z21" s="29">
        <v>12.0</v>
      </c>
      <c r="AA21" s="29">
        <v>12.0</v>
      </c>
      <c r="AB21" s="29"/>
      <c r="AC21" s="30">
        <v>12.0</v>
      </c>
      <c r="AD21" s="30">
        <v>12.0</v>
      </c>
      <c r="AE21" s="29">
        <v>12.0</v>
      </c>
      <c r="AF21" s="29">
        <v>12.0</v>
      </c>
      <c r="AG21" s="29">
        <v>12.0</v>
      </c>
      <c r="AH21" s="29">
        <v>12.0</v>
      </c>
      <c r="AI21" s="29"/>
      <c r="AJ21" s="30">
        <v>12.0</v>
      </c>
      <c r="AK21" s="30">
        <v>12.0</v>
      </c>
      <c r="AL21" s="29">
        <v>12.0</v>
      </c>
      <c r="AM21" s="31">
        <f t="shared" si="4"/>
        <v>27</v>
      </c>
      <c r="AN21" s="51">
        <f t="shared" si="5"/>
        <v>312</v>
      </c>
    </row>
    <row r="22" ht="14.25" customHeight="1">
      <c r="A22" s="19"/>
      <c r="B22" s="20" t="s">
        <v>78</v>
      </c>
      <c r="C22" s="21"/>
      <c r="D22" s="77" t="s">
        <v>78</v>
      </c>
      <c r="E22" s="21"/>
      <c r="F22" s="38"/>
      <c r="G22" s="78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3"/>
      <c r="AN22" s="21"/>
    </row>
    <row r="23" ht="14.25" customHeight="1">
      <c r="A23" s="34">
        <v>13.0</v>
      </c>
      <c r="B23" s="35" t="s">
        <v>81</v>
      </c>
      <c r="C23" s="27">
        <v>1.0</v>
      </c>
      <c r="D23" s="37" t="s">
        <v>82</v>
      </c>
      <c r="E23" s="27" t="s">
        <v>83</v>
      </c>
      <c r="F23" s="65">
        <v>24.0</v>
      </c>
      <c r="G23" s="66" t="s">
        <v>85</v>
      </c>
      <c r="H23" s="82">
        <v>24.0</v>
      </c>
      <c r="I23" s="82"/>
      <c r="J23" s="81"/>
      <c r="K23" s="81">
        <v>24.0</v>
      </c>
      <c r="L23" s="81"/>
      <c r="M23" s="81"/>
      <c r="N23" s="81">
        <v>24.0</v>
      </c>
      <c r="O23" s="82"/>
      <c r="P23" s="82"/>
      <c r="Q23" s="81">
        <v>24.0</v>
      </c>
      <c r="R23" s="81"/>
      <c r="S23" s="81"/>
      <c r="T23" s="81">
        <v>24.0</v>
      </c>
      <c r="U23" s="81"/>
      <c r="V23" s="82"/>
      <c r="W23" s="82">
        <v>24.0</v>
      </c>
      <c r="X23" s="81"/>
      <c r="Y23" s="81"/>
      <c r="Z23" s="81">
        <v>24.0</v>
      </c>
      <c r="AA23" s="81"/>
      <c r="AB23" s="81"/>
      <c r="AC23" s="82">
        <v>24.0</v>
      </c>
      <c r="AD23" s="82"/>
      <c r="AE23" s="81"/>
      <c r="AF23" s="81">
        <v>24.0</v>
      </c>
      <c r="AG23" s="81"/>
      <c r="AH23" s="81"/>
      <c r="AI23" s="81">
        <v>24.0</v>
      </c>
      <c r="AJ23" s="82"/>
      <c r="AK23" s="82"/>
      <c r="AL23" s="81">
        <v>24.0</v>
      </c>
      <c r="AM23" s="31">
        <f t="shared" ref="AM23:AM39" si="6">COUNTA(H23:AL23)</f>
        <v>11</v>
      </c>
      <c r="AN23" s="51">
        <f t="shared" ref="AN23:AN39" si="7">SUM(H23:AK23)</f>
        <v>240</v>
      </c>
    </row>
    <row r="24" ht="14.25" customHeight="1">
      <c r="A24" s="34">
        <v>14.0</v>
      </c>
      <c r="B24" s="35" t="s">
        <v>86</v>
      </c>
      <c r="C24" s="27">
        <v>1.0</v>
      </c>
      <c r="D24" s="37" t="s">
        <v>92</v>
      </c>
      <c r="E24" s="27" t="s">
        <v>83</v>
      </c>
      <c r="F24" s="65">
        <v>24.0</v>
      </c>
      <c r="G24" s="88"/>
      <c r="H24" s="82"/>
      <c r="I24" s="82">
        <v>24.0</v>
      </c>
      <c r="J24" s="91"/>
      <c r="K24" s="81"/>
      <c r="L24" s="81">
        <v>24.0</v>
      </c>
      <c r="M24" s="81"/>
      <c r="N24" s="81"/>
      <c r="O24" s="82">
        <v>24.0</v>
      </c>
      <c r="P24" s="82"/>
      <c r="Q24" s="91"/>
      <c r="R24" s="81">
        <v>24.0</v>
      </c>
      <c r="S24" s="81"/>
      <c r="T24" s="81"/>
      <c r="U24" s="81">
        <v>24.0</v>
      </c>
      <c r="V24" s="82"/>
      <c r="W24" s="82"/>
      <c r="X24" s="81">
        <v>24.0</v>
      </c>
      <c r="Y24" s="91"/>
      <c r="Z24" s="81"/>
      <c r="AA24" s="81">
        <v>24.0</v>
      </c>
      <c r="AB24" s="81"/>
      <c r="AC24" s="82"/>
      <c r="AD24" s="82">
        <v>24.0</v>
      </c>
      <c r="AE24" s="91"/>
      <c r="AF24" s="81"/>
      <c r="AG24" s="81">
        <v>24.0</v>
      </c>
      <c r="AH24" s="81"/>
      <c r="AI24" s="81"/>
      <c r="AJ24" s="82">
        <v>24.0</v>
      </c>
      <c r="AK24" s="82"/>
      <c r="AL24" s="81"/>
      <c r="AM24" s="31">
        <f t="shared" si="6"/>
        <v>10</v>
      </c>
      <c r="AN24" s="51">
        <f t="shared" si="7"/>
        <v>240</v>
      </c>
    </row>
    <row r="25" ht="14.25" customHeight="1">
      <c r="A25" s="34">
        <v>15.0</v>
      </c>
      <c r="B25" s="35" t="s">
        <v>86</v>
      </c>
      <c r="C25" s="65">
        <v>1.0</v>
      </c>
      <c r="D25" s="90" t="s">
        <v>91</v>
      </c>
      <c r="E25" s="27" t="s">
        <v>83</v>
      </c>
      <c r="F25" s="65">
        <v>24.0</v>
      </c>
      <c r="G25" s="88"/>
      <c r="H25" s="82"/>
      <c r="I25" s="82"/>
      <c r="J25" s="81">
        <v>24.0</v>
      </c>
      <c r="K25" s="91"/>
      <c r="L25" s="81"/>
      <c r="M25" s="81">
        <v>24.0</v>
      </c>
      <c r="N25" s="81"/>
      <c r="O25" s="82"/>
      <c r="P25" s="82">
        <v>24.0</v>
      </c>
      <c r="Q25" s="91"/>
      <c r="R25" s="81"/>
      <c r="S25" s="81">
        <v>24.0</v>
      </c>
      <c r="T25" s="81"/>
      <c r="U25" s="81"/>
      <c r="V25" s="82">
        <v>24.0</v>
      </c>
      <c r="W25" s="82"/>
      <c r="X25" s="81"/>
      <c r="Y25" s="81">
        <v>24.0</v>
      </c>
      <c r="Z25" s="81"/>
      <c r="AA25" s="81"/>
      <c r="AB25" s="81">
        <v>24.0</v>
      </c>
      <c r="AC25" s="82"/>
      <c r="AD25" s="82"/>
      <c r="AE25" s="81">
        <v>24.0</v>
      </c>
      <c r="AF25" s="91"/>
      <c r="AG25" s="81"/>
      <c r="AH25" s="81">
        <v>24.0</v>
      </c>
      <c r="AI25" s="81"/>
      <c r="AJ25" s="82"/>
      <c r="AK25" s="82">
        <v>24.0</v>
      </c>
      <c r="AL25" s="81"/>
      <c r="AM25" s="31">
        <f t="shared" si="6"/>
        <v>10</v>
      </c>
      <c r="AN25" s="51">
        <f t="shared" si="7"/>
        <v>240</v>
      </c>
    </row>
    <row r="26" ht="14.25" customHeight="1">
      <c r="A26" s="34">
        <v>16.0</v>
      </c>
      <c r="B26" s="35" t="s">
        <v>95</v>
      </c>
      <c r="C26" s="65">
        <v>1.0</v>
      </c>
      <c r="D26" s="90" t="s">
        <v>63</v>
      </c>
      <c r="E26" s="27" t="s">
        <v>83</v>
      </c>
      <c r="F26" s="97"/>
      <c r="G26" s="66" t="s">
        <v>85</v>
      </c>
      <c r="H26" s="82">
        <v>24.0</v>
      </c>
      <c r="I26" s="82"/>
      <c r="J26" s="81"/>
      <c r="K26" s="81">
        <v>24.0</v>
      </c>
      <c r="L26" s="81"/>
      <c r="M26" s="81"/>
      <c r="N26" s="81">
        <v>24.0</v>
      </c>
      <c r="O26" s="82"/>
      <c r="P26" s="82"/>
      <c r="Q26" s="81">
        <v>24.0</v>
      </c>
      <c r="R26" s="81"/>
      <c r="S26" s="81"/>
      <c r="T26" s="81">
        <v>17.0</v>
      </c>
      <c r="U26" s="81">
        <v>17.0</v>
      </c>
      <c r="V26" s="82">
        <v>17.0</v>
      </c>
      <c r="W26" s="82">
        <v>17.0</v>
      </c>
      <c r="X26" s="81">
        <v>17.0</v>
      </c>
      <c r="Y26" s="81"/>
      <c r="Z26" s="81"/>
      <c r="AA26" s="81">
        <v>24.0</v>
      </c>
      <c r="AB26" s="81"/>
      <c r="AC26" s="82"/>
      <c r="AD26" s="82">
        <v>24.0</v>
      </c>
      <c r="AE26" s="81"/>
      <c r="AF26" s="81"/>
      <c r="AG26" s="81">
        <v>24.0</v>
      </c>
      <c r="AH26" s="81"/>
      <c r="AI26" s="81"/>
      <c r="AJ26" s="82">
        <v>24.0</v>
      </c>
      <c r="AK26" s="82"/>
      <c r="AL26" s="81"/>
      <c r="AM26" s="31">
        <f t="shared" si="6"/>
        <v>13</v>
      </c>
      <c r="AN26" s="51">
        <f t="shared" si="7"/>
        <v>277</v>
      </c>
    </row>
    <row r="27" ht="14.25" customHeight="1">
      <c r="A27" s="34">
        <v>17.0</v>
      </c>
      <c r="B27" s="35" t="s">
        <v>95</v>
      </c>
      <c r="C27" s="65">
        <v>1.0</v>
      </c>
      <c r="D27" s="90" t="s">
        <v>97</v>
      </c>
      <c r="E27" s="27" t="s">
        <v>83</v>
      </c>
      <c r="F27" s="97"/>
      <c r="G27" s="88"/>
      <c r="H27" s="30"/>
      <c r="I27" s="30">
        <v>24.0</v>
      </c>
      <c r="J27" s="29"/>
      <c r="K27" s="29"/>
      <c r="L27" s="29">
        <v>24.0</v>
      </c>
      <c r="M27" s="29"/>
      <c r="N27" s="29"/>
      <c r="O27" s="30">
        <v>24.0</v>
      </c>
      <c r="P27" s="30"/>
      <c r="Q27" s="29"/>
      <c r="R27" s="29">
        <v>24.0</v>
      </c>
      <c r="S27" s="29"/>
      <c r="T27" s="29"/>
      <c r="U27" s="29">
        <v>24.0</v>
      </c>
      <c r="V27" s="30"/>
      <c r="W27" s="30"/>
      <c r="X27" s="29">
        <v>24.0</v>
      </c>
      <c r="Y27" s="29"/>
      <c r="Z27" s="29"/>
      <c r="AA27" s="29">
        <v>17.0</v>
      </c>
      <c r="AB27" s="29">
        <v>17.0</v>
      </c>
      <c r="AC27" s="30">
        <v>17.0</v>
      </c>
      <c r="AD27" s="30">
        <v>17.0</v>
      </c>
      <c r="AE27" s="29">
        <v>17.0</v>
      </c>
      <c r="AF27" s="29"/>
      <c r="AG27" s="29"/>
      <c r="AH27" s="29">
        <v>24.0</v>
      </c>
      <c r="AI27" s="29"/>
      <c r="AJ27" s="30"/>
      <c r="AK27" s="30">
        <v>24.0</v>
      </c>
      <c r="AL27" s="29"/>
      <c r="AM27" s="31">
        <f t="shared" si="6"/>
        <v>13</v>
      </c>
      <c r="AN27" s="51">
        <f t="shared" si="7"/>
        <v>277</v>
      </c>
      <c r="AO27" s="33"/>
    </row>
    <row r="28" ht="14.25" customHeight="1">
      <c r="A28" s="34">
        <v>18.0</v>
      </c>
      <c r="B28" s="35" t="s">
        <v>95</v>
      </c>
      <c r="C28" s="65">
        <v>1.0</v>
      </c>
      <c r="D28" s="90" t="s">
        <v>114</v>
      </c>
      <c r="E28" s="27" t="s">
        <v>83</v>
      </c>
      <c r="F28" s="97"/>
      <c r="G28" s="88"/>
      <c r="H28" s="30"/>
      <c r="I28" s="30"/>
      <c r="J28" s="29">
        <v>24.0</v>
      </c>
      <c r="K28" s="29"/>
      <c r="L28" s="29"/>
      <c r="M28" s="29">
        <v>17.0</v>
      </c>
      <c r="N28" s="29">
        <v>17.0</v>
      </c>
      <c r="O28" s="30">
        <v>17.0</v>
      </c>
      <c r="P28" s="30">
        <v>17.0</v>
      </c>
      <c r="Q28" s="29">
        <v>17.0</v>
      </c>
      <c r="R28" s="29"/>
      <c r="S28" s="29"/>
      <c r="T28" s="29">
        <v>24.0</v>
      </c>
      <c r="U28" s="29"/>
      <c r="V28" s="30"/>
      <c r="W28" s="30">
        <v>24.0</v>
      </c>
      <c r="X28" s="29"/>
      <c r="Y28" s="29"/>
      <c r="Z28" s="29">
        <v>24.0</v>
      </c>
      <c r="AA28" s="29"/>
      <c r="AB28" s="29"/>
      <c r="AC28" s="30">
        <v>24.0</v>
      </c>
      <c r="AD28" s="30"/>
      <c r="AE28" s="29"/>
      <c r="AF28" s="29">
        <v>24.0</v>
      </c>
      <c r="AG28" s="29"/>
      <c r="AH28" s="29"/>
      <c r="AI28" s="29">
        <v>24.0</v>
      </c>
      <c r="AJ28" s="30"/>
      <c r="AK28" s="30"/>
      <c r="AL28" s="29">
        <v>24.0</v>
      </c>
      <c r="AM28" s="31">
        <f t="shared" si="6"/>
        <v>13</v>
      </c>
      <c r="AN28" s="51">
        <f t="shared" si="7"/>
        <v>253</v>
      </c>
    </row>
    <row r="29" ht="14.25" customHeight="1">
      <c r="A29" s="34">
        <v>19.0</v>
      </c>
      <c r="B29" s="36" t="s">
        <v>95</v>
      </c>
      <c r="C29" s="65">
        <v>1.0</v>
      </c>
      <c r="D29" s="90" t="s">
        <v>100</v>
      </c>
      <c r="E29" s="27" t="s">
        <v>102</v>
      </c>
      <c r="F29" s="97"/>
      <c r="G29" s="88"/>
      <c r="H29" s="30">
        <v>17.0</v>
      </c>
      <c r="I29" s="30">
        <v>17.0</v>
      </c>
      <c r="J29" s="29">
        <v>17.0</v>
      </c>
      <c r="K29" s="29"/>
      <c r="L29" s="29"/>
      <c r="M29" s="29">
        <v>24.0</v>
      </c>
      <c r="N29" s="29"/>
      <c r="O29" s="30"/>
      <c r="P29" s="30">
        <v>24.0</v>
      </c>
      <c r="Q29" s="29"/>
      <c r="R29" s="29"/>
      <c r="S29" s="29">
        <v>24.0</v>
      </c>
      <c r="T29" s="29"/>
      <c r="U29" s="29"/>
      <c r="V29" s="30">
        <v>24.0</v>
      </c>
      <c r="W29" s="30"/>
      <c r="X29" s="29"/>
      <c r="Y29" s="29">
        <v>24.0</v>
      </c>
      <c r="Z29" s="29"/>
      <c r="AA29" s="29"/>
      <c r="AB29" s="29">
        <v>24.0</v>
      </c>
      <c r="AC29" s="30"/>
      <c r="AD29" s="30"/>
      <c r="AE29" s="29">
        <v>24.0</v>
      </c>
      <c r="AF29" s="29"/>
      <c r="AG29" s="29"/>
      <c r="AH29" s="29">
        <v>17.0</v>
      </c>
      <c r="AI29" s="29">
        <v>17.0</v>
      </c>
      <c r="AJ29" s="30">
        <v>17.0</v>
      </c>
      <c r="AK29" s="30">
        <v>17.0</v>
      </c>
      <c r="AL29" s="29">
        <v>17.0</v>
      </c>
      <c r="AM29" s="31">
        <f t="shared" si="6"/>
        <v>15</v>
      </c>
      <c r="AN29" s="51">
        <f t="shared" si="7"/>
        <v>287</v>
      </c>
      <c r="AO29" s="89"/>
      <c r="AP29" s="89"/>
      <c r="AQ29" s="89"/>
      <c r="AR29" s="89"/>
      <c r="AS29" s="89"/>
      <c r="AT29" s="89"/>
      <c r="AU29" s="89"/>
      <c r="AV29" s="89"/>
      <c r="AW29" s="89"/>
    </row>
    <row r="30" ht="14.25" customHeight="1">
      <c r="A30" s="34">
        <v>20.0</v>
      </c>
      <c r="B30" s="64" t="s">
        <v>104</v>
      </c>
      <c r="C30" s="101">
        <v>1.0</v>
      </c>
      <c r="D30" s="102" t="s">
        <v>63</v>
      </c>
      <c r="E30" s="101" t="s">
        <v>105</v>
      </c>
      <c r="F30" s="97"/>
      <c r="G30" s="103">
        <v>0.4</v>
      </c>
      <c r="H30" s="105">
        <v>17.0</v>
      </c>
      <c r="I30" s="105">
        <v>17.0</v>
      </c>
      <c r="J30" s="104">
        <v>17.0</v>
      </c>
      <c r="K30" s="104">
        <v>17.0</v>
      </c>
      <c r="L30" s="104"/>
      <c r="M30" s="104"/>
      <c r="N30" s="104">
        <v>17.0</v>
      </c>
      <c r="O30" s="105">
        <v>17.0</v>
      </c>
      <c r="P30" s="105">
        <v>17.0</v>
      </c>
      <c r="Q30" s="104">
        <v>17.0</v>
      </c>
      <c r="R30" s="104">
        <v>17.0</v>
      </c>
      <c r="S30" s="104"/>
      <c r="T30" s="104"/>
      <c r="U30" s="104">
        <v>17.0</v>
      </c>
      <c r="V30" s="105">
        <v>17.0</v>
      </c>
      <c r="W30" s="105">
        <v>17.0</v>
      </c>
      <c r="X30" s="104">
        <v>17.0</v>
      </c>
      <c r="Y30" s="104">
        <v>17.0</v>
      </c>
      <c r="Z30" s="104"/>
      <c r="AA30" s="104"/>
      <c r="AB30" s="104">
        <v>17.0</v>
      </c>
      <c r="AC30" s="105">
        <v>17.0</v>
      </c>
      <c r="AD30" s="105">
        <v>17.0</v>
      </c>
      <c r="AE30" s="104">
        <v>17.0</v>
      </c>
      <c r="AF30" s="104">
        <v>17.0</v>
      </c>
      <c r="AG30" s="104"/>
      <c r="AH30" s="104"/>
      <c r="AI30" s="106">
        <v>17.0</v>
      </c>
      <c r="AJ30" s="107">
        <v>17.0</v>
      </c>
      <c r="AK30" s="107">
        <v>17.0</v>
      </c>
      <c r="AL30" s="106">
        <v>17.0</v>
      </c>
      <c r="AM30" s="31">
        <f t="shared" si="6"/>
        <v>23</v>
      </c>
      <c r="AN30" s="51">
        <f t="shared" si="7"/>
        <v>374</v>
      </c>
    </row>
    <row r="31" ht="14.25" customHeight="1">
      <c r="A31" s="34">
        <v>21.0</v>
      </c>
      <c r="B31" s="137" t="s">
        <v>184</v>
      </c>
      <c r="C31" s="129">
        <v>1.0</v>
      </c>
      <c r="D31" s="102" t="s">
        <v>63</v>
      </c>
      <c r="E31" s="121" t="s">
        <v>105</v>
      </c>
      <c r="F31" s="97"/>
      <c r="G31" s="103">
        <v>0.4</v>
      </c>
      <c r="H31" s="105">
        <v>17.0</v>
      </c>
      <c r="I31" s="105">
        <v>17.0</v>
      </c>
      <c r="J31" s="104">
        <v>17.0</v>
      </c>
      <c r="K31" s="104"/>
      <c r="L31" s="104"/>
      <c r="M31" s="104"/>
      <c r="N31" s="104">
        <v>17.0</v>
      </c>
      <c r="O31" s="105">
        <v>17.0</v>
      </c>
      <c r="P31" s="105">
        <v>17.0</v>
      </c>
      <c r="Q31" s="104">
        <v>17.0</v>
      </c>
      <c r="R31" s="104"/>
      <c r="S31" s="104"/>
      <c r="T31" s="104"/>
      <c r="U31" s="104">
        <v>17.0</v>
      </c>
      <c r="V31" s="105">
        <v>17.0</v>
      </c>
      <c r="W31" s="105">
        <v>17.0</v>
      </c>
      <c r="X31" s="104">
        <v>17.0</v>
      </c>
      <c r="Y31" s="104"/>
      <c r="Z31" s="104"/>
      <c r="AA31" s="104"/>
      <c r="AB31" s="104">
        <v>17.0</v>
      </c>
      <c r="AC31" s="105">
        <v>17.0</v>
      </c>
      <c r="AD31" s="105">
        <v>17.0</v>
      </c>
      <c r="AE31" s="104">
        <v>17.0</v>
      </c>
      <c r="AF31" s="104"/>
      <c r="AG31" s="104"/>
      <c r="AH31" s="104"/>
      <c r="AI31" s="106"/>
      <c r="AJ31" s="107">
        <v>17.0</v>
      </c>
      <c r="AK31" s="107">
        <v>17.0</v>
      </c>
      <c r="AL31" s="106">
        <v>17.0</v>
      </c>
      <c r="AM31" s="31">
        <f t="shared" si="6"/>
        <v>18</v>
      </c>
      <c r="AN31" s="51">
        <f t="shared" si="7"/>
        <v>289</v>
      </c>
    </row>
    <row r="32" ht="17.25" customHeight="1">
      <c r="A32" s="34">
        <v>22.0</v>
      </c>
      <c r="B32" s="36" t="s">
        <v>109</v>
      </c>
      <c r="C32" s="65">
        <v>1.0</v>
      </c>
      <c r="D32" s="117" t="s">
        <v>131</v>
      </c>
      <c r="E32" s="27" t="s">
        <v>111</v>
      </c>
      <c r="F32" s="65">
        <v>12.0</v>
      </c>
      <c r="G32" s="118" t="s">
        <v>26</v>
      </c>
      <c r="H32" s="30">
        <v>12.0</v>
      </c>
      <c r="I32" s="30">
        <v>12.0</v>
      </c>
      <c r="J32" s="29">
        <v>12.0</v>
      </c>
      <c r="K32" s="29">
        <v>12.0</v>
      </c>
      <c r="L32" s="29">
        <v>12.0</v>
      </c>
      <c r="M32" s="29">
        <v>12.0</v>
      </c>
      <c r="N32" s="29"/>
      <c r="O32" s="30">
        <v>12.0</v>
      </c>
      <c r="P32" s="30">
        <v>12.0</v>
      </c>
      <c r="Q32" s="29">
        <v>12.0</v>
      </c>
      <c r="R32" s="29">
        <v>12.0</v>
      </c>
      <c r="S32" s="29">
        <v>12.0</v>
      </c>
      <c r="T32" s="29">
        <v>12.0</v>
      </c>
      <c r="U32" s="29"/>
      <c r="V32" s="30">
        <v>12.0</v>
      </c>
      <c r="W32" s="30">
        <v>12.0</v>
      </c>
      <c r="X32" s="29">
        <v>12.0</v>
      </c>
      <c r="Y32" s="29">
        <v>12.0</v>
      </c>
      <c r="Z32" s="29">
        <v>12.0</v>
      </c>
      <c r="AA32" s="29">
        <v>12.0</v>
      </c>
      <c r="AB32" s="29"/>
      <c r="AC32" s="30">
        <v>12.0</v>
      </c>
      <c r="AD32" s="30">
        <v>12.0</v>
      </c>
      <c r="AE32" s="29">
        <v>12.0</v>
      </c>
      <c r="AF32" s="29">
        <v>12.0</v>
      </c>
      <c r="AG32" s="29">
        <v>12.0</v>
      </c>
      <c r="AH32" s="29">
        <v>12.0</v>
      </c>
      <c r="AI32" s="29"/>
      <c r="AJ32" s="30">
        <v>12.0</v>
      </c>
      <c r="AK32" s="30">
        <v>12.0</v>
      </c>
      <c r="AL32" s="29">
        <v>12.0</v>
      </c>
      <c r="AM32" s="31">
        <f t="shared" si="6"/>
        <v>27</v>
      </c>
      <c r="AN32" s="51">
        <f t="shared" si="7"/>
        <v>312</v>
      </c>
    </row>
    <row r="33" ht="17.25" customHeight="1">
      <c r="A33" s="34">
        <v>23.0</v>
      </c>
      <c r="B33" s="35" t="s">
        <v>135</v>
      </c>
      <c r="C33" s="65">
        <v>1.0</v>
      </c>
      <c r="D33" s="90" t="s">
        <v>113</v>
      </c>
      <c r="E33" s="27" t="s">
        <v>111</v>
      </c>
      <c r="F33" s="65">
        <v>12.0</v>
      </c>
      <c r="G33" s="118" t="s">
        <v>26</v>
      </c>
      <c r="H33" s="30">
        <v>12.0</v>
      </c>
      <c r="I33" s="30">
        <v>12.0</v>
      </c>
      <c r="J33" s="29">
        <v>12.0</v>
      </c>
      <c r="K33" s="29">
        <v>12.0</v>
      </c>
      <c r="L33" s="29"/>
      <c r="M33" s="29">
        <v>12.0</v>
      </c>
      <c r="N33" s="29">
        <v>12.0</v>
      </c>
      <c r="O33" s="30">
        <v>12.0</v>
      </c>
      <c r="P33" s="30">
        <v>12.0</v>
      </c>
      <c r="Q33" s="29">
        <v>12.0</v>
      </c>
      <c r="R33" s="29">
        <v>12.0</v>
      </c>
      <c r="S33" s="29"/>
      <c r="T33" s="29">
        <v>12.0</v>
      </c>
      <c r="U33" s="29">
        <v>12.0</v>
      </c>
      <c r="V33" s="30">
        <v>12.0</v>
      </c>
      <c r="W33" s="30">
        <v>12.0</v>
      </c>
      <c r="X33" s="29">
        <v>12.0</v>
      </c>
      <c r="Y33" s="29">
        <v>12.0</v>
      </c>
      <c r="Z33" s="29"/>
      <c r="AA33" s="29">
        <v>12.0</v>
      </c>
      <c r="AB33" s="29">
        <v>12.0</v>
      </c>
      <c r="AC33" s="30">
        <v>12.0</v>
      </c>
      <c r="AD33" s="30">
        <v>12.0</v>
      </c>
      <c r="AE33" s="29">
        <v>12.0</v>
      </c>
      <c r="AF33" s="29">
        <v>12.0</v>
      </c>
      <c r="AG33" s="29"/>
      <c r="AH33" s="29">
        <v>12.0</v>
      </c>
      <c r="AI33" s="29">
        <v>12.0</v>
      </c>
      <c r="AJ33" s="30">
        <v>12.0</v>
      </c>
      <c r="AK33" s="30">
        <v>12.0</v>
      </c>
      <c r="AL33" s="29">
        <v>12.0</v>
      </c>
      <c r="AM33" s="31">
        <f t="shared" si="6"/>
        <v>27</v>
      </c>
      <c r="AN33" s="51">
        <f t="shared" si="7"/>
        <v>312</v>
      </c>
    </row>
    <row r="34" ht="20.25" customHeight="1">
      <c r="A34" s="34">
        <v>24.0</v>
      </c>
      <c r="B34" s="35" t="s">
        <v>135</v>
      </c>
      <c r="C34" s="65">
        <v>1.0</v>
      </c>
      <c r="D34" s="90" t="s">
        <v>187</v>
      </c>
      <c r="E34" s="27" t="s">
        <v>73</v>
      </c>
      <c r="F34" s="27">
        <v>12.0</v>
      </c>
      <c r="G34" s="123" t="s">
        <v>26</v>
      </c>
      <c r="H34" s="30">
        <v>12.0</v>
      </c>
      <c r="I34" s="30">
        <v>12.0</v>
      </c>
      <c r="J34" s="29">
        <v>12.0</v>
      </c>
      <c r="K34" s="29">
        <v>12.0</v>
      </c>
      <c r="L34" s="29">
        <v>12.0</v>
      </c>
      <c r="M34" s="29"/>
      <c r="N34" s="29">
        <v>12.0</v>
      </c>
      <c r="O34" s="30">
        <v>12.0</v>
      </c>
      <c r="P34" s="30">
        <v>12.0</v>
      </c>
      <c r="Q34" s="29">
        <v>12.0</v>
      </c>
      <c r="R34" s="29">
        <v>12.0</v>
      </c>
      <c r="S34" s="29">
        <v>12.0</v>
      </c>
      <c r="T34" s="29"/>
      <c r="U34" s="29">
        <v>12.0</v>
      </c>
      <c r="V34" s="30">
        <v>12.0</v>
      </c>
      <c r="W34" s="30">
        <v>12.0</v>
      </c>
      <c r="X34" s="29">
        <v>12.0</v>
      </c>
      <c r="Y34" s="29">
        <v>12.0</v>
      </c>
      <c r="Z34" s="29">
        <v>12.0</v>
      </c>
      <c r="AA34" s="29"/>
      <c r="AB34" s="29">
        <v>12.0</v>
      </c>
      <c r="AC34" s="30">
        <v>12.0</v>
      </c>
      <c r="AD34" s="30">
        <v>12.0</v>
      </c>
      <c r="AE34" s="29">
        <v>12.0</v>
      </c>
      <c r="AF34" s="29">
        <v>12.0</v>
      </c>
      <c r="AG34" s="29">
        <v>12.0</v>
      </c>
      <c r="AH34" s="29"/>
      <c r="AI34" s="29">
        <v>12.0</v>
      </c>
      <c r="AJ34" s="30">
        <v>12.0</v>
      </c>
      <c r="AK34" s="30">
        <v>12.0</v>
      </c>
      <c r="AL34" s="29">
        <v>12.0</v>
      </c>
      <c r="AM34" s="31">
        <f t="shared" si="6"/>
        <v>27</v>
      </c>
      <c r="AN34" s="51">
        <f t="shared" si="7"/>
        <v>312</v>
      </c>
      <c r="AO34" s="89"/>
      <c r="AP34" s="89"/>
      <c r="AQ34" s="89"/>
      <c r="AR34" s="89"/>
      <c r="AS34" s="89"/>
      <c r="AT34" s="89"/>
      <c r="AU34" s="89"/>
      <c r="AV34" s="89"/>
      <c r="AW34" s="89"/>
    </row>
    <row r="35" ht="23.25" customHeight="1">
      <c r="A35" s="124">
        <v>25.0</v>
      </c>
      <c r="B35" s="128" t="s">
        <v>142</v>
      </c>
      <c r="C35" s="129">
        <v>1.0</v>
      </c>
      <c r="D35" s="130" t="s">
        <v>63</v>
      </c>
      <c r="E35" s="129" t="s">
        <v>125</v>
      </c>
      <c r="F35" s="121">
        <v>12.0</v>
      </c>
      <c r="G35" s="131"/>
      <c r="H35" s="30"/>
      <c r="I35" s="30"/>
      <c r="J35" s="29"/>
      <c r="K35" s="29"/>
      <c r="L35" s="29">
        <v>12.0</v>
      </c>
      <c r="M35" s="29">
        <v>12.0</v>
      </c>
      <c r="N35" s="29">
        <v>12.0</v>
      </c>
      <c r="O35" s="30"/>
      <c r="P35" s="30"/>
      <c r="Q35" s="29"/>
      <c r="R35" s="29"/>
      <c r="S35" s="29">
        <v>12.0</v>
      </c>
      <c r="T35" s="29">
        <v>12.0</v>
      </c>
      <c r="U35" s="29">
        <v>12.0</v>
      </c>
      <c r="V35" s="30"/>
      <c r="W35" s="30"/>
      <c r="X35" s="29"/>
      <c r="Y35" s="29"/>
      <c r="Z35" s="29">
        <v>12.0</v>
      </c>
      <c r="AA35" s="29">
        <v>12.0</v>
      </c>
      <c r="AB35" s="29">
        <v>12.0</v>
      </c>
      <c r="AC35" s="30"/>
      <c r="AD35" s="30"/>
      <c r="AE35" s="29"/>
      <c r="AF35" s="29"/>
      <c r="AG35" s="29">
        <v>12.0</v>
      </c>
      <c r="AH35" s="29">
        <v>12.0</v>
      </c>
      <c r="AI35" s="29">
        <v>12.0</v>
      </c>
      <c r="AJ35" s="30"/>
      <c r="AK35" s="30"/>
      <c r="AL35" s="29"/>
      <c r="AM35" s="31">
        <f t="shared" si="6"/>
        <v>12</v>
      </c>
      <c r="AN35" s="51">
        <f t="shared" si="7"/>
        <v>144</v>
      </c>
      <c r="AP35" s="89"/>
      <c r="AQ35" s="89"/>
      <c r="AR35" s="89"/>
      <c r="AS35" s="89"/>
      <c r="AT35" s="89"/>
      <c r="AU35" s="89"/>
      <c r="AV35" s="89"/>
      <c r="AW35" s="89"/>
    </row>
    <row r="36" ht="19.5" customHeight="1">
      <c r="A36" s="17"/>
      <c r="B36" s="17"/>
      <c r="C36" s="17"/>
      <c r="D36" s="17"/>
      <c r="E36" s="121" t="s">
        <v>127</v>
      </c>
      <c r="F36" s="121">
        <v>12.0</v>
      </c>
      <c r="G36" s="131"/>
      <c r="H36" s="30"/>
      <c r="I36" s="30"/>
      <c r="J36" s="29"/>
      <c r="K36" s="29"/>
      <c r="L36" s="29"/>
      <c r="M36" s="29"/>
      <c r="N36" s="29"/>
      <c r="O36" s="30"/>
      <c r="P36" s="30"/>
      <c r="Q36" s="29"/>
      <c r="R36" s="29"/>
      <c r="S36" s="29"/>
      <c r="T36" s="29"/>
      <c r="U36" s="29"/>
      <c r="V36" s="30"/>
      <c r="W36" s="30"/>
      <c r="X36" s="29"/>
      <c r="Y36" s="29"/>
      <c r="Z36" s="29"/>
      <c r="AA36" s="29"/>
      <c r="AB36" s="29"/>
      <c r="AC36" s="30"/>
      <c r="AD36" s="30"/>
      <c r="AE36" s="29"/>
      <c r="AF36" s="29"/>
      <c r="AG36" s="29"/>
      <c r="AH36" s="29"/>
      <c r="AI36" s="29"/>
      <c r="AJ36" s="30"/>
      <c r="AK36" s="30"/>
      <c r="AL36" s="29"/>
      <c r="AM36" s="31">
        <f t="shared" si="6"/>
        <v>0</v>
      </c>
      <c r="AN36" s="51">
        <f t="shared" si="7"/>
        <v>0</v>
      </c>
      <c r="AP36" s="89"/>
      <c r="AQ36" s="89"/>
      <c r="AR36" s="89"/>
      <c r="AS36" s="89"/>
      <c r="AT36" s="89"/>
      <c r="AU36" s="89"/>
      <c r="AV36" s="89"/>
      <c r="AW36" s="89"/>
    </row>
    <row r="37" ht="19.5" customHeight="1">
      <c r="A37" s="34">
        <v>26.0</v>
      </c>
      <c r="B37" s="35" t="s">
        <v>144</v>
      </c>
      <c r="C37" s="135">
        <v>1.0</v>
      </c>
      <c r="D37" s="35" t="s">
        <v>132</v>
      </c>
      <c r="E37" s="27" t="s">
        <v>133</v>
      </c>
      <c r="F37" s="135">
        <v>12.0</v>
      </c>
      <c r="G37" s="47" t="s">
        <v>148</v>
      </c>
      <c r="H37" s="30">
        <v>12.0</v>
      </c>
      <c r="I37" s="30">
        <v>12.0</v>
      </c>
      <c r="J37" s="29">
        <v>12.0</v>
      </c>
      <c r="K37" s="29"/>
      <c r="L37" s="29"/>
      <c r="M37" s="29"/>
      <c r="N37" s="29">
        <v>12.0</v>
      </c>
      <c r="O37" s="30">
        <v>12.0</v>
      </c>
      <c r="P37" s="30">
        <v>12.0</v>
      </c>
      <c r="Q37" s="29">
        <v>12.0</v>
      </c>
      <c r="R37" s="29"/>
      <c r="S37" s="29"/>
      <c r="T37" s="29"/>
      <c r="U37" s="29">
        <v>12.0</v>
      </c>
      <c r="V37" s="30">
        <v>12.0</v>
      </c>
      <c r="W37" s="30">
        <v>12.0</v>
      </c>
      <c r="X37" s="29">
        <v>12.0</v>
      </c>
      <c r="Y37" s="29"/>
      <c r="Z37" s="29"/>
      <c r="AA37" s="29"/>
      <c r="AB37" s="29">
        <v>12.0</v>
      </c>
      <c r="AC37" s="30">
        <v>12.0</v>
      </c>
      <c r="AD37" s="30">
        <v>12.0</v>
      </c>
      <c r="AE37" s="29">
        <v>12.0</v>
      </c>
      <c r="AF37" s="29"/>
      <c r="AG37" s="29"/>
      <c r="AH37" s="29">
        <v>12.0</v>
      </c>
      <c r="AI37" s="29">
        <v>12.0</v>
      </c>
      <c r="AJ37" s="30">
        <v>12.0</v>
      </c>
      <c r="AK37" s="30">
        <v>12.0</v>
      </c>
      <c r="AL37" s="29">
        <v>12.0</v>
      </c>
      <c r="AM37" s="31">
        <f t="shared" si="6"/>
        <v>20</v>
      </c>
      <c r="AN37" s="51">
        <f t="shared" si="7"/>
        <v>228</v>
      </c>
      <c r="AP37" s="89"/>
      <c r="AQ37" s="89"/>
      <c r="AR37" s="89"/>
      <c r="AS37" s="89"/>
      <c r="AT37" s="89"/>
      <c r="AU37" s="89"/>
      <c r="AV37" s="89"/>
      <c r="AW37" s="89"/>
    </row>
    <row r="38" ht="18.75" customHeight="1">
      <c r="A38" s="34">
        <v>27.0</v>
      </c>
      <c r="B38" s="35" t="s">
        <v>144</v>
      </c>
      <c r="C38" s="27">
        <v>1.0</v>
      </c>
      <c r="D38" s="35" t="s">
        <v>132</v>
      </c>
      <c r="E38" s="27" t="s">
        <v>133</v>
      </c>
      <c r="F38" s="27">
        <v>12.0</v>
      </c>
      <c r="G38" s="123" t="s">
        <v>26</v>
      </c>
      <c r="H38" s="30">
        <v>12.0</v>
      </c>
      <c r="I38" s="30">
        <v>12.0</v>
      </c>
      <c r="J38" s="29">
        <v>12.0</v>
      </c>
      <c r="K38" s="29"/>
      <c r="L38" s="29">
        <v>12.0</v>
      </c>
      <c r="M38" s="29">
        <v>12.0</v>
      </c>
      <c r="N38" s="29">
        <v>12.0</v>
      </c>
      <c r="O38" s="30">
        <v>12.0</v>
      </c>
      <c r="P38" s="30">
        <v>12.0</v>
      </c>
      <c r="Q38" s="29">
        <v>12.0</v>
      </c>
      <c r="R38" s="29"/>
      <c r="S38" s="29">
        <v>12.0</v>
      </c>
      <c r="T38" s="29">
        <v>12.0</v>
      </c>
      <c r="U38" s="29">
        <v>12.0</v>
      </c>
      <c r="V38" s="30">
        <v>12.0</v>
      </c>
      <c r="W38" s="30">
        <v>12.0</v>
      </c>
      <c r="X38" s="29">
        <v>12.0</v>
      </c>
      <c r="Y38" s="29"/>
      <c r="Z38" s="29">
        <v>12.0</v>
      </c>
      <c r="AA38" s="29">
        <v>12.0</v>
      </c>
      <c r="AB38" s="29">
        <v>12.0</v>
      </c>
      <c r="AC38" s="30">
        <v>12.0</v>
      </c>
      <c r="AD38" s="30">
        <v>12.0</v>
      </c>
      <c r="AE38" s="29">
        <v>12.0</v>
      </c>
      <c r="AF38" s="29"/>
      <c r="AG38" s="29">
        <v>12.0</v>
      </c>
      <c r="AH38" s="29">
        <v>12.0</v>
      </c>
      <c r="AI38" s="29">
        <v>12.0</v>
      </c>
      <c r="AJ38" s="30">
        <v>12.0</v>
      </c>
      <c r="AK38" s="30">
        <v>12.0</v>
      </c>
      <c r="AL38" s="29">
        <v>12.0</v>
      </c>
      <c r="AM38" s="31">
        <f t="shared" si="6"/>
        <v>27</v>
      </c>
      <c r="AN38" s="51">
        <f t="shared" si="7"/>
        <v>312</v>
      </c>
    </row>
    <row r="39" ht="19.5" customHeight="1">
      <c r="A39" s="34">
        <v>28.0</v>
      </c>
      <c r="B39" s="35" t="s">
        <v>136</v>
      </c>
      <c r="C39" s="27">
        <v>1.0</v>
      </c>
      <c r="D39" s="117" t="s">
        <v>137</v>
      </c>
      <c r="E39" s="26" t="s">
        <v>138</v>
      </c>
      <c r="F39" s="26">
        <v>11.0</v>
      </c>
      <c r="G39" s="28" t="s">
        <v>26</v>
      </c>
      <c r="H39" s="30">
        <v>11.0</v>
      </c>
      <c r="I39" s="30">
        <v>11.0</v>
      </c>
      <c r="J39" s="29">
        <v>11.0</v>
      </c>
      <c r="K39" s="29">
        <v>11.0</v>
      </c>
      <c r="L39" s="29">
        <v>11.0</v>
      </c>
      <c r="M39" s="29"/>
      <c r="N39" s="29">
        <v>11.0</v>
      </c>
      <c r="O39" s="30">
        <v>11.0</v>
      </c>
      <c r="P39" s="30">
        <v>11.0</v>
      </c>
      <c r="Q39" s="29">
        <v>11.0</v>
      </c>
      <c r="R39" s="29">
        <v>11.0</v>
      </c>
      <c r="S39" s="29">
        <v>11.0</v>
      </c>
      <c r="T39" s="29"/>
      <c r="U39" s="29">
        <v>11.0</v>
      </c>
      <c r="V39" s="30">
        <v>11.0</v>
      </c>
      <c r="W39" s="30">
        <v>11.0</v>
      </c>
      <c r="X39" s="29">
        <v>11.0</v>
      </c>
      <c r="Y39" s="29">
        <v>11.0</v>
      </c>
      <c r="Z39" s="29">
        <v>11.0</v>
      </c>
      <c r="AA39" s="29"/>
      <c r="AB39" s="29">
        <v>11.0</v>
      </c>
      <c r="AC39" s="30">
        <v>11.0</v>
      </c>
      <c r="AD39" s="30">
        <v>11.0</v>
      </c>
      <c r="AE39" s="29">
        <v>11.0</v>
      </c>
      <c r="AF39" s="29">
        <v>11.0</v>
      </c>
      <c r="AG39" s="29">
        <v>11.0</v>
      </c>
      <c r="AH39" s="29"/>
      <c r="AI39" s="29">
        <v>11.0</v>
      </c>
      <c r="AJ39" s="30">
        <v>11.0</v>
      </c>
      <c r="AK39" s="30">
        <v>11.0</v>
      </c>
      <c r="AL39" s="29">
        <v>11.0</v>
      </c>
      <c r="AM39" s="31">
        <f t="shared" si="6"/>
        <v>27</v>
      </c>
      <c r="AN39" s="51">
        <f t="shared" si="7"/>
        <v>286</v>
      </c>
    </row>
    <row r="40" ht="14.25" customHeight="1">
      <c r="A40" s="21"/>
      <c r="B40" s="20" t="s">
        <v>140</v>
      </c>
      <c r="C40" s="21"/>
      <c r="D40" s="20" t="s">
        <v>140</v>
      </c>
      <c r="E40" s="21"/>
      <c r="F40" s="21"/>
      <c r="G40" s="21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3"/>
      <c r="AN40" s="45"/>
    </row>
    <row r="41" ht="14.25" customHeight="1">
      <c r="A41" s="34">
        <v>29.0</v>
      </c>
      <c r="B41" s="35" t="s">
        <v>140</v>
      </c>
      <c r="C41" s="27">
        <v>1.0</v>
      </c>
      <c r="D41" s="117" t="s">
        <v>153</v>
      </c>
      <c r="E41" s="139" t="s">
        <v>51</v>
      </c>
      <c r="F41" s="139">
        <v>24.0</v>
      </c>
      <c r="G41" s="28" t="s">
        <v>85</v>
      </c>
      <c r="H41" s="30"/>
      <c r="I41" s="30"/>
      <c r="J41" s="29">
        <v>24.0</v>
      </c>
      <c r="K41" s="29"/>
      <c r="L41" s="29"/>
      <c r="M41" s="29">
        <v>24.0</v>
      </c>
      <c r="N41" s="29"/>
      <c r="O41" s="30"/>
      <c r="P41" s="30">
        <v>24.0</v>
      </c>
      <c r="Q41" s="29"/>
      <c r="R41" s="29"/>
      <c r="S41" s="29">
        <v>24.0</v>
      </c>
      <c r="T41" s="29"/>
      <c r="U41" s="29"/>
      <c r="V41" s="30">
        <v>24.0</v>
      </c>
      <c r="W41" s="30"/>
      <c r="X41" s="29"/>
      <c r="Y41" s="29">
        <v>24.0</v>
      </c>
      <c r="Z41" s="29"/>
      <c r="AA41" s="29"/>
      <c r="AB41" s="29">
        <v>24.0</v>
      </c>
      <c r="AC41" s="30"/>
      <c r="AD41" s="30"/>
      <c r="AE41" s="29">
        <v>24.0</v>
      </c>
      <c r="AF41" s="29"/>
      <c r="AG41" s="29"/>
      <c r="AH41" s="29">
        <v>24.0</v>
      </c>
      <c r="AI41" s="29"/>
      <c r="AJ41" s="30"/>
      <c r="AK41" s="30">
        <v>24.0</v>
      </c>
      <c r="AL41" s="29"/>
      <c r="AM41" s="31">
        <f t="shared" ref="AM41:AM43" si="8">COUNTA(H41:AK41)</f>
        <v>10</v>
      </c>
      <c r="AN41" s="51">
        <f t="shared" ref="AN41:AN43" si="9">SUM(H41:AK41)</f>
        <v>240</v>
      </c>
    </row>
    <row r="42" ht="14.25" customHeight="1">
      <c r="A42" s="24">
        <v>30.0</v>
      </c>
      <c r="B42" s="35" t="s">
        <v>140</v>
      </c>
      <c r="C42" s="27">
        <v>1.0</v>
      </c>
      <c r="D42" s="117" t="s">
        <v>137</v>
      </c>
      <c r="E42" s="139" t="s">
        <v>51</v>
      </c>
      <c r="F42" s="139">
        <v>24.0</v>
      </c>
      <c r="G42" s="28" t="s">
        <v>85</v>
      </c>
      <c r="H42" s="30"/>
      <c r="I42" s="30">
        <v>24.0</v>
      </c>
      <c r="J42" s="29"/>
      <c r="K42" s="29"/>
      <c r="L42" s="29">
        <v>24.0</v>
      </c>
      <c r="M42" s="29"/>
      <c r="N42" s="29"/>
      <c r="O42" s="30">
        <v>24.0</v>
      </c>
      <c r="P42" s="30"/>
      <c r="Q42" s="29"/>
      <c r="R42" s="29">
        <v>24.0</v>
      </c>
      <c r="S42" s="29"/>
      <c r="T42" s="29"/>
      <c r="U42" s="29">
        <v>24.0</v>
      </c>
      <c r="V42" s="30"/>
      <c r="W42" s="30"/>
      <c r="X42" s="29">
        <v>24.0</v>
      </c>
      <c r="Y42" s="29"/>
      <c r="Z42" s="29"/>
      <c r="AA42" s="29">
        <v>24.0</v>
      </c>
      <c r="AB42" s="29"/>
      <c r="AC42" s="30"/>
      <c r="AD42" s="30">
        <v>24.0</v>
      </c>
      <c r="AE42" s="29"/>
      <c r="AF42" s="29"/>
      <c r="AG42" s="29">
        <v>24.0</v>
      </c>
      <c r="AH42" s="29"/>
      <c r="AI42" s="29"/>
      <c r="AJ42" s="30">
        <v>24.0</v>
      </c>
      <c r="AK42" s="30"/>
      <c r="AL42" s="29"/>
      <c r="AM42" s="31">
        <f t="shared" si="8"/>
        <v>10</v>
      </c>
      <c r="AN42" s="51">
        <f t="shared" si="9"/>
        <v>240</v>
      </c>
    </row>
    <row r="43" ht="14.25" customHeight="1">
      <c r="A43" s="24">
        <v>31.0</v>
      </c>
      <c r="B43" s="35" t="s">
        <v>140</v>
      </c>
      <c r="C43" s="27">
        <v>1.0</v>
      </c>
      <c r="D43" s="117" t="s">
        <v>150</v>
      </c>
      <c r="E43" s="139" t="s">
        <v>51</v>
      </c>
      <c r="F43" s="139">
        <v>24.0</v>
      </c>
      <c r="G43" s="28" t="s">
        <v>85</v>
      </c>
      <c r="H43" s="30">
        <v>24.0</v>
      </c>
      <c r="I43" s="30"/>
      <c r="J43" s="29"/>
      <c r="K43" s="29">
        <v>24.0</v>
      </c>
      <c r="L43" s="29"/>
      <c r="M43" s="29"/>
      <c r="N43" s="29">
        <v>24.0</v>
      </c>
      <c r="O43" s="30"/>
      <c r="P43" s="30"/>
      <c r="Q43" s="29">
        <v>24.0</v>
      </c>
      <c r="R43" s="29"/>
      <c r="S43" s="29"/>
      <c r="T43" s="29">
        <v>24.0</v>
      </c>
      <c r="U43" s="29"/>
      <c r="V43" s="30"/>
      <c r="W43" s="30">
        <v>24.0</v>
      </c>
      <c r="X43" s="29"/>
      <c r="Y43" s="29"/>
      <c r="Z43" s="29">
        <v>24.0</v>
      </c>
      <c r="AA43" s="29"/>
      <c r="AB43" s="29"/>
      <c r="AC43" s="30">
        <v>24.0</v>
      </c>
      <c r="AD43" s="30"/>
      <c r="AE43" s="29"/>
      <c r="AF43" s="29">
        <v>24.0</v>
      </c>
      <c r="AG43" s="29"/>
      <c r="AH43" s="29"/>
      <c r="AI43" s="29">
        <v>24.0</v>
      </c>
      <c r="AJ43" s="30"/>
      <c r="AK43" s="30"/>
      <c r="AL43" s="29">
        <v>24.0</v>
      </c>
      <c r="AM43" s="31">
        <f t="shared" si="8"/>
        <v>10</v>
      </c>
      <c r="AN43" s="51">
        <f t="shared" si="9"/>
        <v>240</v>
      </c>
    </row>
    <row r="44" ht="14.25" customHeight="1">
      <c r="A44" s="142"/>
      <c r="B44" s="143" t="s">
        <v>151</v>
      </c>
      <c r="C44" s="144">
        <v>33.0</v>
      </c>
      <c r="D44" s="143" t="s">
        <v>152</v>
      </c>
      <c r="E44" s="144"/>
      <c r="F44" s="144"/>
      <c r="G44" s="144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40"/>
      <c r="AN44" s="45"/>
    </row>
    <row r="45" ht="14.25" customHeight="1">
      <c r="A45" s="142"/>
      <c r="B45" s="146" t="s">
        <v>154</v>
      </c>
      <c r="C45" s="147"/>
      <c r="D45" s="147"/>
      <c r="E45" s="147"/>
      <c r="F45" s="147"/>
      <c r="G45" s="148"/>
      <c r="H45" s="145" t="s">
        <v>155</v>
      </c>
      <c r="I45" s="145" t="s">
        <v>155</v>
      </c>
      <c r="J45" s="145" t="s">
        <v>155</v>
      </c>
      <c r="K45" s="145" t="s">
        <v>155</v>
      </c>
      <c r="L45" s="145" t="s">
        <v>155</v>
      </c>
      <c r="M45" s="145" t="s">
        <v>155</v>
      </c>
      <c r="N45" s="145" t="s">
        <v>155</v>
      </c>
      <c r="O45" s="145" t="s">
        <v>155</v>
      </c>
      <c r="P45" s="145" t="s">
        <v>155</v>
      </c>
      <c r="Q45" s="145" t="s">
        <v>155</v>
      </c>
      <c r="R45" s="145" t="s">
        <v>155</v>
      </c>
      <c r="S45" s="145" t="s">
        <v>155</v>
      </c>
      <c r="T45" s="145" t="s">
        <v>155</v>
      </c>
      <c r="U45" s="145" t="s">
        <v>155</v>
      </c>
      <c r="V45" s="145" t="s">
        <v>155</v>
      </c>
      <c r="W45" s="145" t="s">
        <v>155</v>
      </c>
      <c r="X45" s="145" t="s">
        <v>155</v>
      </c>
      <c r="Y45" s="145" t="s">
        <v>155</v>
      </c>
      <c r="Z45" s="145" t="s">
        <v>155</v>
      </c>
      <c r="AA45" s="145" t="s">
        <v>155</v>
      </c>
      <c r="AB45" s="145" t="s">
        <v>155</v>
      </c>
      <c r="AC45" s="145"/>
      <c r="AD45" s="145"/>
      <c r="AE45" s="145" t="s">
        <v>155</v>
      </c>
      <c r="AF45" s="145" t="s">
        <v>155</v>
      </c>
      <c r="AG45" s="145" t="s">
        <v>155</v>
      </c>
      <c r="AH45" s="145" t="s">
        <v>155</v>
      </c>
      <c r="AI45" s="145"/>
      <c r="AJ45" s="145"/>
      <c r="AK45" s="145"/>
      <c r="AL45" s="145"/>
      <c r="AM45" s="40"/>
      <c r="AN45" s="45"/>
    </row>
    <row r="46" ht="14.25" customHeight="1">
      <c r="A46" s="142"/>
      <c r="B46" s="146" t="s">
        <v>156</v>
      </c>
      <c r="C46" s="147"/>
      <c r="D46" s="147"/>
      <c r="E46" s="147"/>
      <c r="F46" s="147"/>
      <c r="G46" s="148"/>
      <c r="H46" s="145">
        <f t="shared" ref="H46:AB46" si="10">COUNTA(#REF!,#REF!,#REF!,#REF!,#REF!)</f>
        <v>5</v>
      </c>
      <c r="I46" s="145">
        <f t="shared" si="10"/>
        <v>5</v>
      </c>
      <c r="J46" s="145">
        <f t="shared" si="10"/>
        <v>5</v>
      </c>
      <c r="K46" s="145">
        <f t="shared" si="10"/>
        <v>5</v>
      </c>
      <c r="L46" s="145">
        <f t="shared" si="10"/>
        <v>5</v>
      </c>
      <c r="M46" s="145">
        <f t="shared" si="10"/>
        <v>5</v>
      </c>
      <c r="N46" s="145">
        <f t="shared" si="10"/>
        <v>5</v>
      </c>
      <c r="O46" s="145">
        <f t="shared" si="10"/>
        <v>5</v>
      </c>
      <c r="P46" s="145">
        <f t="shared" si="10"/>
        <v>5</v>
      </c>
      <c r="Q46" s="145">
        <f t="shared" si="10"/>
        <v>5</v>
      </c>
      <c r="R46" s="145">
        <f t="shared" si="10"/>
        <v>5</v>
      </c>
      <c r="S46" s="145">
        <f t="shared" si="10"/>
        <v>5</v>
      </c>
      <c r="T46" s="145">
        <f t="shared" si="10"/>
        <v>5</v>
      </c>
      <c r="U46" s="145">
        <f t="shared" si="10"/>
        <v>5</v>
      </c>
      <c r="V46" s="145">
        <f t="shared" si="10"/>
        <v>5</v>
      </c>
      <c r="W46" s="145">
        <f t="shared" si="10"/>
        <v>5</v>
      </c>
      <c r="X46" s="145">
        <f t="shared" si="10"/>
        <v>5</v>
      </c>
      <c r="Y46" s="145">
        <f t="shared" si="10"/>
        <v>5</v>
      </c>
      <c r="Z46" s="145">
        <f t="shared" si="10"/>
        <v>5</v>
      </c>
      <c r="AA46" s="145">
        <f t="shared" si="10"/>
        <v>5</v>
      </c>
      <c r="AB46" s="145">
        <f t="shared" si="10"/>
        <v>5</v>
      </c>
      <c r="AC46" s="145"/>
      <c r="AD46" s="145"/>
      <c r="AE46" s="145">
        <f t="shared" ref="AE46:AH46" si="11">COUNTA(#REF!,#REF!,#REF!,#REF!,#REF!)</f>
        <v>5</v>
      </c>
      <c r="AF46" s="145">
        <f t="shared" si="11"/>
        <v>5</v>
      </c>
      <c r="AG46" s="145">
        <f t="shared" si="11"/>
        <v>5</v>
      </c>
      <c r="AH46" s="145">
        <f t="shared" si="11"/>
        <v>5</v>
      </c>
      <c r="AI46" s="145"/>
      <c r="AJ46" s="145"/>
      <c r="AK46" s="145"/>
      <c r="AL46" s="145"/>
      <c r="AM46" s="40"/>
      <c r="AN46" s="45"/>
    </row>
    <row r="47" ht="14.25" customHeight="1">
      <c r="A47" s="142"/>
      <c r="B47" s="146" t="s">
        <v>157</v>
      </c>
      <c r="C47" s="147"/>
      <c r="D47" s="147"/>
      <c r="E47" s="147"/>
      <c r="F47" s="147"/>
      <c r="G47" s="148"/>
      <c r="H47" s="145">
        <f t="shared" ref="H47:AB47" si="12">COUNTA(#REF!,#REF!)</f>
        <v>2</v>
      </c>
      <c r="I47" s="145">
        <f t="shared" si="12"/>
        <v>2</v>
      </c>
      <c r="J47" s="145">
        <f t="shared" si="12"/>
        <v>2</v>
      </c>
      <c r="K47" s="145">
        <f t="shared" si="12"/>
        <v>2</v>
      </c>
      <c r="L47" s="145">
        <f t="shared" si="12"/>
        <v>2</v>
      </c>
      <c r="M47" s="145">
        <f t="shared" si="12"/>
        <v>2</v>
      </c>
      <c r="N47" s="145">
        <f t="shared" si="12"/>
        <v>2</v>
      </c>
      <c r="O47" s="145">
        <f t="shared" si="12"/>
        <v>2</v>
      </c>
      <c r="P47" s="145">
        <f t="shared" si="12"/>
        <v>2</v>
      </c>
      <c r="Q47" s="145">
        <f t="shared" si="12"/>
        <v>2</v>
      </c>
      <c r="R47" s="145">
        <f t="shared" si="12"/>
        <v>2</v>
      </c>
      <c r="S47" s="145">
        <f t="shared" si="12"/>
        <v>2</v>
      </c>
      <c r="T47" s="145">
        <f t="shared" si="12"/>
        <v>2</v>
      </c>
      <c r="U47" s="145">
        <f t="shared" si="12"/>
        <v>2</v>
      </c>
      <c r="V47" s="145">
        <f t="shared" si="12"/>
        <v>2</v>
      </c>
      <c r="W47" s="145">
        <f t="shared" si="12"/>
        <v>2</v>
      </c>
      <c r="X47" s="145">
        <f t="shared" si="12"/>
        <v>2</v>
      </c>
      <c r="Y47" s="145">
        <f t="shared" si="12"/>
        <v>2</v>
      </c>
      <c r="Z47" s="145">
        <f t="shared" si="12"/>
        <v>2</v>
      </c>
      <c r="AA47" s="145">
        <f t="shared" si="12"/>
        <v>2</v>
      </c>
      <c r="AB47" s="145">
        <f t="shared" si="12"/>
        <v>2</v>
      </c>
      <c r="AC47" s="145"/>
      <c r="AD47" s="145"/>
      <c r="AE47" s="145">
        <f t="shared" ref="AE47:AH47" si="13">COUNTA(#REF!,#REF!)</f>
        <v>2</v>
      </c>
      <c r="AF47" s="145">
        <f t="shared" si="13"/>
        <v>2</v>
      </c>
      <c r="AG47" s="145">
        <f t="shared" si="13"/>
        <v>2</v>
      </c>
      <c r="AH47" s="145">
        <f t="shared" si="13"/>
        <v>2</v>
      </c>
      <c r="AI47" s="145"/>
      <c r="AJ47" s="145"/>
      <c r="AK47" s="145"/>
      <c r="AL47" s="145"/>
      <c r="AM47" s="40"/>
      <c r="AN47" s="45"/>
    </row>
    <row r="48" ht="14.25" customHeight="1">
      <c r="A48" s="2"/>
      <c r="B48" s="3"/>
      <c r="C48" s="2"/>
      <c r="D48" s="2"/>
      <c r="E48" s="2"/>
      <c r="F48" s="2"/>
      <c r="G48" s="4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1"/>
      <c r="AN48" s="11"/>
    </row>
    <row r="49" ht="14.25" customHeight="1">
      <c r="A49" s="152"/>
      <c r="B49" s="153"/>
      <c r="C49" s="154"/>
      <c r="D49" s="155" t="s">
        <v>159</v>
      </c>
      <c r="E49" s="155"/>
      <c r="F49" s="155"/>
      <c r="G49" s="156"/>
      <c r="H49" s="49">
        <f t="shared" ref="H49:AB49" si="14">COUNTA(H10,H11:H15,#REF!,H23:H24,H40,H22:H38,#REF!)</f>
        <v>18</v>
      </c>
      <c r="I49" s="49">
        <f t="shared" si="14"/>
        <v>14</v>
      </c>
      <c r="J49" s="49">
        <f t="shared" si="14"/>
        <v>13</v>
      </c>
      <c r="K49" s="49">
        <f t="shared" si="14"/>
        <v>14</v>
      </c>
      <c r="L49" s="49">
        <f t="shared" si="14"/>
        <v>13</v>
      </c>
      <c r="M49" s="49">
        <f t="shared" si="14"/>
        <v>13</v>
      </c>
      <c r="N49" s="49">
        <f t="shared" si="14"/>
        <v>18</v>
      </c>
      <c r="O49" s="49">
        <f t="shared" si="14"/>
        <v>18</v>
      </c>
      <c r="P49" s="49">
        <f t="shared" si="14"/>
        <v>13</v>
      </c>
      <c r="Q49" s="49">
        <f t="shared" si="14"/>
        <v>14</v>
      </c>
      <c r="R49" s="49">
        <f t="shared" si="14"/>
        <v>14</v>
      </c>
      <c r="S49" s="49">
        <f t="shared" si="14"/>
        <v>12</v>
      </c>
      <c r="T49" s="49">
        <f t="shared" si="14"/>
        <v>14</v>
      </c>
      <c r="U49" s="49">
        <f t="shared" si="14"/>
        <v>18</v>
      </c>
      <c r="V49" s="49">
        <f t="shared" si="14"/>
        <v>17</v>
      </c>
      <c r="W49" s="49">
        <f t="shared" si="14"/>
        <v>14</v>
      </c>
      <c r="X49" s="49">
        <f t="shared" si="14"/>
        <v>14</v>
      </c>
      <c r="Y49" s="49">
        <f t="shared" si="14"/>
        <v>13</v>
      </c>
      <c r="Z49" s="49">
        <f t="shared" si="14"/>
        <v>13</v>
      </c>
      <c r="AA49" s="49">
        <f t="shared" si="14"/>
        <v>14</v>
      </c>
      <c r="AB49" s="49">
        <f t="shared" si="14"/>
        <v>17</v>
      </c>
      <c r="AC49" s="49"/>
      <c r="AD49" s="49"/>
      <c r="AE49" s="49">
        <f t="shared" ref="AE49:AH49" si="15">COUNTA(AE10,AE11:AE15,#REF!,AE23:AE24,AE40,AE22:AE38,#REF!)</f>
        <v>13</v>
      </c>
      <c r="AF49" s="49">
        <f t="shared" si="15"/>
        <v>14</v>
      </c>
      <c r="AG49" s="49">
        <f t="shared" si="15"/>
        <v>13</v>
      </c>
      <c r="AH49" s="49">
        <f t="shared" si="15"/>
        <v>14</v>
      </c>
      <c r="AI49" s="49"/>
      <c r="AJ49" s="49"/>
      <c r="AK49" s="49"/>
      <c r="AL49" s="49"/>
      <c r="AM49" s="157">
        <f t="shared" ref="AM49:AM52" si="18">SUM(H49:AH49)</f>
        <v>362</v>
      </c>
      <c r="AN49" s="158">
        <v>250.0</v>
      </c>
    </row>
    <row r="50" ht="14.25" customHeight="1">
      <c r="A50" s="159"/>
      <c r="B50" s="160"/>
      <c r="C50" s="161"/>
      <c r="D50" s="162" t="s">
        <v>160</v>
      </c>
      <c r="E50" s="162"/>
      <c r="F50" s="162"/>
      <c r="G50" s="163"/>
      <c r="H50" s="164">
        <f t="shared" ref="H50:AB50" si="16">COUNTA(H10,#REF!,#REF!,H15,H22:H38,H23:H40)</f>
        <v>24</v>
      </c>
      <c r="I50" s="164">
        <f t="shared" si="16"/>
        <v>23</v>
      </c>
      <c r="J50" s="164">
        <f t="shared" si="16"/>
        <v>23</v>
      </c>
      <c r="K50" s="164">
        <f t="shared" si="16"/>
        <v>16</v>
      </c>
      <c r="L50" s="164">
        <f t="shared" si="16"/>
        <v>16</v>
      </c>
      <c r="M50" s="164">
        <f t="shared" si="16"/>
        <v>17</v>
      </c>
      <c r="N50" s="164">
        <f t="shared" si="16"/>
        <v>24</v>
      </c>
      <c r="O50" s="164">
        <f t="shared" si="16"/>
        <v>24</v>
      </c>
      <c r="P50" s="164">
        <f t="shared" si="16"/>
        <v>23</v>
      </c>
      <c r="Q50" s="164">
        <f t="shared" si="16"/>
        <v>23</v>
      </c>
      <c r="R50" s="164">
        <f t="shared" si="16"/>
        <v>16</v>
      </c>
      <c r="S50" s="164">
        <f t="shared" si="16"/>
        <v>16</v>
      </c>
      <c r="T50" s="164">
        <f t="shared" si="16"/>
        <v>17</v>
      </c>
      <c r="U50" s="164">
        <f t="shared" si="16"/>
        <v>24</v>
      </c>
      <c r="V50" s="164">
        <f t="shared" si="16"/>
        <v>24</v>
      </c>
      <c r="W50" s="164">
        <f t="shared" si="16"/>
        <v>23</v>
      </c>
      <c r="X50" s="164">
        <f t="shared" si="16"/>
        <v>23</v>
      </c>
      <c r="Y50" s="164">
        <f t="shared" si="16"/>
        <v>16</v>
      </c>
      <c r="Z50" s="164">
        <f t="shared" si="16"/>
        <v>16</v>
      </c>
      <c r="AA50" s="164">
        <f t="shared" si="16"/>
        <v>17</v>
      </c>
      <c r="AB50" s="164">
        <f t="shared" si="16"/>
        <v>24</v>
      </c>
      <c r="AC50" s="164"/>
      <c r="AD50" s="164"/>
      <c r="AE50" s="164">
        <f t="shared" ref="AE50:AH50" si="17">COUNTA(AE10,#REF!,#REF!,AE15,AE22:AE38,AE23:AE40)</f>
        <v>23</v>
      </c>
      <c r="AF50" s="164">
        <f t="shared" si="17"/>
        <v>16</v>
      </c>
      <c r="AG50" s="164">
        <f t="shared" si="17"/>
        <v>16</v>
      </c>
      <c r="AH50" s="164">
        <f t="shared" si="17"/>
        <v>19</v>
      </c>
      <c r="AI50" s="164"/>
      <c r="AJ50" s="164"/>
      <c r="AK50" s="164"/>
      <c r="AL50" s="164"/>
      <c r="AM50" s="165">
        <f t="shared" si="18"/>
        <v>503</v>
      </c>
      <c r="AN50" s="158"/>
    </row>
    <row r="51" ht="14.25" customHeight="1">
      <c r="A51" s="166"/>
      <c r="B51" s="167"/>
      <c r="C51" s="168"/>
      <c r="D51" s="169" t="s">
        <v>161</v>
      </c>
      <c r="E51" s="169"/>
      <c r="F51" s="169"/>
      <c r="G51" s="170"/>
      <c r="H51" s="171">
        <f t="shared" ref="H51:AB51" si="19">COUNTA(H22:H38,#REF!,H40:H41)</f>
        <v>11</v>
      </c>
      <c r="I51" s="171">
        <f t="shared" si="19"/>
        <v>11</v>
      </c>
      <c r="J51" s="171">
        <f t="shared" si="19"/>
        <v>12</v>
      </c>
      <c r="K51" s="171">
        <f t="shared" si="19"/>
        <v>7</v>
      </c>
      <c r="L51" s="171">
        <f t="shared" si="19"/>
        <v>7</v>
      </c>
      <c r="M51" s="171">
        <f t="shared" si="19"/>
        <v>9</v>
      </c>
      <c r="N51" s="171">
        <f t="shared" si="19"/>
        <v>11</v>
      </c>
      <c r="O51" s="171">
        <f t="shared" si="19"/>
        <v>11</v>
      </c>
      <c r="P51" s="171">
        <f t="shared" si="19"/>
        <v>12</v>
      </c>
      <c r="Q51" s="171">
        <f t="shared" si="19"/>
        <v>11</v>
      </c>
      <c r="R51" s="171">
        <f t="shared" si="19"/>
        <v>7</v>
      </c>
      <c r="S51" s="171">
        <f t="shared" si="19"/>
        <v>8</v>
      </c>
      <c r="T51" s="171">
        <f t="shared" si="19"/>
        <v>8</v>
      </c>
      <c r="U51" s="171">
        <f t="shared" si="19"/>
        <v>11</v>
      </c>
      <c r="V51" s="171">
        <f t="shared" si="19"/>
        <v>12</v>
      </c>
      <c r="W51" s="171">
        <f t="shared" si="19"/>
        <v>11</v>
      </c>
      <c r="X51" s="171">
        <f t="shared" si="19"/>
        <v>11</v>
      </c>
      <c r="Y51" s="171">
        <f t="shared" si="19"/>
        <v>8</v>
      </c>
      <c r="Z51" s="171">
        <f t="shared" si="19"/>
        <v>7</v>
      </c>
      <c r="AA51" s="171">
        <f t="shared" si="19"/>
        <v>8</v>
      </c>
      <c r="AB51" s="171">
        <f t="shared" si="19"/>
        <v>12</v>
      </c>
      <c r="AC51" s="171"/>
      <c r="AD51" s="171"/>
      <c r="AE51" s="171">
        <f t="shared" ref="AE51:AH51" si="20">COUNTA(AE22:AE38,#REF!,AE40:AE41)</f>
        <v>12</v>
      </c>
      <c r="AF51" s="171">
        <f t="shared" si="20"/>
        <v>7</v>
      </c>
      <c r="AG51" s="171">
        <f t="shared" si="20"/>
        <v>7</v>
      </c>
      <c r="AH51" s="171">
        <f t="shared" si="20"/>
        <v>10</v>
      </c>
      <c r="AI51" s="171"/>
      <c r="AJ51" s="171"/>
      <c r="AK51" s="171"/>
      <c r="AL51" s="171"/>
      <c r="AM51" s="172">
        <f t="shared" si="18"/>
        <v>241</v>
      </c>
      <c r="AN51" s="173">
        <f>AN49*AM53</f>
        <v>301500</v>
      </c>
    </row>
    <row r="52" ht="14.25" customHeight="1">
      <c r="A52" s="174"/>
      <c r="B52" s="175"/>
      <c r="C52" s="176"/>
      <c r="D52" s="177" t="s">
        <v>162</v>
      </c>
      <c r="E52" s="177"/>
      <c r="F52" s="177"/>
      <c r="G52" s="178"/>
      <c r="H52" s="179">
        <f t="shared" ref="H52:AB52" si="21">COUNTA(#REF!,#REF!,#REF!,#REF!)</f>
        <v>4</v>
      </c>
      <c r="I52" s="179">
        <f t="shared" si="21"/>
        <v>4</v>
      </c>
      <c r="J52" s="179">
        <f t="shared" si="21"/>
        <v>4</v>
      </c>
      <c r="K52" s="179">
        <f t="shared" si="21"/>
        <v>4</v>
      </c>
      <c r="L52" s="179">
        <f t="shared" si="21"/>
        <v>4</v>
      </c>
      <c r="M52" s="179">
        <f t="shared" si="21"/>
        <v>4</v>
      </c>
      <c r="N52" s="179">
        <f t="shared" si="21"/>
        <v>4</v>
      </c>
      <c r="O52" s="179">
        <f t="shared" si="21"/>
        <v>4</v>
      </c>
      <c r="P52" s="179">
        <f t="shared" si="21"/>
        <v>4</v>
      </c>
      <c r="Q52" s="179">
        <f t="shared" si="21"/>
        <v>4</v>
      </c>
      <c r="R52" s="179">
        <f t="shared" si="21"/>
        <v>4</v>
      </c>
      <c r="S52" s="179">
        <f t="shared" si="21"/>
        <v>4</v>
      </c>
      <c r="T52" s="179">
        <f t="shared" si="21"/>
        <v>4</v>
      </c>
      <c r="U52" s="179">
        <f t="shared" si="21"/>
        <v>4</v>
      </c>
      <c r="V52" s="179">
        <f t="shared" si="21"/>
        <v>4</v>
      </c>
      <c r="W52" s="179">
        <f t="shared" si="21"/>
        <v>4</v>
      </c>
      <c r="X52" s="179">
        <f t="shared" si="21"/>
        <v>4</v>
      </c>
      <c r="Y52" s="179">
        <f t="shared" si="21"/>
        <v>4</v>
      </c>
      <c r="Z52" s="179">
        <f t="shared" si="21"/>
        <v>4</v>
      </c>
      <c r="AA52" s="179">
        <f t="shared" si="21"/>
        <v>4</v>
      </c>
      <c r="AB52" s="179">
        <f t="shared" si="21"/>
        <v>4</v>
      </c>
      <c r="AC52" s="179"/>
      <c r="AD52" s="179"/>
      <c r="AE52" s="179">
        <f t="shared" ref="AE52:AH52" si="22">COUNTA(#REF!,#REF!,#REF!,#REF!)</f>
        <v>4</v>
      </c>
      <c r="AF52" s="179">
        <f t="shared" si="22"/>
        <v>4</v>
      </c>
      <c r="AG52" s="179">
        <f t="shared" si="22"/>
        <v>4</v>
      </c>
      <c r="AH52" s="179">
        <f t="shared" si="22"/>
        <v>4</v>
      </c>
      <c r="AI52" s="179"/>
      <c r="AJ52" s="179"/>
      <c r="AK52" s="179"/>
      <c r="AL52" s="179"/>
      <c r="AM52" s="179">
        <f t="shared" si="18"/>
        <v>100</v>
      </c>
      <c r="AN52" s="180"/>
    </row>
    <row r="53" ht="14.25" customHeight="1">
      <c r="A53" s="146" t="s">
        <v>163</v>
      </c>
      <c r="B53" s="147"/>
      <c r="C53" s="147"/>
      <c r="D53" s="147"/>
      <c r="E53" s="147"/>
      <c r="F53" s="147"/>
      <c r="G53" s="148"/>
      <c r="H53" s="145">
        <f t="shared" ref="H53:AB53" si="23">SUM(H49:H52)</f>
        <v>57</v>
      </c>
      <c r="I53" s="145">
        <f t="shared" si="23"/>
        <v>52</v>
      </c>
      <c r="J53" s="145">
        <f t="shared" si="23"/>
        <v>52</v>
      </c>
      <c r="K53" s="145">
        <f t="shared" si="23"/>
        <v>41</v>
      </c>
      <c r="L53" s="145">
        <f t="shared" si="23"/>
        <v>40</v>
      </c>
      <c r="M53" s="145">
        <f t="shared" si="23"/>
        <v>43</v>
      </c>
      <c r="N53" s="145">
        <f t="shared" si="23"/>
        <v>57</v>
      </c>
      <c r="O53" s="145">
        <f t="shared" si="23"/>
        <v>57</v>
      </c>
      <c r="P53" s="145">
        <f t="shared" si="23"/>
        <v>52</v>
      </c>
      <c r="Q53" s="145">
        <f t="shared" si="23"/>
        <v>52</v>
      </c>
      <c r="R53" s="145">
        <f t="shared" si="23"/>
        <v>41</v>
      </c>
      <c r="S53" s="145">
        <f t="shared" si="23"/>
        <v>40</v>
      </c>
      <c r="T53" s="145">
        <f t="shared" si="23"/>
        <v>43</v>
      </c>
      <c r="U53" s="145">
        <f t="shared" si="23"/>
        <v>57</v>
      </c>
      <c r="V53" s="145">
        <f t="shared" si="23"/>
        <v>57</v>
      </c>
      <c r="W53" s="145">
        <f t="shared" si="23"/>
        <v>52</v>
      </c>
      <c r="X53" s="145">
        <f t="shared" si="23"/>
        <v>52</v>
      </c>
      <c r="Y53" s="145">
        <f t="shared" si="23"/>
        <v>41</v>
      </c>
      <c r="Z53" s="145">
        <f t="shared" si="23"/>
        <v>40</v>
      </c>
      <c r="AA53" s="145">
        <f t="shared" si="23"/>
        <v>43</v>
      </c>
      <c r="AB53" s="145">
        <f t="shared" si="23"/>
        <v>57</v>
      </c>
      <c r="AC53" s="145"/>
      <c r="AD53" s="145"/>
      <c r="AE53" s="145">
        <f t="shared" ref="AE53:AH53" si="24">SUM(AE49:AE52)</f>
        <v>52</v>
      </c>
      <c r="AF53" s="145">
        <f t="shared" si="24"/>
        <v>41</v>
      </c>
      <c r="AG53" s="145">
        <f t="shared" si="24"/>
        <v>40</v>
      </c>
      <c r="AH53" s="145">
        <f t="shared" si="24"/>
        <v>47</v>
      </c>
      <c r="AI53" s="145"/>
      <c r="AJ53" s="145"/>
      <c r="AK53" s="145"/>
      <c r="AL53" s="145"/>
      <c r="AM53" s="145">
        <f>SUM(AM49:AM52)</f>
        <v>1206</v>
      </c>
      <c r="AN53" s="181"/>
    </row>
    <row r="54" ht="14.25" customHeight="1">
      <c r="A54" s="2"/>
      <c r="B54" s="182" t="s">
        <v>164</v>
      </c>
      <c r="C54" s="182"/>
      <c r="D54" s="182"/>
      <c r="E54" s="182"/>
      <c r="F54" s="182"/>
      <c r="G54" s="4"/>
      <c r="H54" s="4"/>
      <c r="I54" s="4"/>
      <c r="J54" s="4"/>
      <c r="K54" s="4"/>
      <c r="L54" s="4"/>
      <c r="M54" s="4"/>
      <c r="N54" s="4"/>
      <c r="O54" s="4"/>
      <c r="P54" s="5"/>
      <c r="Q54" s="5"/>
      <c r="R54" s="4"/>
      <c r="S54" s="4"/>
      <c r="T54" s="4"/>
      <c r="U54" s="4"/>
      <c r="V54" s="5"/>
      <c r="W54" s="5"/>
      <c r="X54" s="5"/>
      <c r="Y54" s="4"/>
      <c r="Z54" s="4"/>
      <c r="AA54" s="4"/>
      <c r="AB54" s="4"/>
      <c r="AC54" s="4"/>
      <c r="AD54" s="4"/>
      <c r="AE54" s="5"/>
      <c r="AF54" s="5"/>
      <c r="AG54" s="5"/>
      <c r="AH54" s="5"/>
      <c r="AI54" s="5"/>
      <c r="AJ54" s="5"/>
      <c r="AK54" s="5"/>
      <c r="AL54" s="5"/>
      <c r="AM54" s="2"/>
      <c r="AN54" s="183"/>
    </row>
    <row r="55" ht="14.25" customHeight="1">
      <c r="A55" s="2"/>
      <c r="B55" s="182" t="s">
        <v>165</v>
      </c>
      <c r="C55" s="2"/>
      <c r="D55" s="2"/>
      <c r="E55" s="2"/>
      <c r="F55" s="2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11"/>
      <c r="AN55" s="2"/>
    </row>
    <row r="56" ht="14.25" customHeight="1">
      <c r="A56" s="2"/>
      <c r="B56" s="182" t="s">
        <v>166</v>
      </c>
      <c r="C56" s="184"/>
      <c r="D56" s="184"/>
      <c r="E56" s="2"/>
      <c r="F56" s="2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11"/>
      <c r="AN56" s="2"/>
    </row>
    <row r="57" ht="14.25" customHeight="1">
      <c r="A57" s="2"/>
      <c r="B57" s="182"/>
      <c r="C57" s="184"/>
      <c r="D57" s="184"/>
      <c r="E57" s="4" t="s">
        <v>167</v>
      </c>
      <c r="H57" s="5"/>
      <c r="I57" s="5"/>
      <c r="J57" s="5"/>
      <c r="K57" s="5"/>
      <c r="L57" s="5" t="s">
        <v>168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11"/>
      <c r="AN57" s="2"/>
    </row>
    <row r="58" ht="14.25" customHeight="1">
      <c r="A58" s="2"/>
      <c r="B58" s="3"/>
      <c r="C58" s="2"/>
      <c r="D58" s="2"/>
      <c r="E58" s="2"/>
      <c r="F58" s="2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11"/>
      <c r="AN58" s="11"/>
    </row>
    <row r="59" ht="14.25" customHeight="1">
      <c r="A59" s="2"/>
      <c r="B59" s="3"/>
      <c r="C59" s="2"/>
      <c r="D59" s="2"/>
      <c r="E59" s="4" t="s">
        <v>169</v>
      </c>
      <c r="H59" s="5"/>
      <c r="I59" s="5"/>
      <c r="J59" s="5"/>
      <c r="K59" s="5"/>
      <c r="L59" s="5"/>
      <c r="M59" s="5"/>
      <c r="N59" s="5"/>
      <c r="O59" s="5" t="s">
        <v>170</v>
      </c>
      <c r="P59" s="5"/>
      <c r="Q59" s="5"/>
      <c r="R59" s="5" t="s">
        <v>171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11"/>
      <c r="AN59" s="11"/>
    </row>
    <row r="60" ht="14.25" customHeight="1">
      <c r="A60" s="2"/>
      <c r="B60" s="3"/>
      <c r="C60" s="2"/>
      <c r="D60" s="2"/>
      <c r="E60" s="2"/>
      <c r="F60" s="2"/>
      <c r="G60" s="185"/>
      <c r="H60" s="5"/>
      <c r="I60" s="5"/>
      <c r="J60" s="5"/>
      <c r="K60" s="5"/>
      <c r="L60" s="5"/>
      <c r="M60" s="5"/>
      <c r="N60" s="5"/>
      <c r="O60" s="5"/>
      <c r="P60" s="5"/>
      <c r="Q60" s="5"/>
      <c r="R60" s="4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11"/>
      <c r="AN60" s="11"/>
    </row>
    <row r="61" ht="30.75" customHeight="1">
      <c r="A61" s="2"/>
      <c r="B61" s="3"/>
      <c r="C61" s="2"/>
      <c r="D61" s="2"/>
      <c r="E61" s="185" t="s">
        <v>172</v>
      </c>
      <c r="H61" s="5"/>
      <c r="I61" s="5"/>
      <c r="J61" s="5"/>
      <c r="K61" s="5"/>
      <c r="L61" s="5"/>
      <c r="M61" s="5"/>
      <c r="N61" s="5"/>
      <c r="O61" s="5" t="s">
        <v>170</v>
      </c>
      <c r="P61" s="5"/>
      <c r="Q61" s="5"/>
      <c r="R61" s="5" t="s">
        <v>171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11"/>
      <c r="AN61" s="11"/>
    </row>
    <row r="62" ht="14.25" customHeight="1">
      <c r="A62" s="11"/>
      <c r="B62" s="3"/>
      <c r="C62" s="2"/>
      <c r="D62" s="186"/>
      <c r="E62" s="2"/>
      <c r="F62" s="2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11"/>
      <c r="AN62" s="11"/>
    </row>
    <row r="63" ht="14.25" customHeight="1">
      <c r="G63" s="187"/>
    </row>
    <row r="64" ht="14.25" customHeight="1">
      <c r="G64" s="187"/>
    </row>
    <row r="65" ht="14.25" customHeight="1">
      <c r="G65" s="187"/>
    </row>
    <row r="66" ht="14.25" customHeight="1">
      <c r="G66" s="187"/>
    </row>
    <row r="67" ht="15.75" customHeight="1">
      <c r="G67" s="187"/>
    </row>
    <row r="68" ht="14.25" customHeight="1">
      <c r="G68" s="187"/>
    </row>
    <row r="69" ht="14.25" customHeight="1">
      <c r="G69" s="187"/>
    </row>
    <row r="70" ht="14.25" customHeight="1">
      <c r="G70" s="187"/>
    </row>
    <row r="71" ht="14.25" customHeight="1">
      <c r="G71" s="187"/>
    </row>
    <row r="72" ht="14.25" customHeight="1">
      <c r="G72" s="187"/>
    </row>
    <row r="73" ht="14.25" customHeight="1">
      <c r="G73" s="187"/>
    </row>
    <row r="74" ht="14.25" customHeight="1">
      <c r="G74" s="187"/>
    </row>
    <row r="75" ht="14.25" customHeight="1">
      <c r="G75" s="187"/>
    </row>
    <row r="76" ht="14.25" customHeight="1">
      <c r="G76" s="187"/>
    </row>
    <row r="77" ht="14.25" customHeight="1">
      <c r="G77" s="187"/>
    </row>
    <row r="78" ht="14.25" customHeight="1">
      <c r="G78" s="187"/>
    </row>
    <row r="79" ht="14.25" customHeight="1">
      <c r="G79" s="187"/>
    </row>
    <row r="80" ht="14.25" customHeight="1">
      <c r="G80" s="187"/>
    </row>
    <row r="81" ht="14.25" customHeight="1">
      <c r="G81" s="187"/>
    </row>
    <row r="82" ht="14.25" customHeight="1">
      <c r="G82" s="187"/>
    </row>
    <row r="83" ht="14.25" customHeight="1">
      <c r="G83" s="187"/>
    </row>
    <row r="84" ht="14.25" customHeight="1">
      <c r="G84" s="187"/>
    </row>
    <row r="85" ht="14.25" customHeight="1">
      <c r="G85" s="187"/>
    </row>
    <row r="86" ht="14.25" customHeight="1">
      <c r="G86" s="187"/>
    </row>
    <row r="87" ht="14.25" customHeight="1">
      <c r="G87" s="187"/>
    </row>
    <row r="88" ht="14.25" customHeight="1">
      <c r="G88" s="187"/>
    </row>
    <row r="89" ht="14.25" customHeight="1">
      <c r="G89" s="187"/>
    </row>
    <row r="90" ht="14.25" customHeight="1">
      <c r="G90" s="187"/>
    </row>
    <row r="91" ht="14.25" customHeight="1">
      <c r="G91" s="187"/>
    </row>
    <row r="92" ht="14.25" customHeight="1">
      <c r="G92" s="187"/>
    </row>
    <row r="93" ht="14.25" customHeight="1">
      <c r="G93" s="187"/>
    </row>
    <row r="94" ht="14.25" customHeight="1">
      <c r="G94" s="187"/>
    </row>
    <row r="95" ht="14.25" customHeight="1">
      <c r="G95" s="187"/>
    </row>
    <row r="96" ht="14.25" customHeight="1">
      <c r="G96" s="187"/>
    </row>
    <row r="97" ht="14.25" customHeight="1">
      <c r="G97" s="187"/>
    </row>
    <row r="98" ht="14.25" customHeight="1">
      <c r="G98" s="187"/>
    </row>
    <row r="99" ht="14.25" customHeight="1">
      <c r="G99" s="187"/>
    </row>
    <row r="100" ht="14.25" customHeight="1">
      <c r="G100" s="187"/>
    </row>
    <row r="101" ht="14.25" customHeight="1">
      <c r="G101" s="187"/>
    </row>
    <row r="102" ht="14.25" customHeight="1">
      <c r="G102" s="187"/>
    </row>
    <row r="103" ht="14.25" customHeight="1">
      <c r="G103" s="187"/>
    </row>
    <row r="104" ht="14.25" customHeight="1">
      <c r="G104" s="187"/>
    </row>
    <row r="105" ht="14.25" customHeight="1">
      <c r="G105" s="187"/>
    </row>
    <row r="106" ht="14.25" customHeight="1">
      <c r="G106" s="187"/>
    </row>
    <row r="107" ht="14.25" customHeight="1">
      <c r="G107" s="187"/>
    </row>
    <row r="108" ht="14.25" customHeight="1">
      <c r="G108" s="187"/>
    </row>
    <row r="109" ht="14.25" customHeight="1">
      <c r="G109" s="187"/>
    </row>
    <row r="110" ht="14.25" customHeight="1">
      <c r="G110" s="187"/>
    </row>
    <row r="111" ht="14.25" customHeight="1">
      <c r="G111" s="187"/>
    </row>
    <row r="112" ht="14.25" customHeight="1">
      <c r="G112" s="187"/>
    </row>
    <row r="113" ht="14.25" customHeight="1">
      <c r="G113" s="187"/>
    </row>
    <row r="114" ht="14.25" customHeight="1">
      <c r="G114" s="187"/>
    </row>
    <row r="115" ht="14.25" customHeight="1">
      <c r="G115" s="187"/>
    </row>
    <row r="116" ht="14.25" customHeight="1">
      <c r="G116" s="187"/>
    </row>
    <row r="117" ht="14.25" customHeight="1">
      <c r="G117" s="187"/>
    </row>
    <row r="118" ht="14.25" customHeight="1">
      <c r="G118" s="187"/>
    </row>
    <row r="119" ht="14.25" customHeight="1">
      <c r="G119" s="187"/>
    </row>
    <row r="120" ht="14.25" customHeight="1">
      <c r="G120" s="187"/>
    </row>
    <row r="121" ht="14.25" customHeight="1">
      <c r="G121" s="187"/>
    </row>
    <row r="122" ht="14.25" customHeight="1">
      <c r="G122" s="187"/>
    </row>
    <row r="123" ht="14.25" customHeight="1">
      <c r="G123" s="187"/>
    </row>
    <row r="124" ht="14.25" customHeight="1">
      <c r="G124" s="187"/>
    </row>
    <row r="125" ht="14.25" customHeight="1">
      <c r="G125" s="187"/>
    </row>
    <row r="126" ht="14.25" customHeight="1">
      <c r="G126" s="187"/>
    </row>
    <row r="127" ht="14.25" customHeight="1">
      <c r="G127" s="187"/>
    </row>
    <row r="128" ht="14.25" customHeight="1">
      <c r="G128" s="187"/>
    </row>
    <row r="129" ht="14.25" customHeight="1">
      <c r="G129" s="187"/>
    </row>
    <row r="130" ht="14.25" customHeight="1">
      <c r="G130" s="187"/>
    </row>
    <row r="131" ht="14.25" customHeight="1">
      <c r="G131" s="187"/>
    </row>
    <row r="132" ht="14.25" customHeight="1">
      <c r="G132" s="187"/>
    </row>
    <row r="133" ht="14.25" customHeight="1">
      <c r="G133" s="187"/>
    </row>
    <row r="134" ht="14.25" customHeight="1">
      <c r="G134" s="187"/>
    </row>
    <row r="135" ht="14.25" customHeight="1">
      <c r="G135" s="187"/>
    </row>
    <row r="136" ht="14.25" customHeight="1">
      <c r="G136" s="187"/>
    </row>
    <row r="137" ht="14.25" customHeight="1">
      <c r="G137" s="187"/>
    </row>
    <row r="138" ht="14.25" customHeight="1">
      <c r="G138" s="187"/>
    </row>
    <row r="139" ht="14.25" customHeight="1">
      <c r="G139" s="187"/>
    </row>
    <row r="140" ht="14.25" customHeight="1">
      <c r="G140" s="187"/>
    </row>
    <row r="141" ht="14.25" customHeight="1">
      <c r="G141" s="187"/>
    </row>
    <row r="142" ht="14.25" customHeight="1">
      <c r="G142" s="187"/>
    </row>
    <row r="143" ht="14.25" customHeight="1">
      <c r="G143" s="187"/>
    </row>
    <row r="144" ht="14.25" customHeight="1">
      <c r="G144" s="187"/>
    </row>
    <row r="145" ht="14.25" customHeight="1">
      <c r="G145" s="187"/>
    </row>
    <row r="146" ht="14.25" customHeight="1">
      <c r="G146" s="187"/>
    </row>
    <row r="147" ht="14.25" customHeight="1">
      <c r="G147" s="187"/>
    </row>
    <row r="148" ht="14.25" customHeight="1">
      <c r="G148" s="187"/>
    </row>
    <row r="149" ht="14.25" customHeight="1">
      <c r="G149" s="187"/>
    </row>
    <row r="150" ht="14.25" customHeight="1">
      <c r="G150" s="187"/>
    </row>
    <row r="151" ht="14.25" customHeight="1">
      <c r="G151" s="187"/>
    </row>
    <row r="152" ht="14.25" customHeight="1">
      <c r="G152" s="187"/>
    </row>
    <row r="153" ht="14.25" customHeight="1">
      <c r="G153" s="187"/>
    </row>
    <row r="154" ht="14.25" customHeight="1">
      <c r="G154" s="187"/>
    </row>
    <row r="155" ht="14.25" customHeight="1">
      <c r="G155" s="187"/>
    </row>
    <row r="156" ht="14.25" customHeight="1">
      <c r="G156" s="187"/>
    </row>
    <row r="157" ht="14.25" customHeight="1">
      <c r="G157" s="187"/>
    </row>
    <row r="158" ht="14.25" customHeight="1">
      <c r="G158" s="187"/>
    </row>
    <row r="159" ht="14.25" customHeight="1">
      <c r="G159" s="187"/>
    </row>
    <row r="160" ht="14.25" customHeight="1">
      <c r="G160" s="187"/>
    </row>
    <row r="161" ht="14.25" customHeight="1">
      <c r="G161" s="187"/>
    </row>
    <row r="162" ht="14.25" customHeight="1">
      <c r="G162" s="187"/>
    </row>
    <row r="163" ht="14.25" customHeight="1">
      <c r="G163" s="187"/>
    </row>
    <row r="164" ht="14.25" customHeight="1">
      <c r="G164" s="187"/>
    </row>
    <row r="165" ht="14.25" customHeight="1">
      <c r="G165" s="187"/>
    </row>
    <row r="166" ht="14.25" customHeight="1">
      <c r="G166" s="187"/>
    </row>
    <row r="167" ht="14.25" customHeight="1">
      <c r="G167" s="187"/>
    </row>
    <row r="168" ht="14.25" customHeight="1">
      <c r="G168" s="187"/>
    </row>
    <row r="169" ht="14.25" customHeight="1">
      <c r="G169" s="187"/>
    </row>
    <row r="170" ht="14.25" customHeight="1">
      <c r="G170" s="187"/>
    </row>
    <row r="171" ht="14.25" customHeight="1">
      <c r="G171" s="187"/>
    </row>
    <row r="172" ht="14.25" customHeight="1">
      <c r="G172" s="187"/>
    </row>
    <row r="173" ht="14.25" customHeight="1">
      <c r="G173" s="187"/>
    </row>
    <row r="174" ht="14.25" customHeight="1">
      <c r="G174" s="187"/>
    </row>
    <row r="175" ht="14.25" customHeight="1">
      <c r="G175" s="187"/>
    </row>
    <row r="176" ht="14.25" customHeight="1">
      <c r="G176" s="187"/>
    </row>
    <row r="177" ht="14.25" customHeight="1">
      <c r="G177" s="187"/>
    </row>
    <row r="178" ht="14.25" customHeight="1">
      <c r="G178" s="187"/>
    </row>
    <row r="179" ht="14.25" customHeight="1">
      <c r="G179" s="187"/>
    </row>
    <row r="180" ht="14.25" customHeight="1">
      <c r="G180" s="187"/>
    </row>
    <row r="181" ht="14.25" customHeight="1">
      <c r="G181" s="187"/>
    </row>
    <row r="182" ht="14.25" customHeight="1">
      <c r="G182" s="187"/>
    </row>
    <row r="183" ht="14.25" customHeight="1">
      <c r="G183" s="187"/>
    </row>
    <row r="184" ht="14.25" customHeight="1">
      <c r="G184" s="187"/>
    </row>
    <row r="185" ht="14.25" customHeight="1">
      <c r="G185" s="187"/>
    </row>
    <row r="186" ht="14.25" customHeight="1">
      <c r="G186" s="187"/>
    </row>
    <row r="187" ht="14.25" customHeight="1">
      <c r="G187" s="187"/>
    </row>
    <row r="188" ht="14.25" customHeight="1">
      <c r="G188" s="187"/>
    </row>
    <row r="189" ht="14.25" customHeight="1">
      <c r="G189" s="187"/>
    </row>
    <row r="190" ht="14.25" customHeight="1">
      <c r="G190" s="187"/>
    </row>
    <row r="191" ht="14.25" customHeight="1">
      <c r="G191" s="187"/>
    </row>
    <row r="192" ht="14.25" customHeight="1">
      <c r="G192" s="187"/>
    </row>
    <row r="193" ht="14.25" customHeight="1">
      <c r="G193" s="187"/>
    </row>
    <row r="194" ht="14.25" customHeight="1">
      <c r="G194" s="187"/>
    </row>
    <row r="195" ht="14.25" customHeight="1">
      <c r="G195" s="187"/>
    </row>
    <row r="196" ht="14.25" customHeight="1">
      <c r="G196" s="187"/>
    </row>
    <row r="197" ht="14.25" customHeight="1">
      <c r="G197" s="187"/>
    </row>
    <row r="198" ht="14.25" customHeight="1">
      <c r="G198" s="187"/>
    </row>
    <row r="199" ht="14.25" customHeight="1">
      <c r="G199" s="187"/>
    </row>
    <row r="200" ht="14.25" customHeight="1">
      <c r="G200" s="187"/>
    </row>
    <row r="201" ht="14.25" customHeight="1">
      <c r="G201" s="187"/>
    </row>
    <row r="202" ht="14.25" customHeight="1">
      <c r="G202" s="187"/>
    </row>
    <row r="203" ht="14.25" customHeight="1">
      <c r="G203" s="187"/>
    </row>
    <row r="204" ht="14.25" customHeight="1">
      <c r="G204" s="187"/>
    </row>
    <row r="205" ht="14.25" customHeight="1">
      <c r="G205" s="187"/>
    </row>
    <row r="206" ht="14.25" customHeight="1">
      <c r="G206" s="187"/>
    </row>
    <row r="207" ht="14.25" customHeight="1">
      <c r="G207" s="187"/>
    </row>
    <row r="208" ht="14.25" customHeight="1">
      <c r="G208" s="187"/>
    </row>
    <row r="209" ht="14.25" customHeight="1">
      <c r="G209" s="187"/>
    </row>
    <row r="210" ht="14.25" customHeight="1">
      <c r="G210" s="187"/>
    </row>
    <row r="211" ht="14.25" customHeight="1">
      <c r="G211" s="187"/>
    </row>
    <row r="212" ht="14.25" customHeight="1">
      <c r="G212" s="187"/>
    </row>
    <row r="213" ht="14.25" customHeight="1">
      <c r="G213" s="187"/>
    </row>
    <row r="214" ht="14.25" customHeight="1">
      <c r="G214" s="187"/>
    </row>
    <row r="215" ht="14.25" customHeight="1">
      <c r="G215" s="187"/>
    </row>
    <row r="216" ht="14.25" customHeight="1">
      <c r="G216" s="187"/>
    </row>
    <row r="217" ht="14.25" customHeight="1">
      <c r="G217" s="187"/>
    </row>
    <row r="218" ht="14.25" customHeight="1">
      <c r="G218" s="187"/>
    </row>
    <row r="219" ht="14.25" customHeight="1">
      <c r="G219" s="187"/>
    </row>
    <row r="220" ht="14.25" customHeight="1">
      <c r="G220" s="187"/>
    </row>
    <row r="221" ht="14.25" customHeight="1">
      <c r="G221" s="187"/>
    </row>
    <row r="222" ht="14.25" customHeight="1">
      <c r="G222" s="187"/>
    </row>
    <row r="223" ht="14.25" customHeight="1">
      <c r="G223" s="187"/>
    </row>
    <row r="224" ht="14.25" customHeight="1">
      <c r="G224" s="187"/>
    </row>
    <row r="225" ht="14.25" customHeight="1">
      <c r="G225" s="187"/>
    </row>
    <row r="226" ht="14.25" customHeight="1">
      <c r="G226" s="187"/>
    </row>
    <row r="227" ht="14.25" customHeight="1">
      <c r="G227" s="187"/>
    </row>
    <row r="228" ht="14.25" customHeight="1">
      <c r="G228" s="187"/>
    </row>
    <row r="229" ht="14.25" customHeight="1">
      <c r="G229" s="187"/>
    </row>
    <row r="230" ht="14.25" customHeight="1">
      <c r="G230" s="187"/>
    </row>
    <row r="231" ht="14.25" customHeight="1">
      <c r="G231" s="187"/>
    </row>
    <row r="232" ht="14.25" customHeight="1">
      <c r="G232" s="187"/>
    </row>
    <row r="233" ht="14.25" customHeight="1">
      <c r="G233" s="187"/>
    </row>
    <row r="234" ht="14.25" customHeight="1">
      <c r="G234" s="187"/>
    </row>
    <row r="235" ht="14.25" customHeight="1">
      <c r="G235" s="187"/>
    </row>
    <row r="236" ht="14.25" customHeight="1">
      <c r="G236" s="187"/>
    </row>
    <row r="237" ht="14.25" customHeight="1">
      <c r="G237" s="187"/>
    </row>
    <row r="238" ht="14.25" customHeight="1">
      <c r="G238" s="187"/>
    </row>
    <row r="239" ht="14.25" customHeight="1">
      <c r="G239" s="187"/>
    </row>
    <row r="240" ht="14.25" customHeight="1">
      <c r="G240" s="187"/>
    </row>
    <row r="241" ht="14.25" customHeight="1">
      <c r="G241" s="187"/>
    </row>
    <row r="242" ht="14.25" customHeight="1">
      <c r="G242" s="187"/>
    </row>
    <row r="243" ht="14.25" customHeight="1">
      <c r="G243" s="187"/>
    </row>
    <row r="244" ht="14.25" customHeight="1">
      <c r="G244" s="187"/>
    </row>
    <row r="245" ht="14.25" customHeight="1">
      <c r="G245" s="187"/>
    </row>
    <row r="246" ht="14.25" customHeight="1">
      <c r="G246" s="187"/>
    </row>
    <row r="247" ht="14.25" customHeight="1">
      <c r="G247" s="187"/>
    </row>
    <row r="248" ht="14.25" customHeight="1">
      <c r="G248" s="187"/>
    </row>
    <row r="249" ht="14.25" customHeight="1">
      <c r="G249" s="187"/>
    </row>
    <row r="250" ht="14.25" customHeight="1">
      <c r="G250" s="187"/>
    </row>
    <row r="251" ht="14.25" customHeight="1">
      <c r="G251" s="187"/>
    </row>
    <row r="252" ht="14.25" customHeight="1">
      <c r="G252" s="187"/>
    </row>
    <row r="253" ht="14.25" customHeight="1">
      <c r="G253" s="187"/>
    </row>
    <row r="254" ht="14.25" customHeight="1">
      <c r="G254" s="187"/>
    </row>
    <row r="255" ht="14.25" customHeight="1">
      <c r="G255" s="187"/>
    </row>
    <row r="256" ht="14.25" customHeight="1">
      <c r="G256" s="187"/>
    </row>
    <row r="257" ht="14.25" customHeight="1">
      <c r="G257" s="187"/>
    </row>
    <row r="258" ht="14.25" customHeight="1">
      <c r="G258" s="187"/>
    </row>
    <row r="259" ht="14.25" customHeight="1">
      <c r="G259" s="187"/>
    </row>
    <row r="260" ht="14.25" customHeight="1">
      <c r="G260" s="187"/>
    </row>
    <row r="261" ht="14.25" customHeight="1">
      <c r="G261" s="187"/>
    </row>
    <row r="262" ht="14.25" customHeight="1">
      <c r="G262" s="187"/>
    </row>
    <row r="263" ht="14.25" customHeight="1">
      <c r="G263" s="187"/>
    </row>
    <row r="264" ht="14.25" customHeight="1">
      <c r="G264" s="187"/>
    </row>
    <row r="265" ht="14.25" customHeight="1">
      <c r="G265" s="187"/>
    </row>
    <row r="266" ht="14.25" customHeight="1">
      <c r="G266" s="187"/>
    </row>
    <row r="267" ht="14.25" customHeight="1">
      <c r="G267" s="187"/>
    </row>
    <row r="268" ht="14.25" customHeight="1">
      <c r="G268" s="187"/>
    </row>
    <row r="269" ht="14.25" customHeight="1">
      <c r="G269" s="187"/>
    </row>
    <row r="270" ht="14.25" customHeight="1">
      <c r="G270" s="187"/>
    </row>
    <row r="271" ht="14.25" customHeight="1">
      <c r="G271" s="187"/>
    </row>
    <row r="272" ht="14.25" customHeight="1">
      <c r="G272" s="187"/>
    </row>
    <row r="273" ht="14.25" customHeight="1">
      <c r="G273" s="187"/>
    </row>
    <row r="274" ht="14.25" customHeight="1">
      <c r="G274" s="187"/>
    </row>
    <row r="275" ht="14.25" customHeight="1">
      <c r="G275" s="187"/>
    </row>
    <row r="276" ht="14.25" customHeight="1">
      <c r="G276" s="187"/>
    </row>
    <row r="277" ht="14.25" customHeight="1">
      <c r="G277" s="187"/>
    </row>
    <row r="278" ht="14.25" customHeight="1">
      <c r="G278" s="187"/>
    </row>
    <row r="279" ht="14.25" customHeight="1">
      <c r="G279" s="187"/>
    </row>
    <row r="280" ht="14.25" customHeight="1">
      <c r="G280" s="187"/>
    </row>
    <row r="281" ht="14.25" customHeight="1">
      <c r="G281" s="187"/>
    </row>
    <row r="282" ht="14.25" customHeight="1">
      <c r="G282" s="187"/>
    </row>
    <row r="283" ht="14.25" customHeight="1">
      <c r="G283" s="187"/>
    </row>
    <row r="284" ht="14.25" customHeight="1">
      <c r="G284" s="187"/>
    </row>
    <row r="285" ht="14.25" customHeight="1">
      <c r="G285" s="187"/>
    </row>
    <row r="286" ht="14.25" customHeight="1">
      <c r="G286" s="187"/>
    </row>
    <row r="287" ht="14.25" customHeight="1">
      <c r="G287" s="187"/>
    </row>
    <row r="288" ht="14.25" customHeight="1">
      <c r="G288" s="187"/>
    </row>
    <row r="289" ht="14.25" customHeight="1">
      <c r="G289" s="187"/>
    </row>
    <row r="290" ht="14.25" customHeight="1">
      <c r="G290" s="187"/>
    </row>
    <row r="291" ht="14.25" customHeight="1">
      <c r="G291" s="187"/>
    </row>
    <row r="292" ht="14.25" customHeight="1">
      <c r="G292" s="187"/>
    </row>
    <row r="293" ht="14.25" customHeight="1">
      <c r="G293" s="187"/>
    </row>
    <row r="294" ht="14.25" customHeight="1">
      <c r="G294" s="187"/>
    </row>
    <row r="295" ht="14.25" customHeight="1">
      <c r="G295" s="187"/>
    </row>
    <row r="296" ht="14.25" customHeight="1">
      <c r="G296" s="187"/>
    </row>
    <row r="297" ht="14.25" customHeight="1">
      <c r="G297" s="187"/>
    </row>
    <row r="298" ht="14.25" customHeight="1">
      <c r="G298" s="187"/>
    </row>
    <row r="299" ht="14.25" customHeight="1">
      <c r="G299" s="187"/>
    </row>
    <row r="300" ht="14.25" customHeight="1">
      <c r="G300" s="187"/>
    </row>
    <row r="301" ht="14.25" customHeight="1">
      <c r="G301" s="187"/>
    </row>
    <row r="302" ht="14.25" customHeight="1">
      <c r="G302" s="187"/>
    </row>
    <row r="303" ht="14.25" customHeight="1">
      <c r="G303" s="187"/>
    </row>
    <row r="304" ht="14.25" customHeight="1">
      <c r="G304" s="187"/>
    </row>
    <row r="305" ht="14.25" customHeight="1">
      <c r="G305" s="187"/>
    </row>
    <row r="306" ht="14.25" customHeight="1">
      <c r="G306" s="187"/>
    </row>
    <row r="307" ht="14.25" customHeight="1">
      <c r="G307" s="187"/>
    </row>
    <row r="308" ht="14.25" customHeight="1">
      <c r="G308" s="187"/>
    </row>
    <row r="309" ht="14.25" customHeight="1">
      <c r="G309" s="187"/>
    </row>
    <row r="310" ht="14.25" customHeight="1">
      <c r="G310" s="187"/>
    </row>
    <row r="311" ht="14.25" customHeight="1">
      <c r="G311" s="187"/>
    </row>
    <row r="312" ht="14.25" customHeight="1">
      <c r="G312" s="187"/>
    </row>
    <row r="313" ht="14.25" customHeight="1">
      <c r="G313" s="187"/>
    </row>
    <row r="314" ht="14.25" customHeight="1">
      <c r="G314" s="187"/>
    </row>
    <row r="315" ht="14.25" customHeight="1">
      <c r="G315" s="187"/>
    </row>
    <row r="316" ht="14.25" customHeight="1">
      <c r="G316" s="187"/>
    </row>
    <row r="317" ht="14.25" customHeight="1">
      <c r="G317" s="187"/>
    </row>
    <row r="318" ht="14.25" customHeight="1">
      <c r="G318" s="187"/>
    </row>
    <row r="319" ht="14.25" customHeight="1">
      <c r="G319" s="187"/>
    </row>
    <row r="320" ht="14.25" customHeight="1">
      <c r="G320" s="187"/>
    </row>
    <row r="321" ht="14.25" customHeight="1">
      <c r="G321" s="187"/>
    </row>
    <row r="322" ht="14.25" customHeight="1">
      <c r="G322" s="187"/>
    </row>
    <row r="323" ht="14.25" customHeight="1">
      <c r="G323" s="187"/>
    </row>
    <row r="324" ht="14.25" customHeight="1">
      <c r="G324" s="187"/>
    </row>
    <row r="325" ht="14.25" customHeight="1">
      <c r="G325" s="187"/>
    </row>
    <row r="326" ht="14.25" customHeight="1">
      <c r="G326" s="187"/>
    </row>
    <row r="327" ht="14.25" customHeight="1">
      <c r="G327" s="187"/>
    </row>
    <row r="328" ht="14.25" customHeight="1">
      <c r="G328" s="187"/>
    </row>
    <row r="329" ht="14.25" customHeight="1">
      <c r="G329" s="187"/>
    </row>
    <row r="330" ht="14.25" customHeight="1">
      <c r="G330" s="187"/>
    </row>
    <row r="331" ht="14.25" customHeight="1">
      <c r="G331" s="187"/>
    </row>
    <row r="332" ht="14.25" customHeight="1">
      <c r="G332" s="187"/>
    </row>
    <row r="333" ht="14.25" customHeight="1">
      <c r="G333" s="187"/>
    </row>
    <row r="334" ht="14.25" customHeight="1">
      <c r="G334" s="187"/>
    </row>
    <row r="335" ht="14.25" customHeight="1">
      <c r="G335" s="187"/>
    </row>
    <row r="336" ht="14.25" customHeight="1">
      <c r="G336" s="187"/>
    </row>
    <row r="337" ht="14.25" customHeight="1">
      <c r="G337" s="187"/>
    </row>
    <row r="338" ht="14.25" customHeight="1">
      <c r="G338" s="187"/>
    </row>
    <row r="339" ht="14.25" customHeight="1">
      <c r="G339" s="187"/>
    </row>
    <row r="340" ht="14.25" customHeight="1">
      <c r="G340" s="187"/>
    </row>
    <row r="341" ht="14.25" customHeight="1">
      <c r="G341" s="187"/>
    </row>
    <row r="342" ht="14.25" customHeight="1">
      <c r="G342" s="187"/>
    </row>
    <row r="343" ht="14.25" customHeight="1">
      <c r="G343" s="187"/>
    </row>
    <row r="344" ht="14.25" customHeight="1">
      <c r="G344" s="187"/>
    </row>
    <row r="345" ht="14.25" customHeight="1">
      <c r="G345" s="187"/>
    </row>
    <row r="346" ht="14.25" customHeight="1">
      <c r="G346" s="187"/>
    </row>
    <row r="347" ht="14.25" customHeight="1">
      <c r="G347" s="187"/>
    </row>
    <row r="348" ht="14.25" customHeight="1">
      <c r="G348" s="187"/>
    </row>
    <row r="349" ht="14.25" customHeight="1">
      <c r="G349" s="187"/>
    </row>
    <row r="350" ht="14.25" customHeight="1">
      <c r="G350" s="187"/>
    </row>
    <row r="351" ht="14.25" customHeight="1">
      <c r="G351" s="187"/>
    </row>
    <row r="352" ht="14.25" customHeight="1">
      <c r="G352" s="187"/>
    </row>
    <row r="353" ht="14.25" customHeight="1">
      <c r="G353" s="187"/>
    </row>
    <row r="354" ht="14.25" customHeight="1">
      <c r="G354" s="187"/>
    </row>
    <row r="355" ht="14.25" customHeight="1">
      <c r="G355" s="187"/>
    </row>
    <row r="356" ht="14.25" customHeight="1">
      <c r="G356" s="187"/>
    </row>
    <row r="357" ht="14.25" customHeight="1">
      <c r="G357" s="187"/>
    </row>
    <row r="358" ht="14.25" customHeight="1">
      <c r="G358" s="187"/>
    </row>
    <row r="359" ht="14.25" customHeight="1">
      <c r="G359" s="187"/>
    </row>
    <row r="360" ht="14.25" customHeight="1">
      <c r="G360" s="187"/>
    </row>
    <row r="361" ht="14.25" customHeight="1">
      <c r="G361" s="187"/>
    </row>
    <row r="362" ht="14.25" customHeight="1">
      <c r="G362" s="187"/>
    </row>
    <row r="363" ht="14.25" customHeight="1">
      <c r="G363" s="187"/>
    </row>
    <row r="364" ht="14.25" customHeight="1">
      <c r="G364" s="187"/>
    </row>
    <row r="365" ht="14.25" customHeight="1">
      <c r="G365" s="187"/>
    </row>
    <row r="366" ht="14.25" customHeight="1">
      <c r="G366" s="187"/>
    </row>
    <row r="367" ht="14.25" customHeight="1">
      <c r="G367" s="187"/>
    </row>
    <row r="368" ht="14.25" customHeight="1">
      <c r="G368" s="187"/>
    </row>
    <row r="369" ht="14.25" customHeight="1">
      <c r="G369" s="187"/>
    </row>
    <row r="370" ht="14.25" customHeight="1">
      <c r="G370" s="187"/>
    </row>
    <row r="371" ht="14.25" customHeight="1">
      <c r="G371" s="187"/>
    </row>
    <row r="372" ht="14.25" customHeight="1">
      <c r="G372" s="187"/>
    </row>
    <row r="373" ht="14.25" customHeight="1">
      <c r="G373" s="187"/>
    </row>
    <row r="374" ht="14.25" customHeight="1">
      <c r="G374" s="187"/>
    </row>
    <row r="375" ht="14.25" customHeight="1">
      <c r="G375" s="187"/>
    </row>
    <row r="376" ht="14.25" customHeight="1">
      <c r="G376" s="187"/>
    </row>
    <row r="377" ht="14.25" customHeight="1">
      <c r="G377" s="187"/>
    </row>
    <row r="378" ht="14.25" customHeight="1">
      <c r="G378" s="187"/>
    </row>
    <row r="379" ht="14.25" customHeight="1">
      <c r="G379" s="187"/>
    </row>
    <row r="380" ht="14.25" customHeight="1">
      <c r="G380" s="187"/>
    </row>
    <row r="381" ht="14.25" customHeight="1">
      <c r="G381" s="187"/>
    </row>
    <row r="382" ht="14.25" customHeight="1">
      <c r="G382" s="187"/>
    </row>
    <row r="383" ht="14.25" customHeight="1">
      <c r="G383" s="187"/>
    </row>
    <row r="384" ht="14.25" customHeight="1">
      <c r="G384" s="187"/>
    </row>
    <row r="385" ht="14.25" customHeight="1">
      <c r="G385" s="187"/>
    </row>
    <row r="386" ht="14.25" customHeight="1">
      <c r="G386" s="187"/>
    </row>
    <row r="387" ht="14.25" customHeight="1">
      <c r="G387" s="187"/>
    </row>
    <row r="388" ht="14.25" customHeight="1">
      <c r="G388" s="187"/>
    </row>
    <row r="389" ht="14.25" customHeight="1">
      <c r="G389" s="187"/>
    </row>
    <row r="390" ht="14.25" customHeight="1">
      <c r="G390" s="187"/>
    </row>
    <row r="391" ht="14.25" customHeight="1">
      <c r="G391" s="187"/>
    </row>
    <row r="392" ht="14.25" customHeight="1">
      <c r="G392" s="187"/>
    </row>
    <row r="393" ht="14.25" customHeight="1">
      <c r="G393" s="187"/>
    </row>
    <row r="394" ht="14.25" customHeight="1">
      <c r="G394" s="187"/>
    </row>
    <row r="395" ht="14.25" customHeight="1">
      <c r="G395" s="187"/>
    </row>
    <row r="396" ht="14.25" customHeight="1">
      <c r="G396" s="187"/>
    </row>
    <row r="397" ht="14.25" customHeight="1">
      <c r="G397" s="187"/>
    </row>
    <row r="398" ht="14.25" customHeight="1">
      <c r="G398" s="187"/>
    </row>
    <row r="399" ht="14.25" customHeight="1">
      <c r="G399" s="187"/>
    </row>
    <row r="400" ht="14.25" customHeight="1">
      <c r="G400" s="187"/>
    </row>
    <row r="401" ht="14.25" customHeight="1">
      <c r="G401" s="187"/>
    </row>
    <row r="402" ht="14.25" customHeight="1">
      <c r="G402" s="187"/>
    </row>
    <row r="403" ht="14.25" customHeight="1">
      <c r="G403" s="187"/>
    </row>
    <row r="404" ht="14.25" customHeight="1">
      <c r="G404" s="187"/>
    </row>
    <row r="405" ht="14.25" customHeight="1">
      <c r="G405" s="187"/>
    </row>
    <row r="406" ht="14.25" customHeight="1">
      <c r="G406" s="187"/>
    </row>
    <row r="407" ht="14.25" customHeight="1">
      <c r="G407" s="187"/>
    </row>
    <row r="408" ht="14.25" customHeight="1">
      <c r="G408" s="187"/>
    </row>
    <row r="409" ht="14.25" customHeight="1">
      <c r="G409" s="187"/>
    </row>
    <row r="410" ht="14.25" customHeight="1">
      <c r="G410" s="187"/>
    </row>
    <row r="411" ht="14.25" customHeight="1">
      <c r="G411" s="187"/>
    </row>
    <row r="412" ht="14.25" customHeight="1">
      <c r="G412" s="187"/>
    </row>
    <row r="413" ht="14.25" customHeight="1">
      <c r="G413" s="187"/>
    </row>
    <row r="414" ht="14.25" customHeight="1">
      <c r="G414" s="187"/>
    </row>
    <row r="415" ht="14.25" customHeight="1">
      <c r="G415" s="187"/>
    </row>
    <row r="416" ht="14.25" customHeight="1">
      <c r="G416" s="187"/>
    </row>
    <row r="417" ht="14.25" customHeight="1">
      <c r="G417" s="187"/>
    </row>
    <row r="418" ht="14.25" customHeight="1">
      <c r="G418" s="187"/>
    </row>
    <row r="419" ht="14.25" customHeight="1">
      <c r="G419" s="187"/>
    </row>
    <row r="420" ht="14.25" customHeight="1">
      <c r="G420" s="187"/>
    </row>
    <row r="421" ht="14.25" customHeight="1">
      <c r="G421" s="187"/>
    </row>
    <row r="422" ht="14.25" customHeight="1">
      <c r="G422" s="187"/>
    </row>
    <row r="423" ht="14.25" customHeight="1">
      <c r="G423" s="187"/>
    </row>
    <row r="424" ht="14.25" customHeight="1">
      <c r="G424" s="187"/>
    </row>
    <row r="425" ht="14.25" customHeight="1">
      <c r="G425" s="187"/>
    </row>
    <row r="426" ht="14.25" customHeight="1">
      <c r="G426" s="187"/>
    </row>
    <row r="427" ht="14.25" customHeight="1">
      <c r="G427" s="187"/>
    </row>
    <row r="428" ht="14.25" customHeight="1">
      <c r="G428" s="187"/>
    </row>
    <row r="429" ht="14.25" customHeight="1">
      <c r="G429" s="187"/>
    </row>
    <row r="430" ht="14.25" customHeight="1">
      <c r="G430" s="187"/>
    </row>
    <row r="431" ht="14.25" customHeight="1">
      <c r="G431" s="187"/>
    </row>
    <row r="432" ht="14.25" customHeight="1">
      <c r="G432" s="187"/>
    </row>
    <row r="433" ht="14.25" customHeight="1">
      <c r="G433" s="187"/>
    </row>
    <row r="434" ht="14.25" customHeight="1">
      <c r="G434" s="187"/>
    </row>
    <row r="435" ht="14.25" customHeight="1">
      <c r="G435" s="187"/>
    </row>
    <row r="436" ht="14.25" customHeight="1">
      <c r="G436" s="187"/>
    </row>
    <row r="437" ht="14.25" customHeight="1">
      <c r="G437" s="187"/>
    </row>
    <row r="438" ht="14.25" customHeight="1">
      <c r="G438" s="187"/>
    </row>
    <row r="439" ht="14.25" customHeight="1">
      <c r="G439" s="187"/>
    </row>
    <row r="440" ht="14.25" customHeight="1">
      <c r="G440" s="187"/>
    </row>
    <row r="441" ht="14.25" customHeight="1">
      <c r="G441" s="187"/>
    </row>
    <row r="442" ht="14.25" customHeight="1">
      <c r="G442" s="187"/>
    </row>
    <row r="443" ht="14.25" customHeight="1">
      <c r="G443" s="187"/>
    </row>
    <row r="444" ht="14.25" customHeight="1">
      <c r="G444" s="187"/>
    </row>
    <row r="445" ht="14.25" customHeight="1">
      <c r="G445" s="187"/>
    </row>
    <row r="446" ht="14.25" customHeight="1">
      <c r="G446" s="187"/>
    </row>
    <row r="447" ht="14.25" customHeight="1">
      <c r="G447" s="187"/>
    </row>
    <row r="448" ht="14.25" customHeight="1">
      <c r="G448" s="187"/>
    </row>
    <row r="449" ht="14.25" customHeight="1">
      <c r="G449" s="187"/>
    </row>
    <row r="450" ht="14.25" customHeight="1">
      <c r="G450" s="187"/>
    </row>
    <row r="451" ht="14.25" customHeight="1">
      <c r="G451" s="187"/>
    </row>
    <row r="452" ht="14.25" customHeight="1">
      <c r="G452" s="187"/>
    </row>
    <row r="453" ht="14.25" customHeight="1">
      <c r="G453" s="187"/>
    </row>
    <row r="454" ht="14.25" customHeight="1">
      <c r="G454" s="187"/>
    </row>
    <row r="455" ht="14.25" customHeight="1">
      <c r="G455" s="187"/>
    </row>
    <row r="456" ht="14.25" customHeight="1">
      <c r="G456" s="187"/>
    </row>
    <row r="457" ht="14.25" customHeight="1">
      <c r="G457" s="187"/>
    </row>
    <row r="458" ht="14.25" customHeight="1">
      <c r="G458" s="187"/>
    </row>
    <row r="459" ht="14.25" customHeight="1">
      <c r="G459" s="187"/>
    </row>
    <row r="460" ht="14.25" customHeight="1">
      <c r="G460" s="187"/>
    </row>
    <row r="461" ht="14.25" customHeight="1">
      <c r="G461" s="187"/>
    </row>
    <row r="462" ht="14.25" customHeight="1">
      <c r="G462" s="187"/>
    </row>
    <row r="463" ht="14.25" customHeight="1">
      <c r="G463" s="187"/>
    </row>
    <row r="464" ht="14.25" customHeight="1">
      <c r="G464" s="187"/>
    </row>
    <row r="465" ht="14.25" customHeight="1">
      <c r="G465" s="187"/>
    </row>
    <row r="466" ht="14.25" customHeight="1">
      <c r="G466" s="187"/>
    </row>
    <row r="467" ht="14.25" customHeight="1">
      <c r="G467" s="187"/>
    </row>
    <row r="468" ht="14.25" customHeight="1">
      <c r="G468" s="187"/>
    </row>
    <row r="469" ht="14.25" customHeight="1">
      <c r="G469" s="187"/>
    </row>
    <row r="470" ht="14.25" customHeight="1">
      <c r="G470" s="187"/>
    </row>
    <row r="471" ht="14.25" customHeight="1">
      <c r="G471" s="187"/>
    </row>
    <row r="472" ht="14.25" customHeight="1">
      <c r="G472" s="187"/>
    </row>
    <row r="473" ht="14.25" customHeight="1">
      <c r="G473" s="187"/>
    </row>
    <row r="474" ht="14.25" customHeight="1">
      <c r="G474" s="187"/>
    </row>
    <row r="475" ht="14.25" customHeight="1">
      <c r="G475" s="187"/>
    </row>
    <row r="476" ht="14.25" customHeight="1">
      <c r="G476" s="187"/>
    </row>
    <row r="477" ht="14.25" customHeight="1">
      <c r="G477" s="187"/>
    </row>
    <row r="478" ht="14.25" customHeight="1">
      <c r="G478" s="187"/>
    </row>
    <row r="479" ht="14.25" customHeight="1">
      <c r="G479" s="187"/>
    </row>
    <row r="480" ht="14.25" customHeight="1">
      <c r="G480" s="187"/>
    </row>
    <row r="481" ht="14.25" customHeight="1">
      <c r="G481" s="187"/>
    </row>
    <row r="482" ht="14.25" customHeight="1">
      <c r="G482" s="187"/>
    </row>
    <row r="483" ht="14.25" customHeight="1">
      <c r="G483" s="187"/>
    </row>
    <row r="484" ht="14.25" customHeight="1">
      <c r="G484" s="187"/>
    </row>
    <row r="485" ht="14.25" customHeight="1">
      <c r="G485" s="187"/>
    </row>
    <row r="486" ht="14.25" customHeight="1">
      <c r="G486" s="187"/>
    </row>
    <row r="487" ht="14.25" customHeight="1">
      <c r="G487" s="187"/>
    </row>
    <row r="488" ht="14.25" customHeight="1">
      <c r="G488" s="187"/>
    </row>
    <row r="489" ht="14.25" customHeight="1">
      <c r="G489" s="187"/>
    </row>
    <row r="490" ht="14.25" customHeight="1">
      <c r="G490" s="187"/>
    </row>
    <row r="491" ht="14.25" customHeight="1">
      <c r="G491" s="187"/>
    </row>
    <row r="492" ht="14.25" customHeight="1">
      <c r="G492" s="187"/>
    </row>
    <row r="493" ht="14.25" customHeight="1">
      <c r="G493" s="187"/>
    </row>
    <row r="494" ht="14.25" customHeight="1">
      <c r="G494" s="187"/>
    </row>
    <row r="495" ht="14.25" customHeight="1">
      <c r="G495" s="187"/>
    </row>
    <row r="496" ht="14.25" customHeight="1">
      <c r="G496" s="187"/>
    </row>
    <row r="497" ht="14.25" customHeight="1">
      <c r="G497" s="187"/>
    </row>
    <row r="498" ht="14.25" customHeight="1">
      <c r="G498" s="187"/>
    </row>
    <row r="499" ht="14.25" customHeight="1">
      <c r="G499" s="187"/>
    </row>
    <row r="500" ht="14.25" customHeight="1">
      <c r="G500" s="187"/>
    </row>
    <row r="501" ht="14.25" customHeight="1">
      <c r="G501" s="187"/>
    </row>
    <row r="502" ht="14.25" customHeight="1">
      <c r="G502" s="187"/>
    </row>
    <row r="503" ht="14.25" customHeight="1">
      <c r="G503" s="187"/>
    </row>
    <row r="504" ht="14.25" customHeight="1">
      <c r="G504" s="187"/>
    </row>
    <row r="505" ht="14.25" customHeight="1">
      <c r="G505" s="187"/>
    </row>
    <row r="506" ht="14.25" customHeight="1">
      <c r="G506" s="187"/>
    </row>
    <row r="507" ht="14.25" customHeight="1">
      <c r="G507" s="187"/>
    </row>
    <row r="508" ht="14.25" customHeight="1">
      <c r="G508" s="187"/>
    </row>
    <row r="509" ht="14.25" customHeight="1">
      <c r="G509" s="187"/>
    </row>
    <row r="510" ht="14.25" customHeight="1">
      <c r="G510" s="187"/>
    </row>
    <row r="511" ht="14.25" customHeight="1">
      <c r="G511" s="187"/>
    </row>
    <row r="512" ht="14.25" customHeight="1">
      <c r="G512" s="187"/>
    </row>
    <row r="513" ht="14.25" customHeight="1">
      <c r="G513" s="187"/>
    </row>
    <row r="514" ht="14.25" customHeight="1">
      <c r="G514" s="187"/>
    </row>
    <row r="515" ht="14.25" customHeight="1">
      <c r="G515" s="187"/>
    </row>
    <row r="516" ht="14.25" customHeight="1">
      <c r="G516" s="187"/>
    </row>
    <row r="517" ht="14.25" customHeight="1">
      <c r="G517" s="187"/>
    </row>
    <row r="518" ht="14.25" customHeight="1">
      <c r="G518" s="187"/>
    </row>
    <row r="519" ht="14.25" customHeight="1">
      <c r="G519" s="187"/>
    </row>
    <row r="520" ht="14.25" customHeight="1">
      <c r="G520" s="187"/>
    </row>
    <row r="521" ht="14.25" customHeight="1">
      <c r="G521" s="187"/>
    </row>
    <row r="522" ht="14.25" customHeight="1">
      <c r="G522" s="187"/>
    </row>
    <row r="523" ht="14.25" customHeight="1">
      <c r="G523" s="187"/>
    </row>
    <row r="524" ht="14.25" customHeight="1">
      <c r="G524" s="187"/>
    </row>
    <row r="525" ht="14.25" customHeight="1">
      <c r="G525" s="187"/>
    </row>
    <row r="526" ht="14.25" customHeight="1">
      <c r="G526" s="187"/>
    </row>
    <row r="527" ht="14.25" customHeight="1">
      <c r="G527" s="187"/>
    </row>
    <row r="528" ht="14.25" customHeight="1">
      <c r="G528" s="187"/>
    </row>
    <row r="529" ht="14.25" customHeight="1">
      <c r="G529" s="187"/>
    </row>
    <row r="530" ht="14.25" customHeight="1">
      <c r="G530" s="187"/>
    </row>
    <row r="531" ht="14.25" customHeight="1">
      <c r="G531" s="187"/>
    </row>
    <row r="532" ht="14.25" customHeight="1">
      <c r="G532" s="187"/>
    </row>
    <row r="533" ht="14.25" customHeight="1">
      <c r="G533" s="187"/>
    </row>
    <row r="534" ht="14.25" customHeight="1">
      <c r="G534" s="187"/>
    </row>
    <row r="535" ht="14.25" customHeight="1">
      <c r="G535" s="187"/>
    </row>
    <row r="536" ht="14.25" customHeight="1">
      <c r="G536" s="187"/>
    </row>
    <row r="537" ht="14.25" customHeight="1">
      <c r="G537" s="187"/>
    </row>
    <row r="538" ht="14.25" customHeight="1">
      <c r="G538" s="187"/>
    </row>
    <row r="539" ht="14.25" customHeight="1">
      <c r="G539" s="187"/>
    </row>
    <row r="540" ht="14.25" customHeight="1">
      <c r="G540" s="187"/>
    </row>
    <row r="541" ht="14.25" customHeight="1">
      <c r="G541" s="187"/>
    </row>
    <row r="542" ht="14.25" customHeight="1">
      <c r="G542" s="187"/>
    </row>
    <row r="543" ht="14.25" customHeight="1">
      <c r="G543" s="187"/>
    </row>
    <row r="544" ht="14.25" customHeight="1">
      <c r="G544" s="187"/>
    </row>
    <row r="545" ht="14.25" customHeight="1">
      <c r="G545" s="187"/>
    </row>
    <row r="546" ht="14.25" customHeight="1">
      <c r="G546" s="187"/>
    </row>
    <row r="547" ht="14.25" customHeight="1">
      <c r="G547" s="187"/>
    </row>
    <row r="548" ht="14.25" customHeight="1">
      <c r="G548" s="187"/>
    </row>
    <row r="549" ht="14.25" customHeight="1">
      <c r="G549" s="187"/>
    </row>
    <row r="550" ht="14.25" customHeight="1">
      <c r="G550" s="187"/>
    </row>
    <row r="551" ht="14.25" customHeight="1">
      <c r="G551" s="187"/>
    </row>
    <row r="552" ht="14.25" customHeight="1">
      <c r="G552" s="187"/>
    </row>
    <row r="553" ht="14.25" customHeight="1">
      <c r="G553" s="187"/>
    </row>
    <row r="554" ht="14.25" customHeight="1">
      <c r="G554" s="187"/>
    </row>
    <row r="555" ht="14.25" customHeight="1">
      <c r="G555" s="187"/>
    </row>
    <row r="556" ht="14.25" customHeight="1">
      <c r="G556" s="187"/>
    </row>
    <row r="557" ht="14.25" customHeight="1">
      <c r="G557" s="187"/>
    </row>
    <row r="558" ht="14.25" customHeight="1">
      <c r="G558" s="187"/>
    </row>
    <row r="559" ht="14.25" customHeight="1">
      <c r="G559" s="187"/>
    </row>
    <row r="560" ht="14.25" customHeight="1">
      <c r="G560" s="187"/>
    </row>
    <row r="561" ht="14.25" customHeight="1">
      <c r="G561" s="187"/>
    </row>
    <row r="562" ht="14.25" customHeight="1">
      <c r="G562" s="187"/>
    </row>
    <row r="563" ht="14.25" customHeight="1">
      <c r="G563" s="187"/>
    </row>
    <row r="564" ht="14.25" customHeight="1">
      <c r="G564" s="187"/>
    </row>
    <row r="565" ht="14.25" customHeight="1">
      <c r="G565" s="187"/>
    </row>
    <row r="566" ht="14.25" customHeight="1">
      <c r="G566" s="187"/>
    </row>
    <row r="567" ht="14.25" customHeight="1">
      <c r="G567" s="187"/>
    </row>
    <row r="568" ht="14.25" customHeight="1">
      <c r="G568" s="187"/>
    </row>
    <row r="569" ht="14.25" customHeight="1">
      <c r="G569" s="187"/>
    </row>
    <row r="570" ht="14.25" customHeight="1">
      <c r="G570" s="187"/>
    </row>
    <row r="571" ht="14.25" customHeight="1">
      <c r="G571" s="187"/>
    </row>
    <row r="572" ht="14.25" customHeight="1">
      <c r="G572" s="187"/>
    </row>
    <row r="573" ht="14.25" customHeight="1">
      <c r="G573" s="187"/>
    </row>
    <row r="574" ht="14.25" customHeight="1">
      <c r="G574" s="187"/>
    </row>
    <row r="575" ht="14.25" customHeight="1">
      <c r="G575" s="187"/>
    </row>
    <row r="576" ht="14.25" customHeight="1">
      <c r="G576" s="187"/>
    </row>
    <row r="577" ht="14.25" customHeight="1">
      <c r="G577" s="187"/>
    </row>
    <row r="578" ht="14.25" customHeight="1">
      <c r="G578" s="187"/>
    </row>
    <row r="579" ht="14.25" customHeight="1">
      <c r="G579" s="187"/>
    </row>
    <row r="580" ht="14.25" customHeight="1">
      <c r="G580" s="187"/>
    </row>
    <row r="581" ht="14.25" customHeight="1">
      <c r="G581" s="187"/>
    </row>
    <row r="582" ht="14.25" customHeight="1">
      <c r="G582" s="187"/>
    </row>
    <row r="583" ht="14.25" customHeight="1">
      <c r="G583" s="187"/>
    </row>
    <row r="584" ht="14.25" customHeight="1">
      <c r="G584" s="187"/>
    </row>
    <row r="585" ht="14.25" customHeight="1">
      <c r="G585" s="187"/>
    </row>
    <row r="586" ht="14.25" customHeight="1">
      <c r="G586" s="187"/>
    </row>
    <row r="587" ht="14.25" customHeight="1">
      <c r="G587" s="187"/>
    </row>
    <row r="588" ht="14.25" customHeight="1">
      <c r="G588" s="187"/>
    </row>
    <row r="589" ht="14.25" customHeight="1">
      <c r="G589" s="187"/>
    </row>
    <row r="590" ht="14.25" customHeight="1">
      <c r="G590" s="187"/>
    </row>
    <row r="591" ht="14.25" customHeight="1">
      <c r="G591" s="187"/>
    </row>
    <row r="592" ht="14.25" customHeight="1">
      <c r="G592" s="187"/>
    </row>
    <row r="593" ht="14.25" customHeight="1">
      <c r="G593" s="187"/>
    </row>
    <row r="594" ht="14.25" customHeight="1">
      <c r="G594" s="187"/>
    </row>
    <row r="595" ht="14.25" customHeight="1">
      <c r="G595" s="187"/>
    </row>
    <row r="596" ht="14.25" customHeight="1">
      <c r="G596" s="187"/>
    </row>
    <row r="597" ht="14.25" customHeight="1">
      <c r="G597" s="187"/>
    </row>
    <row r="598" ht="14.25" customHeight="1">
      <c r="G598" s="187"/>
    </row>
    <row r="599" ht="14.25" customHeight="1">
      <c r="G599" s="187"/>
    </row>
    <row r="600" ht="14.25" customHeight="1">
      <c r="G600" s="187"/>
    </row>
    <row r="601" ht="14.25" customHeight="1">
      <c r="G601" s="187"/>
    </row>
    <row r="602" ht="14.25" customHeight="1">
      <c r="G602" s="187"/>
    </row>
    <row r="603" ht="14.25" customHeight="1">
      <c r="G603" s="187"/>
    </row>
    <row r="604" ht="14.25" customHeight="1">
      <c r="G604" s="187"/>
    </row>
    <row r="605" ht="14.25" customHeight="1">
      <c r="G605" s="187"/>
    </row>
    <row r="606" ht="14.25" customHeight="1">
      <c r="G606" s="187"/>
    </row>
    <row r="607" ht="14.25" customHeight="1">
      <c r="G607" s="187"/>
    </row>
    <row r="608" ht="14.25" customHeight="1">
      <c r="G608" s="187"/>
    </row>
    <row r="609" ht="14.25" customHeight="1">
      <c r="G609" s="187"/>
    </row>
    <row r="610" ht="14.25" customHeight="1">
      <c r="G610" s="187"/>
    </row>
    <row r="611" ht="14.25" customHeight="1">
      <c r="G611" s="187"/>
    </row>
    <row r="612" ht="14.25" customHeight="1">
      <c r="G612" s="187"/>
    </row>
    <row r="613" ht="14.25" customHeight="1">
      <c r="G613" s="187"/>
    </row>
    <row r="614" ht="14.25" customHeight="1">
      <c r="G614" s="187"/>
    </row>
    <row r="615" ht="14.25" customHeight="1">
      <c r="G615" s="187"/>
    </row>
    <row r="616" ht="14.25" customHeight="1">
      <c r="G616" s="187"/>
    </row>
    <row r="617" ht="14.25" customHeight="1">
      <c r="G617" s="187"/>
    </row>
    <row r="618" ht="14.25" customHeight="1">
      <c r="G618" s="187"/>
    </row>
    <row r="619" ht="14.25" customHeight="1">
      <c r="G619" s="187"/>
    </row>
    <row r="620" ht="14.25" customHeight="1">
      <c r="G620" s="187"/>
    </row>
    <row r="621" ht="14.25" customHeight="1">
      <c r="G621" s="187"/>
    </row>
    <row r="622" ht="14.25" customHeight="1">
      <c r="G622" s="187"/>
    </row>
    <row r="623" ht="14.25" customHeight="1">
      <c r="G623" s="187"/>
    </row>
    <row r="624" ht="14.25" customHeight="1">
      <c r="G624" s="187"/>
    </row>
    <row r="625" ht="14.25" customHeight="1">
      <c r="G625" s="187"/>
    </row>
    <row r="626" ht="14.25" customHeight="1">
      <c r="G626" s="187"/>
    </row>
    <row r="627" ht="14.25" customHeight="1">
      <c r="G627" s="187"/>
    </row>
    <row r="628" ht="14.25" customHeight="1">
      <c r="G628" s="187"/>
    </row>
    <row r="629" ht="14.25" customHeight="1">
      <c r="G629" s="187"/>
    </row>
    <row r="630" ht="14.25" customHeight="1">
      <c r="G630" s="187"/>
    </row>
    <row r="631" ht="14.25" customHeight="1">
      <c r="G631" s="187"/>
    </row>
    <row r="632" ht="14.25" customHeight="1">
      <c r="G632" s="187"/>
    </row>
    <row r="633" ht="14.25" customHeight="1">
      <c r="G633" s="187"/>
    </row>
    <row r="634" ht="14.25" customHeight="1">
      <c r="G634" s="187"/>
    </row>
    <row r="635" ht="14.25" customHeight="1">
      <c r="G635" s="187"/>
    </row>
    <row r="636" ht="14.25" customHeight="1">
      <c r="G636" s="187"/>
    </row>
    <row r="637" ht="14.25" customHeight="1">
      <c r="G637" s="187"/>
    </row>
    <row r="638" ht="14.25" customHeight="1">
      <c r="G638" s="187"/>
    </row>
    <row r="639" ht="14.25" customHeight="1">
      <c r="G639" s="187"/>
    </row>
    <row r="640" ht="14.25" customHeight="1">
      <c r="G640" s="187"/>
    </row>
    <row r="641" ht="14.25" customHeight="1">
      <c r="G641" s="187"/>
    </row>
    <row r="642" ht="14.25" customHeight="1">
      <c r="G642" s="187"/>
    </row>
    <row r="643" ht="14.25" customHeight="1">
      <c r="G643" s="187"/>
    </row>
    <row r="644" ht="14.25" customHeight="1">
      <c r="G644" s="187"/>
    </row>
    <row r="645" ht="14.25" customHeight="1">
      <c r="G645" s="187"/>
    </row>
    <row r="646" ht="14.25" customHeight="1">
      <c r="G646" s="187"/>
    </row>
    <row r="647" ht="14.25" customHeight="1">
      <c r="G647" s="187"/>
    </row>
    <row r="648" ht="14.25" customHeight="1">
      <c r="G648" s="187"/>
    </row>
    <row r="649" ht="14.25" customHeight="1">
      <c r="G649" s="187"/>
    </row>
    <row r="650" ht="14.25" customHeight="1">
      <c r="G650" s="187"/>
    </row>
    <row r="651" ht="14.25" customHeight="1">
      <c r="G651" s="187"/>
    </row>
    <row r="652" ht="14.25" customHeight="1">
      <c r="G652" s="187"/>
    </row>
    <row r="653" ht="14.25" customHeight="1">
      <c r="G653" s="187"/>
    </row>
    <row r="654" ht="14.25" customHeight="1">
      <c r="G654" s="187"/>
    </row>
    <row r="655" ht="14.25" customHeight="1">
      <c r="G655" s="187"/>
    </row>
    <row r="656" ht="14.25" customHeight="1">
      <c r="G656" s="187"/>
    </row>
    <row r="657" ht="14.25" customHeight="1">
      <c r="G657" s="187"/>
    </row>
    <row r="658" ht="14.25" customHeight="1">
      <c r="G658" s="187"/>
    </row>
    <row r="659" ht="14.25" customHeight="1">
      <c r="G659" s="187"/>
    </row>
    <row r="660" ht="14.25" customHeight="1">
      <c r="G660" s="187"/>
    </row>
    <row r="661" ht="14.25" customHeight="1">
      <c r="G661" s="187"/>
    </row>
    <row r="662" ht="14.25" customHeight="1">
      <c r="G662" s="187"/>
    </row>
    <row r="663" ht="14.25" customHeight="1">
      <c r="G663" s="187"/>
    </row>
    <row r="664" ht="14.25" customHeight="1">
      <c r="G664" s="187"/>
    </row>
    <row r="665" ht="14.25" customHeight="1">
      <c r="G665" s="187"/>
    </row>
    <row r="666" ht="14.25" customHeight="1">
      <c r="G666" s="187"/>
    </row>
    <row r="667" ht="14.25" customHeight="1">
      <c r="G667" s="187"/>
    </row>
    <row r="668" ht="14.25" customHeight="1">
      <c r="G668" s="187"/>
    </row>
    <row r="669" ht="14.25" customHeight="1">
      <c r="G669" s="187"/>
    </row>
    <row r="670" ht="14.25" customHeight="1">
      <c r="G670" s="187"/>
    </row>
    <row r="671" ht="14.25" customHeight="1">
      <c r="G671" s="187"/>
    </row>
    <row r="672" ht="14.25" customHeight="1">
      <c r="G672" s="187"/>
    </row>
    <row r="673" ht="14.25" customHeight="1">
      <c r="G673" s="187"/>
    </row>
    <row r="674" ht="14.25" customHeight="1">
      <c r="G674" s="187"/>
    </row>
    <row r="675" ht="14.25" customHeight="1">
      <c r="G675" s="187"/>
    </row>
    <row r="676" ht="14.25" customHeight="1">
      <c r="G676" s="187"/>
    </row>
    <row r="677" ht="14.25" customHeight="1">
      <c r="G677" s="187"/>
    </row>
    <row r="678" ht="14.25" customHeight="1">
      <c r="G678" s="187"/>
    </row>
    <row r="679" ht="14.25" customHeight="1">
      <c r="G679" s="187"/>
    </row>
    <row r="680" ht="14.25" customHeight="1">
      <c r="G680" s="187"/>
    </row>
    <row r="681" ht="14.25" customHeight="1">
      <c r="G681" s="187"/>
    </row>
    <row r="682" ht="14.25" customHeight="1">
      <c r="G682" s="187"/>
    </row>
    <row r="683" ht="14.25" customHeight="1">
      <c r="G683" s="187"/>
    </row>
    <row r="684" ht="14.25" customHeight="1">
      <c r="G684" s="187"/>
    </row>
    <row r="685" ht="14.25" customHeight="1">
      <c r="G685" s="187"/>
    </row>
    <row r="686" ht="14.25" customHeight="1">
      <c r="G686" s="187"/>
    </row>
    <row r="687" ht="14.25" customHeight="1">
      <c r="G687" s="187"/>
    </row>
    <row r="688" ht="14.25" customHeight="1">
      <c r="G688" s="187"/>
    </row>
    <row r="689" ht="14.25" customHeight="1">
      <c r="G689" s="187"/>
    </row>
    <row r="690" ht="14.25" customHeight="1">
      <c r="G690" s="187"/>
    </row>
    <row r="691" ht="14.25" customHeight="1">
      <c r="G691" s="187"/>
    </row>
    <row r="692" ht="14.25" customHeight="1">
      <c r="G692" s="187"/>
    </row>
    <row r="693" ht="14.25" customHeight="1">
      <c r="G693" s="187"/>
    </row>
    <row r="694" ht="14.25" customHeight="1">
      <c r="G694" s="187"/>
    </row>
    <row r="695" ht="14.25" customHeight="1">
      <c r="G695" s="187"/>
    </row>
    <row r="696" ht="14.25" customHeight="1">
      <c r="G696" s="187"/>
    </row>
    <row r="697" ht="14.25" customHeight="1">
      <c r="G697" s="187"/>
    </row>
    <row r="698" ht="14.25" customHeight="1">
      <c r="G698" s="187"/>
    </row>
    <row r="699" ht="14.25" customHeight="1">
      <c r="G699" s="187"/>
    </row>
    <row r="700" ht="14.25" customHeight="1">
      <c r="G700" s="187"/>
    </row>
    <row r="701" ht="14.25" customHeight="1">
      <c r="G701" s="187"/>
    </row>
    <row r="702" ht="14.25" customHeight="1">
      <c r="G702" s="187"/>
    </row>
    <row r="703" ht="14.25" customHeight="1">
      <c r="G703" s="187"/>
    </row>
    <row r="704" ht="14.25" customHeight="1">
      <c r="G704" s="187"/>
    </row>
    <row r="705" ht="14.25" customHeight="1">
      <c r="G705" s="187"/>
    </row>
    <row r="706" ht="14.25" customHeight="1">
      <c r="G706" s="187"/>
    </row>
    <row r="707" ht="14.25" customHeight="1">
      <c r="G707" s="187"/>
    </row>
    <row r="708" ht="14.25" customHeight="1">
      <c r="G708" s="187"/>
    </row>
    <row r="709" ht="14.25" customHeight="1">
      <c r="G709" s="187"/>
    </row>
    <row r="710" ht="14.25" customHeight="1">
      <c r="G710" s="187"/>
    </row>
    <row r="711" ht="14.25" customHeight="1">
      <c r="G711" s="187"/>
    </row>
    <row r="712" ht="14.25" customHeight="1">
      <c r="G712" s="187"/>
    </row>
    <row r="713" ht="14.25" customHeight="1">
      <c r="G713" s="187"/>
    </row>
    <row r="714" ht="14.25" customHeight="1">
      <c r="G714" s="187"/>
    </row>
    <row r="715" ht="14.25" customHeight="1">
      <c r="G715" s="187"/>
    </row>
    <row r="716" ht="14.25" customHeight="1">
      <c r="G716" s="187"/>
    </row>
    <row r="717" ht="14.25" customHeight="1">
      <c r="G717" s="187"/>
    </row>
    <row r="718" ht="14.25" customHeight="1">
      <c r="G718" s="187"/>
    </row>
    <row r="719" ht="14.25" customHeight="1">
      <c r="G719" s="187"/>
    </row>
    <row r="720" ht="14.25" customHeight="1">
      <c r="G720" s="187"/>
    </row>
    <row r="721" ht="14.25" customHeight="1">
      <c r="G721" s="187"/>
    </row>
    <row r="722" ht="14.25" customHeight="1">
      <c r="G722" s="187"/>
    </row>
    <row r="723" ht="14.25" customHeight="1">
      <c r="G723" s="187"/>
    </row>
    <row r="724" ht="14.25" customHeight="1">
      <c r="G724" s="187"/>
    </row>
    <row r="725" ht="14.25" customHeight="1">
      <c r="G725" s="187"/>
    </row>
    <row r="726" ht="14.25" customHeight="1">
      <c r="G726" s="187"/>
    </row>
    <row r="727" ht="14.25" customHeight="1">
      <c r="G727" s="187"/>
    </row>
    <row r="728" ht="14.25" customHeight="1">
      <c r="G728" s="187"/>
    </row>
    <row r="729" ht="14.25" customHeight="1">
      <c r="G729" s="187"/>
    </row>
    <row r="730" ht="14.25" customHeight="1">
      <c r="G730" s="187"/>
    </row>
    <row r="731" ht="14.25" customHeight="1">
      <c r="G731" s="187"/>
    </row>
    <row r="732" ht="14.25" customHeight="1">
      <c r="G732" s="187"/>
    </row>
    <row r="733" ht="14.25" customHeight="1">
      <c r="G733" s="187"/>
    </row>
    <row r="734" ht="14.25" customHeight="1">
      <c r="G734" s="187"/>
    </row>
    <row r="735" ht="14.25" customHeight="1">
      <c r="G735" s="187"/>
    </row>
    <row r="736" ht="14.25" customHeight="1">
      <c r="G736" s="187"/>
    </row>
    <row r="737" ht="14.25" customHeight="1">
      <c r="G737" s="187"/>
    </row>
    <row r="738" ht="14.25" customHeight="1">
      <c r="G738" s="187"/>
    </row>
    <row r="739" ht="14.25" customHeight="1">
      <c r="G739" s="187"/>
    </row>
    <row r="740" ht="14.25" customHeight="1">
      <c r="G740" s="187"/>
    </row>
    <row r="741" ht="14.25" customHeight="1">
      <c r="G741" s="187"/>
    </row>
    <row r="742" ht="14.25" customHeight="1">
      <c r="G742" s="187"/>
    </row>
    <row r="743" ht="14.25" customHeight="1">
      <c r="G743" s="187"/>
    </row>
    <row r="744" ht="14.25" customHeight="1">
      <c r="G744" s="187"/>
    </row>
    <row r="745" ht="14.25" customHeight="1">
      <c r="G745" s="187"/>
    </row>
    <row r="746" ht="14.25" customHeight="1">
      <c r="G746" s="187"/>
    </row>
    <row r="747" ht="14.25" customHeight="1">
      <c r="G747" s="187"/>
    </row>
    <row r="748" ht="14.25" customHeight="1">
      <c r="G748" s="187"/>
    </row>
    <row r="749" ht="14.25" customHeight="1">
      <c r="G749" s="187"/>
    </row>
    <row r="750" ht="14.25" customHeight="1">
      <c r="G750" s="187"/>
    </row>
    <row r="751" ht="14.25" customHeight="1">
      <c r="G751" s="187"/>
    </row>
    <row r="752" ht="14.25" customHeight="1">
      <c r="G752" s="187"/>
    </row>
    <row r="753" ht="14.25" customHeight="1">
      <c r="G753" s="187"/>
    </row>
    <row r="754" ht="14.25" customHeight="1">
      <c r="G754" s="187"/>
    </row>
    <row r="755" ht="14.25" customHeight="1">
      <c r="G755" s="187"/>
    </row>
    <row r="756" ht="14.25" customHeight="1">
      <c r="G756" s="187"/>
    </row>
    <row r="757" ht="14.25" customHeight="1">
      <c r="G757" s="187"/>
    </row>
    <row r="758" ht="14.25" customHeight="1">
      <c r="G758" s="187"/>
    </row>
    <row r="759" ht="14.25" customHeight="1">
      <c r="G759" s="187"/>
    </row>
    <row r="760" ht="14.25" customHeight="1">
      <c r="G760" s="187"/>
    </row>
    <row r="761" ht="14.25" customHeight="1">
      <c r="G761" s="187"/>
    </row>
    <row r="762" ht="14.25" customHeight="1">
      <c r="G762" s="187"/>
    </row>
    <row r="763" ht="14.25" customHeight="1">
      <c r="G763" s="187"/>
    </row>
    <row r="764" ht="14.25" customHeight="1">
      <c r="G764" s="187"/>
    </row>
    <row r="765" ht="14.25" customHeight="1">
      <c r="G765" s="187"/>
    </row>
    <row r="766" ht="14.25" customHeight="1">
      <c r="G766" s="187"/>
    </row>
    <row r="767" ht="14.25" customHeight="1">
      <c r="G767" s="187"/>
    </row>
    <row r="768" ht="14.25" customHeight="1">
      <c r="G768" s="187"/>
    </row>
    <row r="769" ht="14.25" customHeight="1">
      <c r="G769" s="187"/>
    </row>
    <row r="770" ht="14.25" customHeight="1">
      <c r="G770" s="187"/>
    </row>
    <row r="771" ht="14.25" customHeight="1">
      <c r="G771" s="187"/>
    </row>
    <row r="772" ht="14.25" customHeight="1">
      <c r="G772" s="187"/>
    </row>
    <row r="773" ht="14.25" customHeight="1">
      <c r="G773" s="187"/>
    </row>
    <row r="774" ht="14.25" customHeight="1">
      <c r="G774" s="187"/>
    </row>
    <row r="775" ht="14.25" customHeight="1">
      <c r="G775" s="187"/>
    </row>
    <row r="776" ht="14.25" customHeight="1">
      <c r="G776" s="187"/>
    </row>
    <row r="777" ht="14.25" customHeight="1">
      <c r="G777" s="187"/>
    </row>
    <row r="778" ht="14.25" customHeight="1">
      <c r="G778" s="187"/>
    </row>
    <row r="779" ht="14.25" customHeight="1">
      <c r="G779" s="187"/>
    </row>
    <row r="780" ht="14.25" customHeight="1">
      <c r="G780" s="187"/>
    </row>
    <row r="781" ht="14.25" customHeight="1">
      <c r="G781" s="187"/>
    </row>
    <row r="782" ht="14.25" customHeight="1">
      <c r="G782" s="187"/>
    </row>
    <row r="783" ht="14.25" customHeight="1">
      <c r="G783" s="187"/>
    </row>
    <row r="784" ht="14.25" customHeight="1">
      <c r="G784" s="187"/>
    </row>
    <row r="785" ht="14.25" customHeight="1">
      <c r="G785" s="187"/>
    </row>
    <row r="786" ht="14.25" customHeight="1">
      <c r="G786" s="187"/>
    </row>
    <row r="787" ht="14.25" customHeight="1">
      <c r="G787" s="187"/>
    </row>
    <row r="788" ht="14.25" customHeight="1">
      <c r="G788" s="187"/>
    </row>
    <row r="789" ht="14.25" customHeight="1">
      <c r="G789" s="187"/>
    </row>
    <row r="790" ht="14.25" customHeight="1">
      <c r="G790" s="187"/>
    </row>
    <row r="791" ht="14.25" customHeight="1">
      <c r="G791" s="187"/>
    </row>
    <row r="792" ht="14.25" customHeight="1">
      <c r="G792" s="187"/>
    </row>
    <row r="793" ht="14.25" customHeight="1">
      <c r="G793" s="187"/>
    </row>
    <row r="794" ht="14.25" customHeight="1">
      <c r="G794" s="187"/>
    </row>
    <row r="795" ht="14.25" customHeight="1">
      <c r="G795" s="187"/>
    </row>
    <row r="796" ht="14.25" customHeight="1">
      <c r="G796" s="187"/>
    </row>
    <row r="797" ht="14.25" customHeight="1">
      <c r="G797" s="187"/>
    </row>
    <row r="798" ht="14.25" customHeight="1">
      <c r="G798" s="187"/>
    </row>
    <row r="799" ht="14.25" customHeight="1">
      <c r="G799" s="187"/>
    </row>
    <row r="800" ht="14.25" customHeight="1">
      <c r="G800" s="187"/>
    </row>
    <row r="801" ht="14.25" customHeight="1">
      <c r="G801" s="187"/>
    </row>
    <row r="802" ht="14.25" customHeight="1">
      <c r="G802" s="187"/>
    </row>
    <row r="803" ht="14.25" customHeight="1">
      <c r="G803" s="187"/>
    </row>
    <row r="804" ht="14.25" customHeight="1">
      <c r="G804" s="187"/>
    </row>
    <row r="805" ht="14.25" customHeight="1">
      <c r="G805" s="187"/>
    </row>
    <row r="806" ht="14.25" customHeight="1">
      <c r="G806" s="187"/>
    </row>
    <row r="807" ht="14.25" customHeight="1">
      <c r="G807" s="187"/>
    </row>
    <row r="808" ht="14.25" customHeight="1">
      <c r="G808" s="187"/>
    </row>
    <row r="809" ht="14.25" customHeight="1">
      <c r="G809" s="187"/>
    </row>
    <row r="810" ht="14.25" customHeight="1">
      <c r="G810" s="187"/>
    </row>
    <row r="811" ht="14.25" customHeight="1">
      <c r="G811" s="187"/>
    </row>
    <row r="812" ht="14.25" customHeight="1">
      <c r="G812" s="187"/>
    </row>
    <row r="813" ht="14.25" customHeight="1">
      <c r="G813" s="187"/>
    </row>
    <row r="814" ht="14.25" customHeight="1">
      <c r="G814" s="187"/>
    </row>
    <row r="815" ht="14.25" customHeight="1">
      <c r="G815" s="187"/>
    </row>
    <row r="816" ht="14.25" customHeight="1">
      <c r="G816" s="187"/>
    </row>
    <row r="817" ht="14.25" customHeight="1">
      <c r="G817" s="187"/>
    </row>
    <row r="818" ht="14.25" customHeight="1">
      <c r="G818" s="187"/>
    </row>
    <row r="819" ht="14.25" customHeight="1">
      <c r="G819" s="187"/>
    </row>
    <row r="820" ht="14.25" customHeight="1">
      <c r="G820" s="187"/>
    </row>
    <row r="821" ht="14.25" customHeight="1">
      <c r="G821" s="187"/>
    </row>
    <row r="822" ht="14.25" customHeight="1">
      <c r="G822" s="187"/>
    </row>
    <row r="823" ht="14.25" customHeight="1">
      <c r="G823" s="187"/>
    </row>
    <row r="824" ht="14.25" customHeight="1">
      <c r="G824" s="187"/>
    </row>
    <row r="825" ht="14.25" customHeight="1">
      <c r="G825" s="187"/>
    </row>
    <row r="826" ht="14.25" customHeight="1">
      <c r="G826" s="187"/>
    </row>
    <row r="827" ht="14.25" customHeight="1">
      <c r="G827" s="187"/>
    </row>
    <row r="828" ht="14.25" customHeight="1">
      <c r="G828" s="187"/>
    </row>
    <row r="829" ht="14.25" customHeight="1">
      <c r="G829" s="187"/>
    </row>
    <row r="830" ht="14.25" customHeight="1">
      <c r="G830" s="187"/>
    </row>
    <row r="831" ht="14.25" customHeight="1">
      <c r="G831" s="187"/>
    </row>
    <row r="832" ht="14.25" customHeight="1">
      <c r="G832" s="187"/>
    </row>
    <row r="833" ht="14.25" customHeight="1">
      <c r="G833" s="187"/>
    </row>
    <row r="834" ht="14.25" customHeight="1">
      <c r="G834" s="187"/>
    </row>
    <row r="835" ht="14.25" customHeight="1">
      <c r="G835" s="187"/>
    </row>
    <row r="836" ht="14.25" customHeight="1">
      <c r="G836" s="187"/>
    </row>
    <row r="837" ht="14.25" customHeight="1">
      <c r="G837" s="187"/>
    </row>
    <row r="838" ht="14.25" customHeight="1">
      <c r="G838" s="187"/>
    </row>
    <row r="839" ht="14.25" customHeight="1">
      <c r="G839" s="187"/>
    </row>
    <row r="840" ht="14.25" customHeight="1">
      <c r="G840" s="187"/>
    </row>
    <row r="841" ht="14.25" customHeight="1">
      <c r="G841" s="187"/>
    </row>
    <row r="842" ht="14.25" customHeight="1">
      <c r="G842" s="187"/>
    </row>
    <row r="843" ht="14.25" customHeight="1">
      <c r="G843" s="187"/>
    </row>
    <row r="844" ht="14.25" customHeight="1">
      <c r="G844" s="187"/>
    </row>
    <row r="845" ht="14.25" customHeight="1">
      <c r="G845" s="187"/>
    </row>
    <row r="846" ht="14.25" customHeight="1">
      <c r="G846" s="187"/>
    </row>
    <row r="847" ht="14.25" customHeight="1">
      <c r="G847" s="187"/>
    </row>
    <row r="848" ht="14.25" customHeight="1">
      <c r="G848" s="187"/>
    </row>
    <row r="849" ht="14.25" customHeight="1">
      <c r="G849" s="187"/>
    </row>
    <row r="850" ht="14.25" customHeight="1">
      <c r="G850" s="187"/>
    </row>
    <row r="851" ht="14.25" customHeight="1">
      <c r="G851" s="187"/>
    </row>
    <row r="852" ht="14.25" customHeight="1">
      <c r="G852" s="187"/>
    </row>
    <row r="853" ht="14.25" customHeight="1">
      <c r="G853" s="187"/>
    </row>
    <row r="854" ht="14.25" customHeight="1">
      <c r="G854" s="187"/>
    </row>
    <row r="855" ht="14.25" customHeight="1">
      <c r="G855" s="187"/>
    </row>
    <row r="856" ht="14.25" customHeight="1">
      <c r="G856" s="187"/>
    </row>
    <row r="857" ht="14.25" customHeight="1">
      <c r="G857" s="187"/>
    </row>
    <row r="858" ht="14.25" customHeight="1">
      <c r="G858" s="187"/>
    </row>
    <row r="859" ht="14.25" customHeight="1">
      <c r="G859" s="187"/>
    </row>
    <row r="860" ht="14.25" customHeight="1">
      <c r="G860" s="187"/>
    </row>
    <row r="861" ht="14.25" customHeight="1">
      <c r="G861" s="187"/>
    </row>
    <row r="862" ht="14.25" customHeight="1">
      <c r="G862" s="187"/>
    </row>
    <row r="863" ht="14.25" customHeight="1">
      <c r="G863" s="187"/>
    </row>
    <row r="864" ht="14.25" customHeight="1">
      <c r="G864" s="187"/>
    </row>
    <row r="865" ht="14.25" customHeight="1">
      <c r="G865" s="187"/>
    </row>
    <row r="866" ht="14.25" customHeight="1">
      <c r="G866" s="187"/>
    </row>
    <row r="867" ht="14.25" customHeight="1">
      <c r="G867" s="187"/>
    </row>
    <row r="868" ht="14.25" customHeight="1">
      <c r="G868" s="187"/>
    </row>
    <row r="869" ht="14.25" customHeight="1">
      <c r="G869" s="187"/>
    </row>
    <row r="870" ht="14.25" customHeight="1">
      <c r="G870" s="187"/>
    </row>
    <row r="871" ht="14.25" customHeight="1">
      <c r="G871" s="187"/>
    </row>
    <row r="872" ht="14.25" customHeight="1">
      <c r="G872" s="187"/>
    </row>
    <row r="873" ht="14.25" customHeight="1">
      <c r="G873" s="187"/>
    </row>
    <row r="874" ht="14.25" customHeight="1">
      <c r="G874" s="187"/>
    </row>
    <row r="875" ht="14.25" customHeight="1">
      <c r="G875" s="187"/>
    </row>
    <row r="876" ht="14.25" customHeight="1">
      <c r="G876" s="187"/>
    </row>
    <row r="877" ht="14.25" customHeight="1">
      <c r="G877" s="187"/>
    </row>
    <row r="878" ht="14.25" customHeight="1">
      <c r="G878" s="187"/>
    </row>
    <row r="879" ht="14.25" customHeight="1">
      <c r="G879" s="187"/>
    </row>
    <row r="880" ht="14.25" customHeight="1">
      <c r="G880" s="187"/>
    </row>
    <row r="881" ht="14.25" customHeight="1">
      <c r="G881" s="187"/>
    </row>
    <row r="882" ht="14.25" customHeight="1">
      <c r="G882" s="187"/>
    </row>
    <row r="883" ht="14.25" customHeight="1">
      <c r="G883" s="187"/>
    </row>
    <row r="884" ht="14.25" customHeight="1">
      <c r="G884" s="187"/>
    </row>
    <row r="885" ht="14.25" customHeight="1">
      <c r="G885" s="187"/>
    </row>
    <row r="886" ht="14.25" customHeight="1">
      <c r="G886" s="187"/>
    </row>
    <row r="887" ht="14.25" customHeight="1">
      <c r="G887" s="187"/>
    </row>
    <row r="888" ht="14.25" customHeight="1">
      <c r="G888" s="187"/>
    </row>
    <row r="889" ht="14.25" customHeight="1">
      <c r="G889" s="187"/>
    </row>
    <row r="890" ht="14.25" customHeight="1">
      <c r="G890" s="187"/>
    </row>
    <row r="891" ht="14.25" customHeight="1">
      <c r="G891" s="187"/>
    </row>
    <row r="892" ht="14.25" customHeight="1">
      <c r="G892" s="187"/>
    </row>
    <row r="893" ht="14.25" customHeight="1">
      <c r="G893" s="187"/>
    </row>
    <row r="894" ht="14.25" customHeight="1">
      <c r="G894" s="187"/>
    </row>
    <row r="895" ht="14.25" customHeight="1">
      <c r="G895" s="187"/>
    </row>
    <row r="896" ht="14.25" customHeight="1">
      <c r="G896" s="187"/>
    </row>
    <row r="897" ht="14.25" customHeight="1">
      <c r="G897" s="187"/>
    </row>
    <row r="898" ht="14.25" customHeight="1">
      <c r="G898" s="187"/>
    </row>
    <row r="899" ht="14.25" customHeight="1">
      <c r="G899" s="187"/>
    </row>
    <row r="900" ht="14.25" customHeight="1">
      <c r="G900" s="187"/>
    </row>
    <row r="901" ht="14.25" customHeight="1">
      <c r="G901" s="187"/>
    </row>
    <row r="902" ht="14.25" customHeight="1">
      <c r="G902" s="187"/>
    </row>
    <row r="903" ht="14.25" customHeight="1">
      <c r="G903" s="187"/>
    </row>
    <row r="904" ht="14.25" customHeight="1">
      <c r="G904" s="187"/>
    </row>
    <row r="905" ht="14.25" customHeight="1">
      <c r="G905" s="187"/>
    </row>
    <row r="906" ht="14.25" customHeight="1">
      <c r="G906" s="187"/>
    </row>
    <row r="907" ht="14.25" customHeight="1">
      <c r="G907" s="187"/>
    </row>
    <row r="908" ht="14.25" customHeight="1">
      <c r="G908" s="187"/>
    </row>
    <row r="909" ht="14.25" customHeight="1">
      <c r="G909" s="187"/>
    </row>
    <row r="910" ht="14.25" customHeight="1">
      <c r="G910" s="187"/>
    </row>
    <row r="911" ht="14.25" customHeight="1">
      <c r="G911" s="187"/>
    </row>
    <row r="912" ht="14.25" customHeight="1">
      <c r="G912" s="187"/>
    </row>
    <row r="913" ht="14.25" customHeight="1">
      <c r="G913" s="187"/>
    </row>
    <row r="914" ht="14.25" customHeight="1">
      <c r="G914" s="187"/>
    </row>
    <row r="915" ht="14.25" customHeight="1">
      <c r="G915" s="187"/>
    </row>
    <row r="916" ht="14.25" customHeight="1">
      <c r="G916" s="187"/>
    </row>
    <row r="917" ht="14.25" customHeight="1">
      <c r="G917" s="187"/>
    </row>
    <row r="918" ht="14.25" customHeight="1">
      <c r="G918" s="187"/>
    </row>
    <row r="919" ht="14.25" customHeight="1">
      <c r="G919" s="187"/>
    </row>
    <row r="920" ht="14.25" customHeight="1">
      <c r="G920" s="187"/>
    </row>
    <row r="921" ht="14.25" customHeight="1">
      <c r="G921" s="187"/>
    </row>
    <row r="922" ht="14.25" customHeight="1">
      <c r="G922" s="187"/>
    </row>
    <row r="923" ht="14.25" customHeight="1">
      <c r="G923" s="187"/>
    </row>
    <row r="924" ht="14.25" customHeight="1">
      <c r="G924" s="187"/>
    </row>
    <row r="925" ht="14.25" customHeight="1">
      <c r="G925" s="187"/>
    </row>
    <row r="926" ht="14.25" customHeight="1">
      <c r="G926" s="187"/>
    </row>
    <row r="927" ht="14.25" customHeight="1">
      <c r="G927" s="187"/>
    </row>
    <row r="928" ht="14.25" customHeight="1">
      <c r="G928" s="187"/>
    </row>
    <row r="929" ht="14.25" customHeight="1">
      <c r="G929" s="187"/>
    </row>
    <row r="930" ht="14.25" customHeight="1">
      <c r="G930" s="187"/>
    </row>
    <row r="931" ht="14.25" customHeight="1">
      <c r="G931" s="187"/>
    </row>
    <row r="932" ht="14.25" customHeight="1">
      <c r="G932" s="187"/>
    </row>
    <row r="933" ht="14.25" customHeight="1">
      <c r="G933" s="187"/>
    </row>
    <row r="934" ht="14.25" customHeight="1">
      <c r="G934" s="187"/>
    </row>
    <row r="935" ht="14.25" customHeight="1">
      <c r="G935" s="187"/>
    </row>
    <row r="936" ht="14.25" customHeight="1">
      <c r="G936" s="187"/>
    </row>
    <row r="937" ht="14.25" customHeight="1">
      <c r="G937" s="187"/>
    </row>
    <row r="938" ht="14.25" customHeight="1">
      <c r="G938" s="187"/>
    </row>
    <row r="939" ht="14.25" customHeight="1">
      <c r="G939" s="187"/>
    </row>
    <row r="940" ht="14.25" customHeight="1">
      <c r="G940" s="187"/>
    </row>
    <row r="941" ht="14.25" customHeight="1">
      <c r="G941" s="187"/>
    </row>
    <row r="942" ht="14.25" customHeight="1">
      <c r="G942" s="187"/>
    </row>
    <row r="943" ht="14.25" customHeight="1">
      <c r="G943" s="187"/>
    </row>
    <row r="944" ht="14.25" customHeight="1">
      <c r="G944" s="187"/>
    </row>
    <row r="945" ht="14.25" customHeight="1">
      <c r="G945" s="187"/>
    </row>
    <row r="946" ht="14.25" customHeight="1">
      <c r="G946" s="187"/>
    </row>
    <row r="947" ht="14.25" customHeight="1">
      <c r="G947" s="187"/>
    </row>
    <row r="948" ht="14.25" customHeight="1">
      <c r="G948" s="187"/>
    </row>
    <row r="949" ht="14.25" customHeight="1">
      <c r="G949" s="187"/>
    </row>
    <row r="950" ht="14.25" customHeight="1">
      <c r="G950" s="187"/>
    </row>
    <row r="951" ht="14.25" customHeight="1">
      <c r="G951" s="187"/>
    </row>
    <row r="952" ht="14.25" customHeight="1">
      <c r="G952" s="187"/>
    </row>
    <row r="953" ht="14.25" customHeight="1">
      <c r="G953" s="187"/>
    </row>
    <row r="954" ht="14.25" customHeight="1">
      <c r="G954" s="187"/>
    </row>
    <row r="955" ht="14.25" customHeight="1">
      <c r="G955" s="187"/>
    </row>
    <row r="956" ht="14.25" customHeight="1">
      <c r="G956" s="187"/>
    </row>
    <row r="957" ht="14.25" customHeight="1">
      <c r="G957" s="187"/>
    </row>
    <row r="958" ht="14.25" customHeight="1">
      <c r="G958" s="187"/>
    </row>
    <row r="959" ht="14.25" customHeight="1">
      <c r="G959" s="187"/>
    </row>
    <row r="960" ht="14.25" customHeight="1">
      <c r="G960" s="187"/>
    </row>
    <row r="961" ht="14.25" customHeight="1">
      <c r="G961" s="187"/>
    </row>
    <row r="962" ht="14.25" customHeight="1">
      <c r="G962" s="187"/>
    </row>
    <row r="963" ht="14.25" customHeight="1">
      <c r="G963" s="187"/>
    </row>
    <row r="964" ht="14.25" customHeight="1">
      <c r="G964" s="187"/>
    </row>
    <row r="965" ht="14.25" customHeight="1">
      <c r="G965" s="187"/>
    </row>
    <row r="966" ht="14.25" customHeight="1">
      <c r="G966" s="187"/>
    </row>
    <row r="967" ht="14.25" customHeight="1">
      <c r="G967" s="187"/>
    </row>
    <row r="968" ht="14.25" customHeight="1">
      <c r="G968" s="187"/>
    </row>
    <row r="969" ht="14.25" customHeight="1">
      <c r="G969" s="187"/>
    </row>
    <row r="970" ht="14.25" customHeight="1">
      <c r="G970" s="187"/>
    </row>
    <row r="971" ht="14.25" customHeight="1">
      <c r="G971" s="187"/>
    </row>
    <row r="972" ht="14.25" customHeight="1">
      <c r="G972" s="187"/>
    </row>
    <row r="973" ht="14.25" customHeight="1">
      <c r="G973" s="187"/>
    </row>
    <row r="974" ht="14.25" customHeight="1">
      <c r="G974" s="187"/>
    </row>
    <row r="975" ht="14.25" customHeight="1">
      <c r="G975" s="187"/>
    </row>
    <row r="976" ht="14.25" customHeight="1">
      <c r="G976" s="187"/>
    </row>
    <row r="977" ht="14.25" customHeight="1">
      <c r="G977" s="187"/>
    </row>
    <row r="978" ht="14.25" customHeight="1">
      <c r="G978" s="187"/>
    </row>
    <row r="979" ht="14.25" customHeight="1">
      <c r="G979" s="187"/>
    </row>
    <row r="980" ht="14.25" customHeight="1">
      <c r="G980" s="187"/>
    </row>
    <row r="981" ht="14.25" customHeight="1">
      <c r="G981" s="187"/>
    </row>
    <row r="982" ht="14.25" customHeight="1">
      <c r="G982" s="187"/>
    </row>
    <row r="983" ht="14.25" customHeight="1">
      <c r="G983" s="187"/>
    </row>
    <row r="984" ht="14.25" customHeight="1">
      <c r="G984" s="187"/>
    </row>
    <row r="985" ht="14.25" customHeight="1">
      <c r="G985" s="187"/>
    </row>
    <row r="986" ht="14.25" customHeight="1">
      <c r="G986" s="187"/>
    </row>
    <row r="987" ht="14.25" customHeight="1">
      <c r="G987" s="187"/>
    </row>
    <row r="988" ht="14.25" customHeight="1">
      <c r="G988" s="187"/>
    </row>
    <row r="989" ht="14.25" customHeight="1">
      <c r="G989" s="187"/>
    </row>
    <row r="990" ht="14.25" customHeight="1">
      <c r="G990" s="187"/>
    </row>
    <row r="991" ht="14.25" customHeight="1">
      <c r="G991" s="187"/>
    </row>
    <row r="992" ht="14.25" customHeight="1">
      <c r="G992" s="187"/>
    </row>
    <row r="993" ht="14.25" customHeight="1">
      <c r="G993" s="187"/>
    </row>
    <row r="994" ht="14.25" customHeight="1">
      <c r="G994" s="187"/>
    </row>
    <row r="995" ht="14.25" customHeight="1">
      <c r="G995" s="187"/>
    </row>
    <row r="996" ht="14.25" customHeight="1">
      <c r="G996" s="187"/>
    </row>
    <row r="997" ht="14.25" customHeight="1">
      <c r="G997" s="187"/>
    </row>
    <row r="998" ht="14.25" customHeight="1">
      <c r="G998" s="187"/>
    </row>
    <row r="999" ht="14.25" customHeight="1">
      <c r="G999" s="187"/>
    </row>
    <row r="1000" ht="14.25" customHeight="1">
      <c r="G1000" s="187"/>
    </row>
  </sheetData>
  <mergeCells count="25">
    <mergeCell ref="AM6:AM7"/>
    <mergeCell ref="AN6:AN7"/>
    <mergeCell ref="AO9:AW9"/>
    <mergeCell ref="AO27:AU27"/>
    <mergeCell ref="A5:D5"/>
    <mergeCell ref="B6:B7"/>
    <mergeCell ref="C6:C7"/>
    <mergeCell ref="D6:D7"/>
    <mergeCell ref="E6:E7"/>
    <mergeCell ref="F6:F7"/>
    <mergeCell ref="G6:G7"/>
    <mergeCell ref="B46:G46"/>
    <mergeCell ref="B47:G47"/>
    <mergeCell ref="A53:G53"/>
    <mergeCell ref="E57:G57"/>
    <mergeCell ref="L57:S57"/>
    <mergeCell ref="E59:G59"/>
    <mergeCell ref="E61:G61"/>
    <mergeCell ref="G23:G25"/>
    <mergeCell ref="G26:G29"/>
    <mergeCell ref="A35:A36"/>
    <mergeCell ref="B35:B36"/>
    <mergeCell ref="C35:C36"/>
    <mergeCell ref="D35:D36"/>
    <mergeCell ref="B45:G45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5.43"/>
    <col customWidth="1" min="6" max="6" width="9.29"/>
    <col customWidth="1" min="7" max="7" width="7.43"/>
    <col customWidth="1" min="8" max="8" width="5.14"/>
    <col customWidth="1" min="9" max="9" width="4.71"/>
    <col customWidth="1" min="10" max="10" width="4.43"/>
    <col customWidth="1" min="11" max="11" width="4.71"/>
    <col customWidth="1" min="12" max="14" width="5.29"/>
    <col customWidth="1" min="15" max="15" width="5.14"/>
    <col customWidth="1" min="16" max="16" width="5.29"/>
    <col customWidth="1" min="17" max="17" width="4.57"/>
    <col customWidth="1" min="18" max="18" width="5.29"/>
    <col customWidth="1" min="19" max="19" width="5.0"/>
    <col customWidth="1" min="20" max="20" width="5.29"/>
    <col customWidth="1" min="21" max="21" width="5.0"/>
    <col customWidth="1" min="22" max="23" width="5.29"/>
    <col customWidth="1" min="24" max="24" width="5.14"/>
    <col customWidth="1" min="25" max="25" width="4.71"/>
    <col customWidth="1" min="26" max="26" width="5.0"/>
    <col customWidth="1" min="27" max="27" width="4.86"/>
    <col customWidth="1" min="28" max="30" width="5.0"/>
    <col customWidth="1" min="31" max="31" width="5.29"/>
    <col customWidth="1" min="32" max="32" width="4.57"/>
    <col customWidth="1" min="33" max="33" width="4.71"/>
    <col customWidth="1" min="34" max="38" width="4.57"/>
    <col customWidth="1" min="39" max="39" width="12.71"/>
    <col customWidth="1" min="40" max="40" width="17.43"/>
    <col customWidth="1" min="41" max="41" width="19.57"/>
    <col customWidth="1" min="42" max="42" width="10.71"/>
    <col customWidth="1" min="43" max="49" width="8.71"/>
  </cols>
  <sheetData>
    <row r="1" ht="14.25" customHeight="1">
      <c r="A1" s="2"/>
      <c r="B1" s="3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 t="s">
        <v>0</v>
      </c>
    </row>
    <row r="2" ht="14.25" customHeight="1">
      <c r="A2" s="2"/>
      <c r="B2" s="3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</v>
      </c>
    </row>
    <row r="3" ht="14.25" customHeight="1">
      <c r="A3" s="2"/>
      <c r="B3" s="3"/>
      <c r="C3" s="2"/>
      <c r="D3" s="2"/>
      <c r="E3" s="2"/>
      <c r="F3" s="2"/>
      <c r="G3" s="4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2</v>
      </c>
    </row>
    <row r="4" ht="14.25" customHeight="1">
      <c r="A4" s="2"/>
      <c r="B4" s="3"/>
      <c r="C4" s="2"/>
      <c r="D4" s="2"/>
      <c r="E4" s="2"/>
      <c r="F4" s="2"/>
      <c r="G4" s="4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7" t="s">
        <v>3</v>
      </c>
    </row>
    <row r="5" ht="14.25" customHeight="1">
      <c r="A5" s="8" t="s">
        <v>173</v>
      </c>
      <c r="B5" s="9"/>
      <c r="C5" s="9"/>
      <c r="D5" s="9"/>
      <c r="E5" s="2"/>
      <c r="F5" s="2"/>
      <c r="G5" s="4"/>
      <c r="H5" s="5"/>
      <c r="I5" s="5"/>
      <c r="J5" s="5"/>
      <c r="K5" s="5"/>
      <c r="L5" s="5"/>
      <c r="M5" s="5"/>
      <c r="N5" s="5"/>
      <c r="O5" s="5"/>
      <c r="P5" s="5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 t="s">
        <v>12</v>
      </c>
      <c r="G6" s="13" t="s">
        <v>13</v>
      </c>
      <c r="H6" s="15">
        <v>1.0</v>
      </c>
      <c r="I6" s="15">
        <f t="shared" ref="I6:AB6" si="1">H6+1</f>
        <v>2</v>
      </c>
      <c r="J6" s="15">
        <f t="shared" si="1"/>
        <v>3</v>
      </c>
      <c r="K6" s="15">
        <f t="shared" si="1"/>
        <v>4</v>
      </c>
      <c r="L6" s="15">
        <f t="shared" si="1"/>
        <v>5</v>
      </c>
      <c r="M6" s="15">
        <f t="shared" si="1"/>
        <v>6</v>
      </c>
      <c r="N6" s="15">
        <f t="shared" si="1"/>
        <v>7</v>
      </c>
      <c r="O6" s="15">
        <f t="shared" si="1"/>
        <v>8</v>
      </c>
      <c r="P6" s="15">
        <f t="shared" si="1"/>
        <v>9</v>
      </c>
      <c r="Q6" s="15">
        <f t="shared" si="1"/>
        <v>10</v>
      </c>
      <c r="R6" s="15">
        <f t="shared" si="1"/>
        <v>11</v>
      </c>
      <c r="S6" s="15">
        <f t="shared" si="1"/>
        <v>12</v>
      </c>
      <c r="T6" s="15">
        <f t="shared" si="1"/>
        <v>13</v>
      </c>
      <c r="U6" s="15">
        <f t="shared" si="1"/>
        <v>14</v>
      </c>
      <c r="V6" s="15">
        <f t="shared" si="1"/>
        <v>15</v>
      </c>
      <c r="W6" s="15">
        <f t="shared" si="1"/>
        <v>16</v>
      </c>
      <c r="X6" s="15">
        <f t="shared" si="1"/>
        <v>17</v>
      </c>
      <c r="Y6" s="15">
        <f t="shared" si="1"/>
        <v>18</v>
      </c>
      <c r="Z6" s="15">
        <f t="shared" si="1"/>
        <v>19</v>
      </c>
      <c r="AA6" s="15">
        <f t="shared" si="1"/>
        <v>20</v>
      </c>
      <c r="AB6" s="15">
        <f t="shared" si="1"/>
        <v>21</v>
      </c>
      <c r="AC6" s="15">
        <v>22.0</v>
      </c>
      <c r="AD6" s="15">
        <v>23.0</v>
      </c>
      <c r="AE6" s="15">
        <v>24.0</v>
      </c>
      <c r="AF6" s="15">
        <v>25.0</v>
      </c>
      <c r="AG6" s="15">
        <v>26.0</v>
      </c>
      <c r="AH6" s="15">
        <v>27.0</v>
      </c>
      <c r="AI6" s="15">
        <v>28.0</v>
      </c>
      <c r="AJ6" s="15">
        <v>29.0</v>
      </c>
      <c r="AK6" s="15">
        <v>30.0</v>
      </c>
      <c r="AL6" s="15">
        <v>31.0</v>
      </c>
      <c r="AM6" s="13" t="s">
        <v>14</v>
      </c>
      <c r="AN6" s="13" t="s">
        <v>15</v>
      </c>
    </row>
    <row r="7" ht="14.25" customHeight="1">
      <c r="A7" s="16"/>
      <c r="B7" s="17"/>
      <c r="C7" s="17"/>
      <c r="D7" s="17"/>
      <c r="E7" s="17"/>
      <c r="F7" s="17"/>
      <c r="G7" s="17"/>
      <c r="H7" s="18" t="s">
        <v>18</v>
      </c>
      <c r="I7" s="18" t="s">
        <v>19</v>
      </c>
      <c r="J7" s="18" t="s">
        <v>20</v>
      </c>
      <c r="K7" s="18" t="s">
        <v>21</v>
      </c>
      <c r="L7" s="18" t="s">
        <v>22</v>
      </c>
      <c r="M7" s="18" t="s">
        <v>16</v>
      </c>
      <c r="N7" s="18" t="s">
        <v>17</v>
      </c>
      <c r="O7" s="18" t="s">
        <v>18</v>
      </c>
      <c r="P7" s="18" t="s">
        <v>19</v>
      </c>
      <c r="Q7" s="18" t="s">
        <v>20</v>
      </c>
      <c r="R7" s="18" t="s">
        <v>21</v>
      </c>
      <c r="S7" s="18" t="s">
        <v>22</v>
      </c>
      <c r="T7" s="18" t="s">
        <v>16</v>
      </c>
      <c r="U7" s="18" t="s">
        <v>17</v>
      </c>
      <c r="V7" s="18" t="s">
        <v>18</v>
      </c>
      <c r="W7" s="18" t="s">
        <v>19</v>
      </c>
      <c r="X7" s="18" t="s">
        <v>20</v>
      </c>
      <c r="Y7" s="18" t="s">
        <v>21</v>
      </c>
      <c r="Z7" s="18" t="s">
        <v>22</v>
      </c>
      <c r="AA7" s="18" t="s">
        <v>16</v>
      </c>
      <c r="AB7" s="18" t="s">
        <v>17</v>
      </c>
      <c r="AC7" s="18" t="s">
        <v>18</v>
      </c>
      <c r="AD7" s="18" t="s">
        <v>19</v>
      </c>
      <c r="AE7" s="18" t="s">
        <v>20</v>
      </c>
      <c r="AF7" s="18" t="s">
        <v>21</v>
      </c>
      <c r="AG7" s="18" t="s">
        <v>22</v>
      </c>
      <c r="AH7" s="18" t="s">
        <v>16</v>
      </c>
      <c r="AI7" s="18" t="s">
        <v>17</v>
      </c>
      <c r="AJ7" s="18" t="s">
        <v>18</v>
      </c>
      <c r="AK7" s="18" t="s">
        <v>19</v>
      </c>
      <c r="AL7" s="188" t="s">
        <v>20</v>
      </c>
      <c r="AM7" s="17"/>
      <c r="AN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2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2"/>
      <c r="AN8" s="23"/>
    </row>
    <row r="9" ht="14.25" hidden="1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7">
        <v>12.0</v>
      </c>
      <c r="G9" s="28" t="s">
        <v>26</v>
      </c>
      <c r="H9" s="30">
        <v>12.0</v>
      </c>
      <c r="I9" s="30">
        <v>12.0</v>
      </c>
      <c r="J9" s="29"/>
      <c r="K9" s="29">
        <v>12.0</v>
      </c>
      <c r="L9" s="29">
        <v>12.0</v>
      </c>
      <c r="M9" s="29">
        <v>12.0</v>
      </c>
      <c r="N9" s="29">
        <v>12.0</v>
      </c>
      <c r="O9" s="30">
        <v>12.0</v>
      </c>
      <c r="P9" s="30">
        <v>12.0</v>
      </c>
      <c r="Q9" s="29"/>
      <c r="R9" s="29">
        <v>12.0</v>
      </c>
      <c r="S9" s="29">
        <v>12.0</v>
      </c>
      <c r="T9" s="29">
        <v>12.0</v>
      </c>
      <c r="U9" s="29">
        <v>12.0</v>
      </c>
      <c r="V9" s="30">
        <v>12.0</v>
      </c>
      <c r="W9" s="30">
        <v>12.0</v>
      </c>
      <c r="X9" s="29"/>
      <c r="Y9" s="29">
        <v>12.0</v>
      </c>
      <c r="Z9" s="29">
        <v>12.0</v>
      </c>
      <c r="AA9" s="29">
        <v>12.0</v>
      </c>
      <c r="AB9" s="29">
        <v>12.0</v>
      </c>
      <c r="AC9" s="30">
        <v>12.0</v>
      </c>
      <c r="AD9" s="30">
        <v>12.0</v>
      </c>
      <c r="AE9" s="29"/>
      <c r="AF9" s="29">
        <v>12.0</v>
      </c>
      <c r="AG9" s="29">
        <v>12.0</v>
      </c>
      <c r="AH9" s="29">
        <v>12.0</v>
      </c>
      <c r="AI9" s="29">
        <v>12.0</v>
      </c>
      <c r="AJ9" s="30">
        <v>12.0</v>
      </c>
      <c r="AK9" s="30">
        <v>12.0</v>
      </c>
      <c r="AL9" s="29"/>
      <c r="AM9" s="31">
        <f t="shared" ref="AM9:AM13" si="2">AN9/F9</f>
        <v>26</v>
      </c>
      <c r="AN9" s="32">
        <f t="shared" ref="AN9:AN16" si="3">SUM(H9:AK9)</f>
        <v>312</v>
      </c>
      <c r="AO9" s="33" t="s">
        <v>175</v>
      </c>
    </row>
    <row r="10" ht="14.25" hidden="1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7">
        <v>12.0</v>
      </c>
      <c r="G10" s="28" t="s">
        <v>30</v>
      </c>
      <c r="H10" s="30">
        <v>12.0</v>
      </c>
      <c r="I10" s="30">
        <v>12.0</v>
      </c>
      <c r="J10" s="29"/>
      <c r="K10" s="29">
        <v>12.0</v>
      </c>
      <c r="L10" s="29">
        <v>12.0</v>
      </c>
      <c r="M10" s="29">
        <v>12.0</v>
      </c>
      <c r="N10" s="29">
        <v>12.0</v>
      </c>
      <c r="O10" s="30">
        <v>12.0</v>
      </c>
      <c r="P10" s="30"/>
      <c r="Q10" s="29"/>
      <c r="R10" s="29">
        <v>12.0</v>
      </c>
      <c r="S10" s="29">
        <v>12.0</v>
      </c>
      <c r="T10" s="29">
        <v>12.0</v>
      </c>
      <c r="U10" s="29">
        <v>12.0</v>
      </c>
      <c r="V10" s="30">
        <v>12.0</v>
      </c>
      <c r="W10" s="30"/>
      <c r="X10" s="29"/>
      <c r="Y10" s="29">
        <v>12.0</v>
      </c>
      <c r="Z10" s="29">
        <v>12.0</v>
      </c>
      <c r="AA10" s="29">
        <v>12.0</v>
      </c>
      <c r="AB10" s="29">
        <v>12.0</v>
      </c>
      <c r="AC10" s="30">
        <v>12.0</v>
      </c>
      <c r="AD10" s="30"/>
      <c r="AE10" s="29"/>
      <c r="AF10" s="29">
        <v>12.0</v>
      </c>
      <c r="AG10" s="29">
        <v>12.0</v>
      </c>
      <c r="AH10" s="29">
        <v>12.0</v>
      </c>
      <c r="AI10" s="29">
        <v>12.0</v>
      </c>
      <c r="AJ10" s="30">
        <v>12.0</v>
      </c>
      <c r="AK10" s="30"/>
      <c r="AL10" s="29"/>
      <c r="AM10" s="31">
        <f t="shared" si="2"/>
        <v>22</v>
      </c>
      <c r="AN10" s="32">
        <f t="shared" si="3"/>
        <v>264</v>
      </c>
    </row>
    <row r="11" ht="14.25" hidden="1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6">
        <v>9.0</v>
      </c>
      <c r="G11" s="28" t="s">
        <v>30</v>
      </c>
      <c r="H11" s="30">
        <v>9.0</v>
      </c>
      <c r="I11" s="30">
        <v>9.0</v>
      </c>
      <c r="J11" s="29"/>
      <c r="K11" s="29">
        <v>9.0</v>
      </c>
      <c r="L11" s="29">
        <v>9.0</v>
      </c>
      <c r="M11" s="29">
        <v>9.0</v>
      </c>
      <c r="N11" s="29">
        <v>9.0</v>
      </c>
      <c r="O11" s="30">
        <v>9.0</v>
      </c>
      <c r="P11" s="30"/>
      <c r="Q11" s="29"/>
      <c r="R11" s="29">
        <v>9.0</v>
      </c>
      <c r="S11" s="29">
        <v>9.0</v>
      </c>
      <c r="T11" s="29">
        <v>9.0</v>
      </c>
      <c r="U11" s="29">
        <v>9.0</v>
      </c>
      <c r="V11" s="30">
        <v>9.0</v>
      </c>
      <c r="W11" s="30"/>
      <c r="X11" s="29"/>
      <c r="Y11" s="29">
        <v>9.0</v>
      </c>
      <c r="Z11" s="29">
        <v>9.0</v>
      </c>
      <c r="AA11" s="29">
        <v>9.0</v>
      </c>
      <c r="AB11" s="29">
        <v>9.0</v>
      </c>
      <c r="AC11" s="30">
        <v>9.0</v>
      </c>
      <c r="AD11" s="30"/>
      <c r="AE11" s="29"/>
      <c r="AF11" s="29">
        <v>9.0</v>
      </c>
      <c r="AG11" s="29">
        <v>9.0</v>
      </c>
      <c r="AH11" s="29">
        <v>9.0</v>
      </c>
      <c r="AI11" s="29">
        <v>9.0</v>
      </c>
      <c r="AJ11" s="30">
        <v>9.0</v>
      </c>
      <c r="AK11" s="30"/>
      <c r="AL11" s="29"/>
      <c r="AM11" s="31">
        <f t="shared" si="2"/>
        <v>22</v>
      </c>
      <c r="AN11" s="32">
        <f t="shared" si="3"/>
        <v>198</v>
      </c>
    </row>
    <row r="12" ht="14.25" hidden="1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7">
        <v>9.0</v>
      </c>
      <c r="G12" s="28" t="s">
        <v>30</v>
      </c>
      <c r="H12" s="30">
        <v>9.0</v>
      </c>
      <c r="I12" s="30">
        <v>9.0</v>
      </c>
      <c r="J12" s="29"/>
      <c r="K12" s="29">
        <v>9.0</v>
      </c>
      <c r="L12" s="29">
        <v>9.0</v>
      </c>
      <c r="M12" s="29">
        <v>9.0</v>
      </c>
      <c r="N12" s="29">
        <v>9.0</v>
      </c>
      <c r="O12" s="30">
        <v>9.0</v>
      </c>
      <c r="P12" s="30"/>
      <c r="Q12" s="29"/>
      <c r="R12" s="29">
        <v>9.0</v>
      </c>
      <c r="S12" s="29">
        <v>9.0</v>
      </c>
      <c r="T12" s="29">
        <v>9.0</v>
      </c>
      <c r="U12" s="29">
        <v>9.0</v>
      </c>
      <c r="V12" s="30">
        <v>9.0</v>
      </c>
      <c r="W12" s="30"/>
      <c r="X12" s="29"/>
      <c r="Y12" s="29">
        <v>9.0</v>
      </c>
      <c r="Z12" s="29">
        <v>9.0</v>
      </c>
      <c r="AA12" s="29">
        <v>9.0</v>
      </c>
      <c r="AB12" s="29">
        <v>9.0</v>
      </c>
      <c r="AC12" s="30">
        <v>9.0</v>
      </c>
      <c r="AD12" s="30"/>
      <c r="AE12" s="29"/>
      <c r="AF12" s="29">
        <v>9.0</v>
      </c>
      <c r="AG12" s="29">
        <v>9.0</v>
      </c>
      <c r="AH12" s="29">
        <v>9.0</v>
      </c>
      <c r="AI12" s="29">
        <v>9.0</v>
      </c>
      <c r="AJ12" s="30">
        <v>9.0</v>
      </c>
      <c r="AK12" s="30"/>
      <c r="AL12" s="29"/>
      <c r="AM12" s="31">
        <f t="shared" si="2"/>
        <v>22</v>
      </c>
      <c r="AN12" s="32">
        <f t="shared" si="3"/>
        <v>198</v>
      </c>
    </row>
    <row r="13" ht="14.25" hidden="1" customHeight="1">
      <c r="A13" s="24">
        <v>5.0</v>
      </c>
      <c r="B13" s="35" t="s">
        <v>36</v>
      </c>
      <c r="C13" s="27">
        <v>1.0</v>
      </c>
      <c r="D13" s="36"/>
      <c r="E13" s="27" t="s">
        <v>33</v>
      </c>
      <c r="F13" s="27">
        <v>9.0</v>
      </c>
      <c r="G13" s="28" t="s">
        <v>30</v>
      </c>
      <c r="H13" s="30">
        <v>9.0</v>
      </c>
      <c r="I13" s="30">
        <v>9.0</v>
      </c>
      <c r="J13" s="29"/>
      <c r="K13" s="29">
        <v>9.0</v>
      </c>
      <c r="L13" s="29">
        <v>9.0</v>
      </c>
      <c r="M13" s="29">
        <v>9.0</v>
      </c>
      <c r="N13" s="29">
        <v>9.0</v>
      </c>
      <c r="O13" s="30">
        <v>9.0</v>
      </c>
      <c r="P13" s="30"/>
      <c r="Q13" s="29"/>
      <c r="R13" s="29">
        <v>9.0</v>
      </c>
      <c r="S13" s="29">
        <v>9.0</v>
      </c>
      <c r="T13" s="29">
        <v>9.0</v>
      </c>
      <c r="U13" s="29">
        <v>9.0</v>
      </c>
      <c r="V13" s="30">
        <v>9.0</v>
      </c>
      <c r="W13" s="30"/>
      <c r="X13" s="29"/>
      <c r="Y13" s="29">
        <v>9.0</v>
      </c>
      <c r="Z13" s="29">
        <v>9.0</v>
      </c>
      <c r="AA13" s="29">
        <v>9.0</v>
      </c>
      <c r="AB13" s="29">
        <v>9.0</v>
      </c>
      <c r="AC13" s="30">
        <v>9.0</v>
      </c>
      <c r="AD13" s="30"/>
      <c r="AE13" s="29"/>
      <c r="AF13" s="29">
        <v>9.0</v>
      </c>
      <c r="AG13" s="29">
        <v>9.0</v>
      </c>
      <c r="AH13" s="29">
        <v>9.0</v>
      </c>
      <c r="AI13" s="29">
        <v>9.0</v>
      </c>
      <c r="AJ13" s="30">
        <v>9.0</v>
      </c>
      <c r="AK13" s="30"/>
      <c r="AL13" s="29"/>
      <c r="AM13" s="31">
        <f t="shared" si="2"/>
        <v>22</v>
      </c>
      <c r="AN13" s="32">
        <f t="shared" si="3"/>
        <v>198</v>
      </c>
    </row>
    <row r="14" ht="14.25" hidden="1" customHeight="1">
      <c r="A14" s="34">
        <v>6.0</v>
      </c>
      <c r="B14" s="35" t="s">
        <v>86</v>
      </c>
      <c r="C14" s="27">
        <v>1.0</v>
      </c>
      <c r="D14" s="37" t="s">
        <v>82</v>
      </c>
      <c r="E14" s="27" t="s">
        <v>178</v>
      </c>
      <c r="F14" s="27">
        <v>17.0</v>
      </c>
      <c r="G14" s="28" t="s">
        <v>30</v>
      </c>
      <c r="H14" s="30">
        <v>17.0</v>
      </c>
      <c r="I14" s="46">
        <v>17.0</v>
      </c>
      <c r="J14" s="44">
        <v>17.0</v>
      </c>
      <c r="K14" s="29"/>
      <c r="L14" s="29"/>
      <c r="M14" s="29"/>
      <c r="N14" s="29"/>
      <c r="O14" s="30"/>
      <c r="P14" s="30"/>
      <c r="Q14" s="29"/>
      <c r="R14" s="29"/>
      <c r="S14" s="29"/>
      <c r="T14" s="29"/>
      <c r="U14" s="29"/>
      <c r="V14" s="30"/>
      <c r="W14" s="30"/>
      <c r="X14" s="29"/>
      <c r="Y14" s="29"/>
      <c r="Z14" s="29"/>
      <c r="AA14" s="29"/>
      <c r="AB14" s="29"/>
      <c r="AC14" s="30"/>
      <c r="AD14" s="30"/>
      <c r="AE14" s="29"/>
      <c r="AF14" s="29"/>
      <c r="AG14" s="29"/>
      <c r="AH14" s="29">
        <v>17.0</v>
      </c>
      <c r="AI14" s="29">
        <v>17.0</v>
      </c>
      <c r="AJ14" s="30">
        <v>17.0</v>
      </c>
      <c r="AK14" s="30">
        <v>17.0</v>
      </c>
      <c r="AL14" s="29">
        <v>17.0</v>
      </c>
      <c r="AM14" s="31">
        <f t="shared" ref="AM14:AM17" si="4">COUNTA(H14:AL14)</f>
        <v>8</v>
      </c>
      <c r="AN14" s="32">
        <f t="shared" si="3"/>
        <v>119</v>
      </c>
    </row>
    <row r="15" ht="14.25" hidden="1" customHeight="1">
      <c r="A15" s="34">
        <v>7.0</v>
      </c>
      <c r="B15" s="35" t="s">
        <v>86</v>
      </c>
      <c r="C15" s="65">
        <v>1.0</v>
      </c>
      <c r="D15" s="37" t="s">
        <v>92</v>
      </c>
      <c r="E15" s="27" t="s">
        <v>178</v>
      </c>
      <c r="F15" s="27">
        <v>17.0</v>
      </c>
      <c r="G15" s="28" t="s">
        <v>30</v>
      </c>
      <c r="H15" s="30"/>
      <c r="I15" s="46"/>
      <c r="J15" s="44"/>
      <c r="K15" s="29"/>
      <c r="L15" s="29"/>
      <c r="M15" s="29">
        <v>17.0</v>
      </c>
      <c r="N15" s="29">
        <v>17.0</v>
      </c>
      <c r="O15" s="30">
        <v>17.0</v>
      </c>
      <c r="P15" s="30">
        <v>17.0</v>
      </c>
      <c r="Q15" s="29">
        <v>17.0</v>
      </c>
      <c r="R15" s="29"/>
      <c r="S15" s="29"/>
      <c r="T15" s="29"/>
      <c r="U15" s="29"/>
      <c r="V15" s="30"/>
      <c r="W15" s="30"/>
      <c r="X15" s="29"/>
      <c r="Y15" s="29"/>
      <c r="Z15" s="29"/>
      <c r="AA15" s="29"/>
      <c r="AB15" s="29"/>
      <c r="AC15" s="30"/>
      <c r="AD15" s="30"/>
      <c r="AE15" s="29"/>
      <c r="AF15" s="29"/>
      <c r="AG15" s="29"/>
      <c r="AH15" s="29"/>
      <c r="AI15" s="29"/>
      <c r="AJ15" s="30"/>
      <c r="AK15" s="30"/>
      <c r="AL15" s="29"/>
      <c r="AM15" s="31">
        <f t="shared" si="4"/>
        <v>5</v>
      </c>
      <c r="AN15" s="32">
        <f t="shared" si="3"/>
        <v>85</v>
      </c>
    </row>
    <row r="16" ht="14.25" hidden="1" customHeight="1">
      <c r="A16" s="34">
        <v>8.0</v>
      </c>
      <c r="B16" s="35" t="s">
        <v>86</v>
      </c>
      <c r="C16" s="65">
        <v>1.0</v>
      </c>
      <c r="D16" s="189" t="s">
        <v>179</v>
      </c>
      <c r="E16" s="27" t="s">
        <v>178</v>
      </c>
      <c r="F16" s="27">
        <v>17.0</v>
      </c>
      <c r="G16" s="28" t="s">
        <v>30</v>
      </c>
      <c r="H16" s="30"/>
      <c r="I16" s="46"/>
      <c r="J16" s="44"/>
      <c r="K16" s="29"/>
      <c r="L16" s="29"/>
      <c r="M16" s="29"/>
      <c r="N16" s="29"/>
      <c r="O16" s="30"/>
      <c r="P16" s="30"/>
      <c r="Q16" s="29"/>
      <c r="R16" s="29"/>
      <c r="S16" s="29"/>
      <c r="T16" s="29">
        <v>17.0</v>
      </c>
      <c r="U16" s="29">
        <v>17.0</v>
      </c>
      <c r="V16" s="30">
        <v>17.0</v>
      </c>
      <c r="W16" s="30">
        <v>17.0</v>
      </c>
      <c r="X16" s="29">
        <v>17.0</v>
      </c>
      <c r="Y16" s="29"/>
      <c r="Z16" s="29"/>
      <c r="AA16" s="29"/>
      <c r="AB16" s="29"/>
      <c r="AC16" s="30"/>
      <c r="AD16" s="30"/>
      <c r="AE16" s="29"/>
      <c r="AF16" s="29"/>
      <c r="AG16" s="29"/>
      <c r="AH16" s="29"/>
      <c r="AI16" s="29"/>
      <c r="AJ16" s="30"/>
      <c r="AK16" s="30"/>
      <c r="AL16" s="29"/>
      <c r="AM16" s="31">
        <f t="shared" si="4"/>
        <v>5</v>
      </c>
      <c r="AN16" s="32">
        <f t="shared" si="3"/>
        <v>85</v>
      </c>
    </row>
    <row r="17" ht="14.25" hidden="1" customHeight="1">
      <c r="A17" s="34">
        <v>9.0</v>
      </c>
      <c r="B17" s="35" t="s">
        <v>86</v>
      </c>
      <c r="C17" s="65">
        <v>1.0</v>
      </c>
      <c r="D17" s="90" t="s">
        <v>91</v>
      </c>
      <c r="E17" s="27" t="s">
        <v>178</v>
      </c>
      <c r="F17" s="27">
        <v>17.0</v>
      </c>
      <c r="G17" s="28" t="s">
        <v>30</v>
      </c>
      <c r="H17" s="30"/>
      <c r="I17" s="46"/>
      <c r="J17" s="44"/>
      <c r="K17" s="29"/>
      <c r="L17" s="29"/>
      <c r="M17" s="29"/>
      <c r="N17" s="29"/>
      <c r="O17" s="30"/>
      <c r="P17" s="30"/>
      <c r="Q17" s="29"/>
      <c r="R17" s="29"/>
      <c r="S17" s="29"/>
      <c r="T17" s="29"/>
      <c r="U17" s="29"/>
      <c r="V17" s="30"/>
      <c r="W17" s="30"/>
      <c r="X17" s="29"/>
      <c r="Y17" s="29"/>
      <c r="Z17" s="29"/>
      <c r="AA17" s="29">
        <v>17.0</v>
      </c>
      <c r="AB17" s="29">
        <v>17.0</v>
      </c>
      <c r="AC17" s="30">
        <v>17.0</v>
      </c>
      <c r="AD17" s="30">
        <v>17.0</v>
      </c>
      <c r="AE17" s="29">
        <v>17.0</v>
      </c>
      <c r="AF17" s="29"/>
      <c r="AG17" s="29"/>
      <c r="AH17" s="29"/>
      <c r="AI17" s="29"/>
      <c r="AJ17" s="30"/>
      <c r="AK17" s="30"/>
      <c r="AL17" s="29"/>
      <c r="AM17" s="31">
        <f t="shared" si="4"/>
        <v>5</v>
      </c>
      <c r="AN17" s="32"/>
    </row>
    <row r="18" ht="14.25" hidden="1" customHeight="1">
      <c r="A18" s="19"/>
      <c r="B18" s="20" t="s">
        <v>41</v>
      </c>
      <c r="C18" s="21"/>
      <c r="D18" s="20" t="s">
        <v>41</v>
      </c>
      <c r="E18" s="21"/>
      <c r="F18" s="38"/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3"/>
      <c r="AN18" s="45"/>
    </row>
    <row r="19" ht="14.25" hidden="1" customHeight="1">
      <c r="A19" s="24">
        <v>8.0</v>
      </c>
      <c r="B19" s="25" t="s">
        <v>181</v>
      </c>
      <c r="C19" s="26">
        <v>1.0</v>
      </c>
      <c r="D19" s="25" t="s">
        <v>63</v>
      </c>
      <c r="E19" s="26" t="s">
        <v>182</v>
      </c>
      <c r="F19" s="26">
        <v>9.0</v>
      </c>
      <c r="G19" s="47" t="s">
        <v>65</v>
      </c>
      <c r="H19" s="49"/>
      <c r="I19" s="49"/>
      <c r="J19" s="48"/>
      <c r="K19" s="48"/>
      <c r="L19" s="48"/>
      <c r="M19" s="48"/>
      <c r="N19" s="48"/>
      <c r="O19" s="49"/>
      <c r="P19" s="49"/>
      <c r="Q19" s="48"/>
      <c r="R19" s="48"/>
      <c r="S19" s="48"/>
      <c r="T19" s="48"/>
      <c r="U19" s="48"/>
      <c r="V19" s="49"/>
      <c r="W19" s="49"/>
      <c r="X19" s="48"/>
      <c r="Y19" s="48"/>
      <c r="Z19" s="48"/>
      <c r="AA19" s="48"/>
      <c r="AB19" s="48"/>
      <c r="AC19" s="49"/>
      <c r="AD19" s="49"/>
      <c r="AE19" s="48"/>
      <c r="AF19" s="48"/>
      <c r="AG19" s="48"/>
      <c r="AH19" s="190"/>
      <c r="AI19" s="190"/>
      <c r="AJ19" s="191"/>
      <c r="AK19" s="191"/>
      <c r="AL19" s="190"/>
      <c r="AM19" s="31">
        <f t="shared" ref="AM19:AM27" si="5">AN19/F19</f>
        <v>0</v>
      </c>
      <c r="AN19" s="51">
        <f t="shared" ref="AN19:AN27" si="6">SUM(H19:AK19)</f>
        <v>0</v>
      </c>
    </row>
    <row r="20" ht="14.25" hidden="1" customHeight="1">
      <c r="A20" s="24">
        <v>9.0</v>
      </c>
      <c r="B20" s="35" t="s">
        <v>53</v>
      </c>
      <c r="C20" s="27">
        <v>1.0</v>
      </c>
      <c r="D20" s="36" t="s">
        <v>54</v>
      </c>
      <c r="E20" s="27" t="s">
        <v>55</v>
      </c>
      <c r="F20" s="27">
        <v>12.0</v>
      </c>
      <c r="G20" s="47" t="s">
        <v>46</v>
      </c>
      <c r="H20" s="30">
        <v>12.0</v>
      </c>
      <c r="I20" s="30">
        <v>12.0</v>
      </c>
      <c r="J20" s="29">
        <v>12.0</v>
      </c>
      <c r="K20" s="29"/>
      <c r="L20" s="29"/>
      <c r="M20" s="29"/>
      <c r="N20" s="29"/>
      <c r="O20" s="30"/>
      <c r="P20" s="30"/>
      <c r="Q20" s="29"/>
      <c r="R20" s="29">
        <v>12.0</v>
      </c>
      <c r="S20" s="29">
        <v>12.0</v>
      </c>
      <c r="T20" s="29">
        <v>12.0</v>
      </c>
      <c r="U20" s="29">
        <v>12.0</v>
      </c>
      <c r="V20" s="30"/>
      <c r="W20" s="30"/>
      <c r="X20" s="29">
        <v>12.0</v>
      </c>
      <c r="Y20" s="29"/>
      <c r="Z20" s="29"/>
      <c r="AA20" s="29"/>
      <c r="AB20" s="29"/>
      <c r="AC20" s="30"/>
      <c r="AD20" s="30"/>
      <c r="AE20" s="29"/>
      <c r="AF20" s="29"/>
      <c r="AG20" s="29"/>
      <c r="AH20" s="29"/>
      <c r="AI20" s="29"/>
      <c r="AJ20" s="30"/>
      <c r="AK20" s="30"/>
      <c r="AL20" s="29"/>
      <c r="AM20" s="31">
        <f t="shared" si="5"/>
        <v>8</v>
      </c>
      <c r="AN20" s="51">
        <f t="shared" si="6"/>
        <v>96</v>
      </c>
    </row>
    <row r="21" ht="14.25" hidden="1" customHeight="1">
      <c r="A21" s="24">
        <v>10.0</v>
      </c>
      <c r="B21" s="35" t="s">
        <v>49</v>
      </c>
      <c r="C21" s="27">
        <v>1.0</v>
      </c>
      <c r="D21" s="36" t="s">
        <v>60</v>
      </c>
      <c r="E21" s="27" t="s">
        <v>51</v>
      </c>
      <c r="F21" s="27">
        <v>24.0</v>
      </c>
      <c r="G21" s="47" t="s">
        <v>52</v>
      </c>
      <c r="H21" s="30"/>
      <c r="I21" s="30">
        <v>24.0</v>
      </c>
      <c r="J21" s="29"/>
      <c r="K21" s="29">
        <v>24.0</v>
      </c>
      <c r="L21" s="29"/>
      <c r="M21" s="29">
        <v>24.0</v>
      </c>
      <c r="N21" s="29"/>
      <c r="O21" s="30"/>
      <c r="P21" s="30"/>
      <c r="Q21" s="29"/>
      <c r="R21" s="29"/>
      <c r="S21" s="29">
        <v>24.0</v>
      </c>
      <c r="T21" s="29"/>
      <c r="U21" s="29">
        <v>24.0</v>
      </c>
      <c r="V21" s="30"/>
      <c r="W21" s="30">
        <v>24.0</v>
      </c>
      <c r="X21" s="29"/>
      <c r="Y21" s="29"/>
      <c r="Z21" s="29"/>
      <c r="AA21" s="29"/>
      <c r="AB21" s="29"/>
      <c r="AC21" s="30"/>
      <c r="AD21" s="30"/>
      <c r="AE21" s="29"/>
      <c r="AF21" s="29"/>
      <c r="AG21" s="29"/>
      <c r="AH21" s="29"/>
      <c r="AI21" s="29"/>
      <c r="AJ21" s="30"/>
      <c r="AK21" s="30"/>
      <c r="AL21" s="29"/>
      <c r="AM21" s="31">
        <f t="shared" si="5"/>
        <v>6</v>
      </c>
      <c r="AN21" s="51">
        <f t="shared" si="6"/>
        <v>144</v>
      </c>
    </row>
    <row r="22" ht="14.25" hidden="1" customHeight="1">
      <c r="A22" s="24">
        <v>11.0</v>
      </c>
      <c r="B22" s="35" t="s">
        <v>49</v>
      </c>
      <c r="C22" s="27">
        <v>1.0</v>
      </c>
      <c r="D22" s="36" t="s">
        <v>56</v>
      </c>
      <c r="E22" s="27" t="s">
        <v>51</v>
      </c>
      <c r="F22" s="27">
        <v>24.0</v>
      </c>
      <c r="G22" s="47" t="s">
        <v>52</v>
      </c>
      <c r="H22" s="30">
        <v>24.0</v>
      </c>
      <c r="I22" s="30"/>
      <c r="J22" s="29">
        <v>24.0</v>
      </c>
      <c r="K22" s="29"/>
      <c r="L22" s="29">
        <v>24.0</v>
      </c>
      <c r="M22" s="29"/>
      <c r="N22" s="29"/>
      <c r="O22" s="30"/>
      <c r="P22" s="30"/>
      <c r="Q22" s="29"/>
      <c r="R22" s="29">
        <v>24.0</v>
      </c>
      <c r="S22" s="29"/>
      <c r="T22" s="29">
        <v>24.0</v>
      </c>
      <c r="U22" s="29"/>
      <c r="V22" s="30">
        <v>24.0</v>
      </c>
      <c r="W22" s="30"/>
      <c r="X22" s="29">
        <v>24.0</v>
      </c>
      <c r="Y22" s="29"/>
      <c r="Z22" s="29"/>
      <c r="AA22" s="29"/>
      <c r="AB22" s="29"/>
      <c r="AC22" s="30"/>
      <c r="AD22" s="30"/>
      <c r="AE22" s="29"/>
      <c r="AF22" s="29"/>
      <c r="AG22" s="29"/>
      <c r="AH22" s="29"/>
      <c r="AI22" s="29"/>
      <c r="AJ22" s="30"/>
      <c r="AK22" s="30"/>
      <c r="AL22" s="29"/>
      <c r="AM22" s="31">
        <f t="shared" si="5"/>
        <v>7</v>
      </c>
      <c r="AN22" s="51">
        <f t="shared" si="6"/>
        <v>168</v>
      </c>
    </row>
    <row r="23" ht="14.25" hidden="1" customHeight="1">
      <c r="A23" s="24">
        <v>12.0</v>
      </c>
      <c r="B23" s="35" t="s">
        <v>67</v>
      </c>
      <c r="C23" s="27">
        <v>1.0</v>
      </c>
      <c r="D23" s="36" t="s">
        <v>56</v>
      </c>
      <c r="E23" s="27" t="s">
        <v>51</v>
      </c>
      <c r="F23" s="27">
        <v>12.0</v>
      </c>
      <c r="G23" s="47" t="s">
        <v>65</v>
      </c>
      <c r="H23" s="30"/>
      <c r="I23" s="30"/>
      <c r="J23" s="29"/>
      <c r="K23" s="29"/>
      <c r="L23" s="29"/>
      <c r="M23" s="29"/>
      <c r="N23" s="29"/>
      <c r="O23" s="30"/>
      <c r="P23" s="30"/>
      <c r="Q23" s="29"/>
      <c r="R23" s="29"/>
      <c r="S23" s="29">
        <v>12.0</v>
      </c>
      <c r="T23" s="29"/>
      <c r="U23" s="29"/>
      <c r="V23" s="30"/>
      <c r="W23" s="30"/>
      <c r="X23" s="29"/>
      <c r="Y23" s="29"/>
      <c r="Z23" s="29"/>
      <c r="AA23" s="29"/>
      <c r="AB23" s="29"/>
      <c r="AC23" s="30"/>
      <c r="AD23" s="30"/>
      <c r="AE23" s="29"/>
      <c r="AF23" s="29"/>
      <c r="AG23" s="29"/>
      <c r="AH23" s="44"/>
      <c r="AI23" s="44"/>
      <c r="AJ23" s="46"/>
      <c r="AK23" s="46"/>
      <c r="AL23" s="44"/>
      <c r="AM23" s="31">
        <f t="shared" si="5"/>
        <v>1</v>
      </c>
      <c r="AN23" s="51">
        <f t="shared" si="6"/>
        <v>12</v>
      </c>
    </row>
    <row r="24" ht="14.25" hidden="1" customHeight="1">
      <c r="A24" s="24">
        <v>13.0</v>
      </c>
      <c r="B24" s="35" t="s">
        <v>62</v>
      </c>
      <c r="C24" s="27">
        <v>1.0</v>
      </c>
      <c r="D24" s="67" t="s">
        <v>66</v>
      </c>
      <c r="E24" s="27" t="s">
        <v>64</v>
      </c>
      <c r="F24" s="27">
        <v>12.0</v>
      </c>
      <c r="G24" s="47" t="s">
        <v>65</v>
      </c>
      <c r="H24" s="49"/>
      <c r="I24" s="49"/>
      <c r="J24" s="48"/>
      <c r="K24" s="48"/>
      <c r="L24" s="48"/>
      <c r="M24" s="48"/>
      <c r="N24" s="48"/>
      <c r="O24" s="49"/>
      <c r="P24" s="49"/>
      <c r="Q24" s="48"/>
      <c r="R24" s="48"/>
      <c r="S24" s="48"/>
      <c r="T24" s="48"/>
      <c r="U24" s="29">
        <v>12.0</v>
      </c>
      <c r="V24" s="30">
        <v>12.0</v>
      </c>
      <c r="W24" s="49">
        <v>12.0</v>
      </c>
      <c r="X24" s="48">
        <v>12.0</v>
      </c>
      <c r="Y24" s="48"/>
      <c r="Z24" s="48"/>
      <c r="AA24" s="48"/>
      <c r="AB24" s="48"/>
      <c r="AC24" s="49"/>
      <c r="AD24" s="49"/>
      <c r="AE24" s="48"/>
      <c r="AF24" s="48"/>
      <c r="AG24" s="48"/>
      <c r="AH24" s="44"/>
      <c r="AI24" s="44"/>
      <c r="AJ24" s="46"/>
      <c r="AK24" s="46"/>
      <c r="AL24" s="44"/>
      <c r="AM24" s="31">
        <f t="shared" si="5"/>
        <v>4</v>
      </c>
      <c r="AN24" s="51">
        <f t="shared" si="6"/>
        <v>48</v>
      </c>
    </row>
    <row r="25" ht="14.25" hidden="1" customHeight="1">
      <c r="A25" s="24">
        <v>14.0</v>
      </c>
      <c r="B25" s="35" t="s">
        <v>67</v>
      </c>
      <c r="C25" s="27">
        <v>1.0</v>
      </c>
      <c r="D25" s="36" t="s">
        <v>188</v>
      </c>
      <c r="E25" s="27" t="s">
        <v>70</v>
      </c>
      <c r="F25" s="27">
        <v>12.0</v>
      </c>
      <c r="G25" s="28" t="s">
        <v>30</v>
      </c>
      <c r="H25" s="30"/>
      <c r="I25" s="30"/>
      <c r="J25" s="29"/>
      <c r="K25" s="29"/>
      <c r="L25" s="29"/>
      <c r="M25" s="29"/>
      <c r="N25" s="29"/>
      <c r="O25" s="30"/>
      <c r="P25" s="30"/>
      <c r="Q25" s="29"/>
      <c r="R25" s="29"/>
      <c r="S25" s="29"/>
      <c r="T25" s="29"/>
      <c r="U25" s="29">
        <v>12.0</v>
      </c>
      <c r="V25" s="30">
        <v>12.0</v>
      </c>
      <c r="W25" s="30"/>
      <c r="X25" s="29"/>
      <c r="Y25" s="29"/>
      <c r="Z25" s="29"/>
      <c r="AA25" s="29"/>
      <c r="AB25" s="29"/>
      <c r="AC25" s="30"/>
      <c r="AD25" s="30"/>
      <c r="AE25" s="29"/>
      <c r="AF25" s="29"/>
      <c r="AG25" s="29"/>
      <c r="AH25" s="29"/>
      <c r="AI25" s="29"/>
      <c r="AJ25" s="30"/>
      <c r="AK25" s="30"/>
      <c r="AL25" s="29"/>
      <c r="AM25" s="31">
        <f t="shared" si="5"/>
        <v>2</v>
      </c>
      <c r="AN25" s="51">
        <f t="shared" si="6"/>
        <v>24</v>
      </c>
    </row>
    <row r="26" ht="14.25" hidden="1" customHeight="1">
      <c r="A26" s="24">
        <v>15.0</v>
      </c>
      <c r="B26" s="35" t="s">
        <v>67</v>
      </c>
      <c r="C26" s="27">
        <v>1.0</v>
      </c>
      <c r="D26" s="36" t="s">
        <v>176</v>
      </c>
      <c r="E26" s="27" t="s">
        <v>70</v>
      </c>
      <c r="F26" s="27">
        <v>12.0</v>
      </c>
      <c r="G26" s="28" t="s">
        <v>30</v>
      </c>
      <c r="H26" s="30"/>
      <c r="I26" s="30"/>
      <c r="J26" s="29"/>
      <c r="K26" s="29"/>
      <c r="L26" s="29"/>
      <c r="M26" s="29"/>
      <c r="N26" s="29"/>
      <c r="O26" s="30"/>
      <c r="P26" s="30"/>
      <c r="Q26" s="29"/>
      <c r="R26" s="29"/>
      <c r="S26" s="29"/>
      <c r="T26" s="29"/>
      <c r="U26" s="29"/>
      <c r="V26" s="30"/>
      <c r="W26" s="30">
        <v>12.0</v>
      </c>
      <c r="X26" s="29">
        <v>12.0</v>
      </c>
      <c r="Y26" s="29"/>
      <c r="Z26" s="29"/>
      <c r="AA26" s="29"/>
      <c r="AB26" s="29"/>
      <c r="AC26" s="30"/>
      <c r="AD26" s="30"/>
      <c r="AE26" s="29"/>
      <c r="AF26" s="29"/>
      <c r="AG26" s="29"/>
      <c r="AH26" s="29"/>
      <c r="AI26" s="29"/>
      <c r="AJ26" s="30"/>
      <c r="AK26" s="30"/>
      <c r="AL26" s="29"/>
      <c r="AM26" s="31">
        <f t="shared" si="5"/>
        <v>2</v>
      </c>
      <c r="AN26" s="51">
        <f t="shared" si="6"/>
        <v>24</v>
      </c>
    </row>
    <row r="27" ht="14.25" hidden="1" customHeight="1">
      <c r="A27" s="24">
        <v>16.0</v>
      </c>
      <c r="B27" s="35" t="s">
        <v>71</v>
      </c>
      <c r="C27" s="27">
        <v>1.0</v>
      </c>
      <c r="D27" s="36" t="s">
        <v>76</v>
      </c>
      <c r="E27" s="27" t="s">
        <v>73</v>
      </c>
      <c r="F27" s="27">
        <v>12.0</v>
      </c>
      <c r="G27" s="28" t="s">
        <v>26</v>
      </c>
      <c r="H27" s="30">
        <v>12.0</v>
      </c>
      <c r="I27" s="30">
        <v>12.0</v>
      </c>
      <c r="J27" s="29">
        <v>12.0</v>
      </c>
      <c r="K27" s="29">
        <v>12.0</v>
      </c>
      <c r="L27" s="29">
        <v>12.0</v>
      </c>
      <c r="M27" s="29">
        <v>12.0</v>
      </c>
      <c r="N27" s="29">
        <v>12.0</v>
      </c>
      <c r="O27" s="30"/>
      <c r="P27" s="30">
        <v>12.0</v>
      </c>
      <c r="Q27" s="29">
        <v>12.0</v>
      </c>
      <c r="R27" s="29">
        <v>18.0</v>
      </c>
      <c r="S27" s="29">
        <v>12.0</v>
      </c>
      <c r="T27" s="29">
        <v>12.0</v>
      </c>
      <c r="U27" s="29">
        <v>12.0</v>
      </c>
      <c r="V27" s="30">
        <v>12.0</v>
      </c>
      <c r="W27" s="30"/>
      <c r="X27" s="29">
        <v>12.0</v>
      </c>
      <c r="Y27" s="29"/>
      <c r="Z27" s="29"/>
      <c r="AA27" s="29"/>
      <c r="AB27" s="29"/>
      <c r="AC27" s="30"/>
      <c r="AD27" s="30"/>
      <c r="AE27" s="29"/>
      <c r="AF27" s="29"/>
      <c r="AG27" s="29"/>
      <c r="AH27" s="29"/>
      <c r="AI27" s="29"/>
      <c r="AJ27" s="30"/>
      <c r="AK27" s="30"/>
      <c r="AL27" s="29"/>
      <c r="AM27" s="31">
        <f t="shared" si="5"/>
        <v>15.5</v>
      </c>
      <c r="AN27" s="51">
        <f t="shared" si="6"/>
        <v>186</v>
      </c>
    </row>
    <row r="28" ht="14.25" customHeight="1">
      <c r="A28" s="19"/>
      <c r="B28" s="20" t="s">
        <v>78</v>
      </c>
      <c r="C28" s="21"/>
      <c r="D28" s="77" t="s">
        <v>78</v>
      </c>
      <c r="E28" s="21"/>
      <c r="F28" s="38"/>
      <c r="G28" s="7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3"/>
      <c r="AN28" s="21"/>
      <c r="AO28" s="193" t="s">
        <v>189</v>
      </c>
      <c r="AP28" s="194" t="s">
        <v>190</v>
      </c>
      <c r="AQ28" s="148"/>
    </row>
    <row r="29" ht="14.25" customHeight="1">
      <c r="A29" s="34">
        <v>17.0</v>
      </c>
      <c r="B29" s="195" t="s">
        <v>81</v>
      </c>
      <c r="C29" s="195">
        <v>1.0</v>
      </c>
      <c r="D29" s="189" t="s">
        <v>82</v>
      </c>
      <c r="E29" s="27" t="s">
        <v>191</v>
      </c>
      <c r="F29" s="65">
        <v>24.0</v>
      </c>
      <c r="G29" s="66" t="s">
        <v>85</v>
      </c>
      <c r="H29" s="82"/>
      <c r="I29" s="82"/>
      <c r="J29" s="81"/>
      <c r="K29" s="81"/>
      <c r="L29" s="81"/>
      <c r="M29" s="81">
        <v>24.0</v>
      </c>
      <c r="N29" s="81"/>
      <c r="O29" s="82"/>
      <c r="P29" s="82">
        <v>24.0</v>
      </c>
      <c r="Q29" s="81"/>
      <c r="R29" s="81"/>
      <c r="S29" s="81">
        <v>24.0</v>
      </c>
      <c r="T29" s="81"/>
      <c r="U29" s="81"/>
      <c r="V29" s="82">
        <v>24.0</v>
      </c>
      <c r="W29" s="82"/>
      <c r="X29" s="81"/>
      <c r="Y29" s="81">
        <v>24.0</v>
      </c>
      <c r="Z29" s="81"/>
      <c r="AA29" s="81"/>
      <c r="AB29" s="81">
        <v>24.0</v>
      </c>
      <c r="AC29" s="82"/>
      <c r="AD29" s="82"/>
      <c r="AE29" s="81">
        <v>24.0</v>
      </c>
      <c r="AF29" s="81"/>
      <c r="AG29" s="81"/>
      <c r="AH29" s="81"/>
      <c r="AI29" s="81"/>
      <c r="AJ29" s="82"/>
      <c r="AK29" s="82"/>
      <c r="AL29" s="81"/>
      <c r="AM29" s="31">
        <f t="shared" ref="AM29:AM36" si="7">COUNT(H29:AL29)</f>
        <v>7</v>
      </c>
      <c r="AN29" s="51">
        <f t="shared" ref="AN29:AN35" si="8">SUM(H29:AK29)</f>
        <v>168</v>
      </c>
      <c r="AO29" s="196" t="s">
        <v>192</v>
      </c>
      <c r="AP29" s="194" t="s">
        <v>38</v>
      </c>
      <c r="AQ29" s="148"/>
    </row>
    <row r="30" ht="14.25" customHeight="1">
      <c r="A30" s="34">
        <v>6.0</v>
      </c>
      <c r="B30" s="17"/>
      <c r="C30" s="17"/>
      <c r="D30" s="17"/>
      <c r="E30" s="27" t="s">
        <v>178</v>
      </c>
      <c r="F30" s="27">
        <v>17.0</v>
      </c>
      <c r="G30" s="88"/>
      <c r="H30" s="30">
        <v>17.0</v>
      </c>
      <c r="I30" s="46">
        <v>17.0</v>
      </c>
      <c r="J30" s="44">
        <v>17.0</v>
      </c>
      <c r="K30" s="29"/>
      <c r="L30" s="29"/>
      <c r="M30" s="29"/>
      <c r="N30" s="29"/>
      <c r="O30" s="30"/>
      <c r="P30" s="30"/>
      <c r="Q30" s="29"/>
      <c r="R30" s="29"/>
      <c r="S30" s="29"/>
      <c r="T30" s="29"/>
      <c r="U30" s="29"/>
      <c r="V30" s="30"/>
      <c r="W30" s="30"/>
      <c r="X30" s="29"/>
      <c r="Y30" s="29"/>
      <c r="Z30" s="29"/>
      <c r="AA30" s="29"/>
      <c r="AB30" s="29"/>
      <c r="AC30" s="30"/>
      <c r="AD30" s="30"/>
      <c r="AE30" s="29"/>
      <c r="AF30" s="29"/>
      <c r="AG30" s="29"/>
      <c r="AH30" s="29">
        <v>17.0</v>
      </c>
      <c r="AI30" s="29">
        <v>17.0</v>
      </c>
      <c r="AJ30" s="30">
        <v>17.0</v>
      </c>
      <c r="AK30" s="30">
        <v>17.0</v>
      </c>
      <c r="AL30" s="29">
        <v>17.0</v>
      </c>
      <c r="AM30" s="31">
        <f t="shared" si="7"/>
        <v>8</v>
      </c>
      <c r="AN30" s="32">
        <f t="shared" si="8"/>
        <v>119</v>
      </c>
      <c r="AO30" s="197">
        <f>AM29+AM31+AM33+AM35</f>
        <v>30</v>
      </c>
      <c r="AP30" s="198">
        <f>AM30+AM32+AM34+AM36</f>
        <v>23</v>
      </c>
      <c r="AQ30" s="148"/>
    </row>
    <row r="31" ht="14.25" customHeight="1">
      <c r="A31" s="34">
        <v>18.0</v>
      </c>
      <c r="B31" s="195" t="s">
        <v>86</v>
      </c>
      <c r="C31" s="195">
        <v>1.0</v>
      </c>
      <c r="D31" s="189" t="s">
        <v>92</v>
      </c>
      <c r="E31" s="27" t="s">
        <v>193</v>
      </c>
      <c r="F31" s="65">
        <v>24.0</v>
      </c>
      <c r="G31" s="88"/>
      <c r="H31" s="82"/>
      <c r="I31" s="82"/>
      <c r="J31" s="81">
        <v>24.0</v>
      </c>
      <c r="K31" s="81"/>
      <c r="L31" s="81"/>
      <c r="M31" s="81"/>
      <c r="N31" s="81"/>
      <c r="O31" s="82"/>
      <c r="P31" s="82"/>
      <c r="Q31" s="91"/>
      <c r="R31" s="81"/>
      <c r="S31" s="81"/>
      <c r="T31" s="81">
        <v>24.0</v>
      </c>
      <c r="U31" s="81"/>
      <c r="V31" s="82"/>
      <c r="W31" s="82">
        <v>24.0</v>
      </c>
      <c r="X31" s="81"/>
      <c r="Y31" s="91"/>
      <c r="Z31" s="81">
        <v>24.0</v>
      </c>
      <c r="AA31" s="81"/>
      <c r="AB31" s="81"/>
      <c r="AC31" s="82">
        <v>24.0</v>
      </c>
      <c r="AD31" s="82"/>
      <c r="AE31" s="91"/>
      <c r="AF31" s="81">
        <v>24.0</v>
      </c>
      <c r="AG31" s="81"/>
      <c r="AH31" s="81"/>
      <c r="AI31" s="81">
        <v>24.0</v>
      </c>
      <c r="AJ31" s="82"/>
      <c r="AK31" s="82"/>
      <c r="AL31" s="81">
        <v>24.0</v>
      </c>
      <c r="AM31" s="31">
        <f t="shared" si="7"/>
        <v>8</v>
      </c>
      <c r="AN31" s="51">
        <f t="shared" si="8"/>
        <v>168</v>
      </c>
    </row>
    <row r="32" ht="14.25" customHeight="1">
      <c r="A32" s="34">
        <v>7.0</v>
      </c>
      <c r="B32" s="17"/>
      <c r="C32" s="17"/>
      <c r="D32" s="17"/>
      <c r="E32" s="27" t="s">
        <v>178</v>
      </c>
      <c r="F32" s="27">
        <v>17.0</v>
      </c>
      <c r="G32" s="88"/>
      <c r="H32" s="30"/>
      <c r="I32" s="46"/>
      <c r="J32" s="44"/>
      <c r="K32" s="29"/>
      <c r="L32" s="29"/>
      <c r="M32" s="29">
        <v>17.0</v>
      </c>
      <c r="N32" s="29">
        <v>17.0</v>
      </c>
      <c r="O32" s="30">
        <v>17.0</v>
      </c>
      <c r="P32" s="30">
        <v>17.0</v>
      </c>
      <c r="Q32" s="29">
        <v>17.0</v>
      </c>
      <c r="R32" s="29"/>
      <c r="S32" s="29"/>
      <c r="T32" s="29"/>
      <c r="U32" s="29"/>
      <c r="V32" s="30"/>
      <c r="W32" s="30"/>
      <c r="X32" s="29"/>
      <c r="Y32" s="29"/>
      <c r="Z32" s="29"/>
      <c r="AA32" s="29"/>
      <c r="AB32" s="29"/>
      <c r="AC32" s="30"/>
      <c r="AD32" s="30"/>
      <c r="AE32" s="29"/>
      <c r="AF32" s="29"/>
      <c r="AG32" s="29"/>
      <c r="AH32" s="29"/>
      <c r="AI32" s="29"/>
      <c r="AJ32" s="30"/>
      <c r="AK32" s="30"/>
      <c r="AL32" s="29"/>
      <c r="AM32" s="31">
        <f t="shared" si="7"/>
        <v>5</v>
      </c>
      <c r="AN32" s="32">
        <f t="shared" si="8"/>
        <v>85</v>
      </c>
    </row>
    <row r="33" ht="14.25" customHeight="1">
      <c r="A33" s="34">
        <v>19.0</v>
      </c>
      <c r="B33" s="195" t="s">
        <v>86</v>
      </c>
      <c r="C33" s="195">
        <v>1.0</v>
      </c>
      <c r="D33" s="189" t="s">
        <v>179</v>
      </c>
      <c r="E33" s="27" t="s">
        <v>193</v>
      </c>
      <c r="F33" s="65">
        <v>24.0</v>
      </c>
      <c r="G33" s="88"/>
      <c r="H33" s="82"/>
      <c r="I33" s="82">
        <v>24.0</v>
      </c>
      <c r="J33" s="81"/>
      <c r="K33" s="81"/>
      <c r="L33" s="81">
        <v>24.0</v>
      </c>
      <c r="M33" s="81"/>
      <c r="N33" s="81"/>
      <c r="O33" s="82">
        <v>24.0</v>
      </c>
      <c r="P33" s="82"/>
      <c r="Q33" s="81"/>
      <c r="R33" s="81">
        <v>24.0</v>
      </c>
      <c r="S33" s="81"/>
      <c r="T33" s="81"/>
      <c r="U33" s="29"/>
      <c r="V33" s="30"/>
      <c r="W33" s="30"/>
      <c r="X33" s="29"/>
      <c r="Y33" s="29"/>
      <c r="Z33" s="29"/>
      <c r="AA33" s="29">
        <v>24.0</v>
      </c>
      <c r="AB33" s="29"/>
      <c r="AC33" s="30"/>
      <c r="AD33" s="30">
        <v>24.0</v>
      </c>
      <c r="AE33" s="29"/>
      <c r="AF33" s="29"/>
      <c r="AG33" s="81">
        <v>24.0</v>
      </c>
      <c r="AH33" s="81"/>
      <c r="AI33" s="81"/>
      <c r="AJ33" s="82">
        <v>24.0</v>
      </c>
      <c r="AK33" s="82"/>
      <c r="AL33" s="81"/>
      <c r="AM33" s="31">
        <f t="shared" si="7"/>
        <v>8</v>
      </c>
      <c r="AN33" s="51">
        <f t="shared" si="8"/>
        <v>192</v>
      </c>
    </row>
    <row r="34" ht="14.25" customHeight="1">
      <c r="A34" s="34">
        <v>8.0</v>
      </c>
      <c r="B34" s="17"/>
      <c r="C34" s="17"/>
      <c r="D34" s="17"/>
      <c r="E34" s="27" t="s">
        <v>178</v>
      </c>
      <c r="F34" s="27">
        <v>17.0</v>
      </c>
      <c r="G34" s="88"/>
      <c r="H34" s="30"/>
      <c r="I34" s="46"/>
      <c r="J34" s="44"/>
      <c r="K34" s="29"/>
      <c r="L34" s="29"/>
      <c r="M34" s="29"/>
      <c r="N34" s="29"/>
      <c r="O34" s="30"/>
      <c r="P34" s="30"/>
      <c r="Q34" s="29"/>
      <c r="R34" s="29"/>
      <c r="S34" s="29"/>
      <c r="T34" s="29">
        <v>17.0</v>
      </c>
      <c r="U34" s="29">
        <v>17.0</v>
      </c>
      <c r="V34" s="30">
        <v>17.0</v>
      </c>
      <c r="W34" s="30">
        <v>17.0</v>
      </c>
      <c r="X34" s="29">
        <v>17.0</v>
      </c>
      <c r="Y34" s="29"/>
      <c r="Z34" s="29"/>
      <c r="AA34" s="29"/>
      <c r="AB34" s="29"/>
      <c r="AC34" s="30"/>
      <c r="AD34" s="30"/>
      <c r="AE34" s="29"/>
      <c r="AF34" s="29"/>
      <c r="AG34" s="29"/>
      <c r="AH34" s="29"/>
      <c r="AI34" s="29"/>
      <c r="AJ34" s="30"/>
      <c r="AK34" s="30"/>
      <c r="AL34" s="29"/>
      <c r="AM34" s="31">
        <f t="shared" si="7"/>
        <v>5</v>
      </c>
      <c r="AN34" s="32">
        <f t="shared" si="8"/>
        <v>85</v>
      </c>
    </row>
    <row r="35" ht="14.25" customHeight="1">
      <c r="A35" s="34">
        <v>20.0</v>
      </c>
      <c r="B35" s="195" t="s">
        <v>86</v>
      </c>
      <c r="C35" s="195">
        <v>1.0</v>
      </c>
      <c r="D35" s="189" t="s">
        <v>91</v>
      </c>
      <c r="E35" s="27" t="s">
        <v>193</v>
      </c>
      <c r="F35" s="65">
        <v>24.0</v>
      </c>
      <c r="G35" s="17"/>
      <c r="H35" s="82">
        <v>24.0</v>
      </c>
      <c r="I35" s="82"/>
      <c r="J35" s="81"/>
      <c r="K35" s="81">
        <v>24.0</v>
      </c>
      <c r="L35" s="81"/>
      <c r="M35" s="81"/>
      <c r="N35" s="81">
        <v>24.0</v>
      </c>
      <c r="O35" s="82"/>
      <c r="P35" s="82"/>
      <c r="Q35" s="81">
        <v>24.0</v>
      </c>
      <c r="R35" s="81"/>
      <c r="S35" s="81"/>
      <c r="T35" s="81"/>
      <c r="U35" s="29">
        <v>24.0</v>
      </c>
      <c r="V35" s="30"/>
      <c r="W35" s="30"/>
      <c r="X35" s="29"/>
      <c r="Y35" s="29"/>
      <c r="Z35" s="29"/>
      <c r="AA35" s="29"/>
      <c r="AB35" s="29"/>
      <c r="AC35" s="30"/>
      <c r="AD35" s="30"/>
      <c r="AE35" s="29"/>
      <c r="AF35" s="29"/>
      <c r="AG35" s="81"/>
      <c r="AH35" s="81">
        <v>24.0</v>
      </c>
      <c r="AI35" s="81"/>
      <c r="AJ35" s="82"/>
      <c r="AK35" s="82">
        <v>24.0</v>
      </c>
      <c r="AL35" s="81"/>
      <c r="AM35" s="31">
        <f t="shared" si="7"/>
        <v>7</v>
      </c>
      <c r="AN35" s="51">
        <f t="shared" si="8"/>
        <v>168</v>
      </c>
    </row>
    <row r="36" ht="14.25" customHeight="1">
      <c r="A36" s="34">
        <v>9.0</v>
      </c>
      <c r="B36" s="17"/>
      <c r="C36" s="17"/>
      <c r="D36" s="17"/>
      <c r="E36" s="27" t="s">
        <v>178</v>
      </c>
      <c r="F36" s="27">
        <v>17.0</v>
      </c>
      <c r="G36" s="28" t="s">
        <v>30</v>
      </c>
      <c r="H36" s="30"/>
      <c r="I36" s="46"/>
      <c r="J36" s="44"/>
      <c r="K36" s="29"/>
      <c r="L36" s="29"/>
      <c r="M36" s="29"/>
      <c r="N36" s="29"/>
      <c r="O36" s="30"/>
      <c r="P36" s="30"/>
      <c r="Q36" s="29"/>
      <c r="R36" s="29"/>
      <c r="S36" s="29"/>
      <c r="T36" s="29"/>
      <c r="U36" s="29"/>
      <c r="V36" s="30"/>
      <c r="W36" s="30"/>
      <c r="X36" s="29"/>
      <c r="Y36" s="29"/>
      <c r="Z36" s="29"/>
      <c r="AA36" s="29">
        <v>17.0</v>
      </c>
      <c r="AB36" s="29">
        <v>17.0</v>
      </c>
      <c r="AC36" s="30">
        <v>17.0</v>
      </c>
      <c r="AD36" s="30">
        <v>17.0</v>
      </c>
      <c r="AE36" s="29">
        <v>17.0</v>
      </c>
      <c r="AF36" s="29"/>
      <c r="AG36" s="29"/>
      <c r="AH36" s="29"/>
      <c r="AI36" s="29"/>
      <c r="AJ36" s="30"/>
      <c r="AK36" s="30"/>
      <c r="AL36" s="29"/>
      <c r="AM36" s="31">
        <f t="shared" si="7"/>
        <v>5</v>
      </c>
      <c r="AN36" s="32"/>
    </row>
    <row r="37" ht="14.25" customHeight="1">
      <c r="A37" s="34">
        <v>22.0</v>
      </c>
      <c r="B37" s="35" t="s">
        <v>95</v>
      </c>
      <c r="C37" s="65">
        <v>1.0</v>
      </c>
      <c r="D37" s="90" t="s">
        <v>97</v>
      </c>
      <c r="E37" s="27" t="s">
        <v>102</v>
      </c>
      <c r="F37" s="65"/>
      <c r="G37" s="66" t="s">
        <v>85</v>
      </c>
      <c r="H37" s="30"/>
      <c r="I37" s="30"/>
      <c r="J37" s="29"/>
      <c r="K37" s="29"/>
      <c r="L37" s="29"/>
      <c r="M37" s="29"/>
      <c r="N37" s="29"/>
      <c r="O37" s="30"/>
      <c r="P37" s="30"/>
      <c r="Q37" s="29"/>
      <c r="R37" s="29"/>
      <c r="S37" s="29"/>
      <c r="T37" s="29"/>
      <c r="U37" s="29"/>
      <c r="V37" s="30"/>
      <c r="W37" s="30"/>
      <c r="X37" s="29"/>
      <c r="Y37" s="29"/>
      <c r="Z37" s="29"/>
      <c r="AA37" s="29"/>
      <c r="AB37" s="29"/>
      <c r="AC37" s="30"/>
      <c r="AD37" s="30"/>
      <c r="AE37" s="29"/>
      <c r="AF37" s="29"/>
      <c r="AG37" s="29"/>
      <c r="AH37" s="29"/>
      <c r="AI37" s="29"/>
      <c r="AJ37" s="30"/>
      <c r="AK37" s="30"/>
      <c r="AL37" s="29"/>
      <c r="AM37" s="31">
        <f t="shared" ref="AM37:AM52" si="9">COUNT(H37:AK37)</f>
        <v>0</v>
      </c>
      <c r="AN37" s="51">
        <f t="shared" ref="AN37:AN52" si="10">SUM(H37:AK37)</f>
        <v>0</v>
      </c>
      <c r="AO37" s="33"/>
    </row>
    <row r="38" ht="14.25" customHeight="1">
      <c r="A38" s="34">
        <v>23.0</v>
      </c>
      <c r="B38" s="35" t="s">
        <v>95</v>
      </c>
      <c r="C38" s="65">
        <v>1.0</v>
      </c>
      <c r="D38" s="90"/>
      <c r="E38" s="27" t="s">
        <v>102</v>
      </c>
      <c r="F38" s="88"/>
      <c r="G38" s="88"/>
      <c r="H38" s="30"/>
      <c r="I38" s="30"/>
      <c r="J38" s="29"/>
      <c r="K38" s="29"/>
      <c r="L38" s="29"/>
      <c r="M38" s="29"/>
      <c r="N38" s="29"/>
      <c r="O38" s="30"/>
      <c r="P38" s="30"/>
      <c r="Q38" s="29"/>
      <c r="R38" s="29"/>
      <c r="S38" s="29"/>
      <c r="T38" s="29"/>
      <c r="U38" s="29"/>
      <c r="V38" s="30"/>
      <c r="W38" s="30"/>
      <c r="X38" s="29"/>
      <c r="Y38" s="29"/>
      <c r="Z38" s="29"/>
      <c r="AA38" s="29"/>
      <c r="AB38" s="29"/>
      <c r="AC38" s="30"/>
      <c r="AD38" s="30"/>
      <c r="AE38" s="29"/>
      <c r="AF38" s="29"/>
      <c r="AG38" s="29"/>
      <c r="AH38" s="29"/>
      <c r="AI38" s="29"/>
      <c r="AJ38" s="30"/>
      <c r="AK38" s="30"/>
      <c r="AL38" s="29"/>
      <c r="AM38" s="31">
        <f t="shared" si="9"/>
        <v>0</v>
      </c>
      <c r="AN38" s="51">
        <f t="shared" si="10"/>
        <v>0</v>
      </c>
    </row>
    <row r="39" ht="14.25" customHeight="1">
      <c r="A39" s="34">
        <v>24.0</v>
      </c>
      <c r="B39" s="97" t="s">
        <v>95</v>
      </c>
      <c r="C39" s="65">
        <v>1.0</v>
      </c>
      <c r="D39" s="90" t="s">
        <v>197</v>
      </c>
      <c r="E39" s="27" t="s">
        <v>102</v>
      </c>
      <c r="F39" s="88"/>
      <c r="G39" s="88"/>
      <c r="H39" s="30"/>
      <c r="I39" s="30"/>
      <c r="J39" s="29"/>
      <c r="K39" s="29"/>
      <c r="L39" s="29"/>
      <c r="M39" s="29"/>
      <c r="N39" s="29"/>
      <c r="O39" s="30"/>
      <c r="P39" s="30"/>
      <c r="Q39" s="29"/>
      <c r="R39" s="29"/>
      <c r="S39" s="29"/>
      <c r="T39" s="29"/>
      <c r="U39" s="29"/>
      <c r="V39" s="30"/>
      <c r="W39" s="30"/>
      <c r="X39" s="29"/>
      <c r="Y39" s="29"/>
      <c r="Z39" s="29"/>
      <c r="AA39" s="29"/>
      <c r="AB39" s="29"/>
      <c r="AC39" s="30"/>
      <c r="AD39" s="30"/>
      <c r="AE39" s="29"/>
      <c r="AF39" s="29"/>
      <c r="AG39" s="29"/>
      <c r="AH39" s="29"/>
      <c r="AI39" s="29"/>
      <c r="AJ39" s="30"/>
      <c r="AK39" s="30"/>
      <c r="AL39" s="29"/>
      <c r="AM39" s="31">
        <f t="shared" si="9"/>
        <v>0</v>
      </c>
      <c r="AN39" s="51">
        <f t="shared" si="10"/>
        <v>0</v>
      </c>
    </row>
    <row r="40" ht="14.25" customHeight="1">
      <c r="A40" s="34">
        <v>25.0</v>
      </c>
      <c r="B40" s="36" t="s">
        <v>95</v>
      </c>
      <c r="C40" s="65">
        <v>1.0</v>
      </c>
      <c r="D40" s="90" t="s">
        <v>199</v>
      </c>
      <c r="E40" s="27" t="s">
        <v>102</v>
      </c>
      <c r="F40" s="88"/>
      <c r="G40" s="88"/>
      <c r="H40" s="30"/>
      <c r="I40" s="30"/>
      <c r="J40" s="29"/>
      <c r="K40" s="29"/>
      <c r="L40" s="29"/>
      <c r="M40" s="29"/>
      <c r="N40" s="29"/>
      <c r="O40" s="30"/>
      <c r="P40" s="30"/>
      <c r="Q40" s="29"/>
      <c r="R40" s="29"/>
      <c r="S40" s="29"/>
      <c r="T40" s="29"/>
      <c r="U40" s="29"/>
      <c r="V40" s="30"/>
      <c r="W40" s="30"/>
      <c r="X40" s="29"/>
      <c r="Y40" s="29"/>
      <c r="Z40" s="29"/>
      <c r="AA40" s="29"/>
      <c r="AB40" s="29"/>
      <c r="AC40" s="30"/>
      <c r="AD40" s="30"/>
      <c r="AE40" s="29"/>
      <c r="AF40" s="29"/>
      <c r="AG40" s="29"/>
      <c r="AH40" s="29"/>
      <c r="AI40" s="29"/>
      <c r="AJ40" s="30"/>
      <c r="AK40" s="30"/>
      <c r="AL40" s="29"/>
      <c r="AM40" s="31">
        <f t="shared" si="9"/>
        <v>0</v>
      </c>
      <c r="AN40" s="51">
        <f t="shared" si="10"/>
        <v>0</v>
      </c>
      <c r="AO40" s="89"/>
      <c r="AP40" s="89"/>
      <c r="AQ40" s="89"/>
      <c r="AR40" s="89"/>
      <c r="AS40" s="89"/>
      <c r="AT40" s="89"/>
      <c r="AU40" s="89"/>
      <c r="AV40" s="89"/>
      <c r="AW40" s="89"/>
    </row>
    <row r="41" ht="14.25" customHeight="1">
      <c r="A41" s="34">
        <v>26.0</v>
      </c>
      <c r="B41" s="36" t="s">
        <v>95</v>
      </c>
      <c r="C41" s="65">
        <v>1.0</v>
      </c>
      <c r="D41" s="90" t="s">
        <v>100</v>
      </c>
      <c r="E41" s="27" t="s">
        <v>102</v>
      </c>
      <c r="F41" s="88"/>
      <c r="G41" s="88"/>
      <c r="H41" s="30"/>
      <c r="I41" s="30"/>
      <c r="J41" s="29"/>
      <c r="K41" s="29"/>
      <c r="L41" s="29"/>
      <c r="M41" s="29"/>
      <c r="N41" s="29"/>
      <c r="O41" s="30"/>
      <c r="P41" s="30"/>
      <c r="Q41" s="29"/>
      <c r="R41" s="29"/>
      <c r="S41" s="29"/>
      <c r="T41" s="29"/>
      <c r="U41" s="29"/>
      <c r="V41" s="30"/>
      <c r="W41" s="30"/>
      <c r="X41" s="29"/>
      <c r="Y41" s="29"/>
      <c r="Z41" s="29"/>
      <c r="AA41" s="29"/>
      <c r="AB41" s="29"/>
      <c r="AC41" s="30"/>
      <c r="AD41" s="30"/>
      <c r="AE41" s="29"/>
      <c r="AF41" s="29"/>
      <c r="AG41" s="29"/>
      <c r="AH41" s="29"/>
      <c r="AI41" s="29"/>
      <c r="AJ41" s="30"/>
      <c r="AK41" s="30"/>
      <c r="AL41" s="29"/>
      <c r="AM41" s="31">
        <f t="shared" si="9"/>
        <v>0</v>
      </c>
      <c r="AN41" s="51">
        <f t="shared" si="10"/>
        <v>0</v>
      </c>
      <c r="AO41" s="89"/>
      <c r="AP41" s="89"/>
      <c r="AQ41" s="89"/>
      <c r="AR41" s="89"/>
      <c r="AS41" s="89"/>
      <c r="AT41" s="89"/>
      <c r="AU41" s="89"/>
      <c r="AV41" s="89"/>
      <c r="AW41" s="89"/>
    </row>
    <row r="42" ht="14.25" customHeight="1">
      <c r="A42" s="34">
        <v>27.0</v>
      </c>
      <c r="B42" s="35" t="s">
        <v>95</v>
      </c>
      <c r="C42" s="65">
        <v>1.0</v>
      </c>
      <c r="D42" s="90" t="s">
        <v>114</v>
      </c>
      <c r="E42" s="27" t="s">
        <v>102</v>
      </c>
      <c r="F42" s="88"/>
      <c r="G42" s="17"/>
      <c r="H42" s="30"/>
      <c r="I42" s="30"/>
      <c r="J42" s="29"/>
      <c r="K42" s="29"/>
      <c r="L42" s="29"/>
      <c r="M42" s="29"/>
      <c r="N42" s="29"/>
      <c r="O42" s="30"/>
      <c r="P42" s="30"/>
      <c r="Q42" s="29"/>
      <c r="R42" s="29"/>
      <c r="S42" s="29"/>
      <c r="T42" s="29"/>
      <c r="U42" s="29"/>
      <c r="V42" s="105"/>
      <c r="W42" s="30"/>
      <c r="X42" s="29"/>
      <c r="Y42" s="29"/>
      <c r="Z42" s="29"/>
      <c r="AA42" s="29"/>
      <c r="AB42" s="29"/>
      <c r="AC42" s="30"/>
      <c r="AD42" s="30"/>
      <c r="AE42" s="29"/>
      <c r="AF42" s="29"/>
      <c r="AG42" s="29"/>
      <c r="AH42" s="29"/>
      <c r="AI42" s="29"/>
      <c r="AJ42" s="30"/>
      <c r="AK42" s="30"/>
      <c r="AL42" s="29"/>
      <c r="AM42" s="31">
        <f t="shared" si="9"/>
        <v>0</v>
      </c>
      <c r="AN42" s="51">
        <f t="shared" si="10"/>
        <v>0</v>
      </c>
    </row>
    <row r="43" ht="14.25" customHeight="1">
      <c r="A43" s="34">
        <v>28.0</v>
      </c>
      <c r="B43" s="64" t="s">
        <v>104</v>
      </c>
      <c r="C43" s="101">
        <v>1.0</v>
      </c>
      <c r="D43" s="102" t="s">
        <v>63</v>
      </c>
      <c r="E43" s="101" t="s">
        <v>105</v>
      </c>
      <c r="F43" s="88"/>
      <c r="G43" s="103">
        <v>0.4</v>
      </c>
      <c r="H43" s="105"/>
      <c r="I43" s="105"/>
      <c r="J43" s="104"/>
      <c r="K43" s="104"/>
      <c r="L43" s="104"/>
      <c r="M43" s="104"/>
      <c r="N43" s="104"/>
      <c r="O43" s="105"/>
      <c r="P43" s="105"/>
      <c r="Q43" s="104"/>
      <c r="R43" s="104"/>
      <c r="S43" s="104"/>
      <c r="T43" s="104"/>
      <c r="U43" s="29"/>
      <c r="V43" s="30"/>
      <c r="W43" s="105"/>
      <c r="X43" s="104"/>
      <c r="Y43" s="104"/>
      <c r="Z43" s="104"/>
      <c r="AA43" s="104"/>
      <c r="AB43" s="104"/>
      <c r="AC43" s="105"/>
      <c r="AD43" s="105"/>
      <c r="AE43" s="104"/>
      <c r="AF43" s="104"/>
      <c r="AG43" s="104"/>
      <c r="AH43" s="104"/>
      <c r="AI43" s="104"/>
      <c r="AJ43" s="105"/>
      <c r="AK43" s="105"/>
      <c r="AL43" s="104"/>
      <c r="AM43" s="31">
        <f t="shared" si="9"/>
        <v>0</v>
      </c>
      <c r="AN43" s="51">
        <f t="shared" si="10"/>
        <v>0</v>
      </c>
    </row>
    <row r="44" ht="14.25" customHeight="1">
      <c r="A44" s="34">
        <v>29.0</v>
      </c>
      <c r="B44" s="137" t="s">
        <v>184</v>
      </c>
      <c r="C44" s="129">
        <v>1.0</v>
      </c>
      <c r="D44" s="102" t="s">
        <v>63</v>
      </c>
      <c r="E44" s="121" t="s">
        <v>105</v>
      </c>
      <c r="F44" s="17"/>
      <c r="G44" s="103">
        <v>0.4</v>
      </c>
      <c r="H44" s="105"/>
      <c r="I44" s="105"/>
      <c r="J44" s="104"/>
      <c r="K44" s="104"/>
      <c r="L44" s="104"/>
      <c r="M44" s="104"/>
      <c r="N44" s="104"/>
      <c r="O44" s="105"/>
      <c r="P44" s="105"/>
      <c r="Q44" s="104"/>
      <c r="R44" s="104"/>
      <c r="S44" s="104"/>
      <c r="T44" s="104"/>
      <c r="U44" s="29"/>
      <c r="V44" s="105"/>
      <c r="W44" s="105"/>
      <c r="X44" s="104"/>
      <c r="Y44" s="104"/>
      <c r="Z44" s="104"/>
      <c r="AA44" s="104"/>
      <c r="AB44" s="104"/>
      <c r="AC44" s="105"/>
      <c r="AD44" s="105"/>
      <c r="AE44" s="104"/>
      <c r="AF44" s="104"/>
      <c r="AG44" s="104"/>
      <c r="AH44" s="104"/>
      <c r="AI44" s="104"/>
      <c r="AJ44" s="105"/>
      <c r="AK44" s="105"/>
      <c r="AL44" s="104"/>
      <c r="AM44" s="31">
        <f t="shared" si="9"/>
        <v>0</v>
      </c>
      <c r="AN44" s="51">
        <f t="shared" si="10"/>
        <v>0</v>
      </c>
    </row>
    <row r="45" ht="17.25" hidden="1" customHeight="1">
      <c r="A45" s="34">
        <v>30.0</v>
      </c>
      <c r="B45" s="36" t="s">
        <v>109</v>
      </c>
      <c r="C45" s="65">
        <v>1.0</v>
      </c>
      <c r="D45" s="117" t="s">
        <v>131</v>
      </c>
      <c r="E45" s="27" t="s">
        <v>111</v>
      </c>
      <c r="F45" s="65">
        <v>12.0</v>
      </c>
      <c r="G45" s="118" t="s">
        <v>26</v>
      </c>
      <c r="H45" s="30">
        <v>12.0</v>
      </c>
      <c r="I45" s="30">
        <v>12.0</v>
      </c>
      <c r="J45" s="29">
        <v>12.0</v>
      </c>
      <c r="K45" s="29">
        <v>12.0</v>
      </c>
      <c r="L45" s="29">
        <v>12.0</v>
      </c>
      <c r="M45" s="29">
        <v>12.0</v>
      </c>
      <c r="N45" s="29">
        <v>12.0</v>
      </c>
      <c r="O45" s="30">
        <v>12.0</v>
      </c>
      <c r="P45" s="30">
        <v>12.0</v>
      </c>
      <c r="Q45" s="29">
        <v>12.0</v>
      </c>
      <c r="R45" s="29">
        <v>18.0</v>
      </c>
      <c r="S45" s="29">
        <v>12.0</v>
      </c>
      <c r="T45" s="29">
        <v>12.0</v>
      </c>
      <c r="U45" s="29">
        <v>12.0</v>
      </c>
      <c r="V45" s="30">
        <v>12.0</v>
      </c>
      <c r="W45" s="30">
        <v>12.0</v>
      </c>
      <c r="X45" s="29">
        <v>12.0</v>
      </c>
      <c r="Y45" s="29"/>
      <c r="Z45" s="29"/>
      <c r="AA45" s="29"/>
      <c r="AB45" s="29"/>
      <c r="AC45" s="30"/>
      <c r="AD45" s="30"/>
      <c r="AE45" s="29"/>
      <c r="AF45" s="29"/>
      <c r="AG45" s="29"/>
      <c r="AH45" s="29"/>
      <c r="AI45" s="29"/>
      <c r="AJ45" s="30"/>
      <c r="AK45" s="30"/>
      <c r="AL45" s="29"/>
      <c r="AM45" s="31">
        <f t="shared" si="9"/>
        <v>17</v>
      </c>
      <c r="AN45" s="51">
        <f t="shared" si="10"/>
        <v>210</v>
      </c>
    </row>
    <row r="46" ht="17.25" hidden="1" customHeight="1">
      <c r="A46" s="34">
        <v>31.0</v>
      </c>
      <c r="B46" s="35" t="s">
        <v>135</v>
      </c>
      <c r="C46" s="65">
        <v>1.0</v>
      </c>
      <c r="D46" s="90" t="s">
        <v>113</v>
      </c>
      <c r="E46" s="27" t="s">
        <v>111</v>
      </c>
      <c r="F46" s="65">
        <v>12.0</v>
      </c>
      <c r="G46" s="118" t="s">
        <v>26</v>
      </c>
      <c r="H46" s="30">
        <v>12.0</v>
      </c>
      <c r="I46" s="30">
        <v>12.0</v>
      </c>
      <c r="J46" s="29">
        <v>12.0</v>
      </c>
      <c r="K46" s="29">
        <v>12.0</v>
      </c>
      <c r="L46" s="29">
        <v>12.0</v>
      </c>
      <c r="M46" s="29">
        <v>12.0</v>
      </c>
      <c r="N46" s="29"/>
      <c r="O46" s="30">
        <v>12.0</v>
      </c>
      <c r="P46" s="30">
        <v>12.0</v>
      </c>
      <c r="Q46" s="29">
        <v>12.0</v>
      </c>
      <c r="R46" s="29"/>
      <c r="S46" s="29">
        <v>12.0</v>
      </c>
      <c r="T46" s="29">
        <v>12.0</v>
      </c>
      <c r="U46" s="99"/>
      <c r="V46" s="30"/>
      <c r="W46" s="30">
        <v>12.0</v>
      </c>
      <c r="X46" s="29">
        <v>12.0</v>
      </c>
      <c r="Y46" s="29"/>
      <c r="Z46" s="29"/>
      <c r="AA46" s="29"/>
      <c r="AB46" s="29"/>
      <c r="AC46" s="30"/>
      <c r="AD46" s="30"/>
      <c r="AE46" s="29"/>
      <c r="AF46" s="29"/>
      <c r="AG46" s="29"/>
      <c r="AH46" s="29"/>
      <c r="AI46" s="29"/>
      <c r="AJ46" s="30"/>
      <c r="AK46" s="30"/>
      <c r="AL46" s="29"/>
      <c r="AM46" s="31">
        <f t="shared" si="9"/>
        <v>13</v>
      </c>
      <c r="AN46" s="51">
        <f t="shared" si="10"/>
        <v>156</v>
      </c>
    </row>
    <row r="47" ht="20.25" hidden="1" customHeight="1">
      <c r="A47" s="34">
        <v>32.0</v>
      </c>
      <c r="B47" s="35" t="s">
        <v>135</v>
      </c>
      <c r="C47" s="65">
        <v>1.0</v>
      </c>
      <c r="D47" s="90" t="s">
        <v>187</v>
      </c>
      <c r="E47" s="27" t="s">
        <v>73</v>
      </c>
      <c r="F47" s="27">
        <v>12.0</v>
      </c>
      <c r="G47" s="123" t="s">
        <v>26</v>
      </c>
      <c r="H47" s="30">
        <v>12.0</v>
      </c>
      <c r="I47" s="30">
        <v>12.0</v>
      </c>
      <c r="J47" s="29">
        <v>12.0</v>
      </c>
      <c r="K47" s="29">
        <v>12.0</v>
      </c>
      <c r="L47" s="29">
        <v>12.0</v>
      </c>
      <c r="M47" s="29">
        <v>12.0</v>
      </c>
      <c r="N47" s="29"/>
      <c r="O47" s="30">
        <v>12.0</v>
      </c>
      <c r="P47" s="30">
        <v>12.0</v>
      </c>
      <c r="Q47" s="29">
        <v>12.0</v>
      </c>
      <c r="R47" s="29"/>
      <c r="S47" s="29">
        <v>12.0</v>
      </c>
      <c r="T47" s="29">
        <v>12.0</v>
      </c>
      <c r="U47" s="29">
        <v>12.0</v>
      </c>
      <c r="V47" s="30"/>
      <c r="W47" s="30">
        <v>12.0</v>
      </c>
      <c r="X47" s="29">
        <v>12.0</v>
      </c>
      <c r="Y47" s="29"/>
      <c r="Z47" s="29"/>
      <c r="AA47" s="29"/>
      <c r="AB47" s="29"/>
      <c r="AC47" s="30"/>
      <c r="AD47" s="30"/>
      <c r="AE47" s="29"/>
      <c r="AF47" s="29"/>
      <c r="AG47" s="29"/>
      <c r="AH47" s="29"/>
      <c r="AI47" s="29"/>
      <c r="AJ47" s="30"/>
      <c r="AK47" s="30"/>
      <c r="AL47" s="29"/>
      <c r="AM47" s="31">
        <f t="shared" si="9"/>
        <v>14</v>
      </c>
      <c r="AN47" s="51">
        <f t="shared" si="10"/>
        <v>168</v>
      </c>
      <c r="AO47" s="89"/>
      <c r="AP47" s="89"/>
      <c r="AQ47" s="89"/>
      <c r="AR47" s="89"/>
      <c r="AS47" s="89"/>
      <c r="AT47" s="89"/>
      <c r="AU47" s="89"/>
      <c r="AV47" s="89"/>
      <c r="AW47" s="89"/>
    </row>
    <row r="48" ht="23.25" hidden="1" customHeight="1">
      <c r="A48" s="124">
        <v>33.0</v>
      </c>
      <c r="B48" s="128" t="s">
        <v>142</v>
      </c>
      <c r="C48" s="129">
        <v>1.0</v>
      </c>
      <c r="D48" s="130" t="s">
        <v>201</v>
      </c>
      <c r="E48" s="129" t="s">
        <v>125</v>
      </c>
      <c r="F48" s="121">
        <v>12.0</v>
      </c>
      <c r="G48" s="131"/>
      <c r="H48" s="30"/>
      <c r="I48" s="30">
        <v>12.0</v>
      </c>
      <c r="J48" s="29">
        <v>12.0</v>
      </c>
      <c r="K48" s="29">
        <v>12.0</v>
      </c>
      <c r="L48" s="72">
        <v>12.0</v>
      </c>
      <c r="M48" s="72">
        <v>12.0</v>
      </c>
      <c r="N48" s="72">
        <v>24.0</v>
      </c>
      <c r="O48" s="30">
        <v>12.0</v>
      </c>
      <c r="P48" s="30">
        <v>12.0</v>
      </c>
      <c r="Q48" s="29">
        <v>12.0</v>
      </c>
      <c r="R48" s="29">
        <v>12.0</v>
      </c>
      <c r="S48" s="29">
        <v>12.0</v>
      </c>
      <c r="T48" s="29"/>
      <c r="U48" s="29"/>
      <c r="V48" s="30"/>
      <c r="W48" s="30"/>
      <c r="X48" s="29"/>
      <c r="Y48" s="29"/>
      <c r="Z48" s="29"/>
      <c r="AA48" s="29"/>
      <c r="AB48" s="29"/>
      <c r="AC48" s="30"/>
      <c r="AD48" s="30"/>
      <c r="AE48" s="29"/>
      <c r="AF48" s="29"/>
      <c r="AG48" s="29"/>
      <c r="AH48" s="29"/>
      <c r="AI48" s="29"/>
      <c r="AJ48" s="30"/>
      <c r="AK48" s="30"/>
      <c r="AL48" s="29"/>
      <c r="AM48" s="31">
        <f t="shared" si="9"/>
        <v>11</v>
      </c>
      <c r="AN48" s="51">
        <f t="shared" si="10"/>
        <v>144</v>
      </c>
      <c r="AP48" s="89"/>
      <c r="AQ48" s="89"/>
      <c r="AR48" s="89"/>
      <c r="AS48" s="89"/>
      <c r="AT48" s="89"/>
      <c r="AU48" s="89"/>
      <c r="AV48" s="89"/>
      <c r="AW48" s="89"/>
    </row>
    <row r="49" ht="19.5" hidden="1" customHeight="1">
      <c r="A49" s="17"/>
      <c r="B49" s="17"/>
      <c r="C49" s="17"/>
      <c r="D49" s="17"/>
      <c r="E49" s="121" t="s">
        <v>127</v>
      </c>
      <c r="F49" s="121">
        <v>12.0</v>
      </c>
      <c r="G49" s="131"/>
      <c r="H49" s="30"/>
      <c r="I49" s="30"/>
      <c r="J49" s="29"/>
      <c r="K49" s="29"/>
      <c r="L49" s="29"/>
      <c r="M49" s="29"/>
      <c r="N49" s="29"/>
      <c r="O49" s="30"/>
      <c r="P49" s="30"/>
      <c r="Q49" s="29"/>
      <c r="R49" s="29"/>
      <c r="S49" s="29"/>
      <c r="T49" s="29"/>
      <c r="U49" s="29"/>
      <c r="V49" s="30"/>
      <c r="W49" s="30"/>
      <c r="X49" s="29"/>
      <c r="Y49" s="29"/>
      <c r="Z49" s="29"/>
      <c r="AA49" s="29"/>
      <c r="AB49" s="29"/>
      <c r="AC49" s="30"/>
      <c r="AD49" s="30"/>
      <c r="AE49" s="29"/>
      <c r="AF49" s="29"/>
      <c r="AG49" s="29"/>
      <c r="AH49" s="29"/>
      <c r="AI49" s="29"/>
      <c r="AJ49" s="30"/>
      <c r="AK49" s="30"/>
      <c r="AL49" s="29"/>
      <c r="AM49" s="31">
        <f t="shared" si="9"/>
        <v>0</v>
      </c>
      <c r="AN49" s="51">
        <f t="shared" si="10"/>
        <v>0</v>
      </c>
      <c r="AP49" s="89"/>
      <c r="AQ49" s="89"/>
      <c r="AR49" s="89"/>
      <c r="AS49" s="89"/>
      <c r="AT49" s="89"/>
      <c r="AU49" s="89"/>
      <c r="AV49" s="89"/>
      <c r="AW49" s="89"/>
    </row>
    <row r="50" ht="19.5" hidden="1" customHeight="1">
      <c r="A50" s="34">
        <v>34.0</v>
      </c>
      <c r="B50" s="35" t="s">
        <v>144</v>
      </c>
      <c r="C50" s="135">
        <v>1.0</v>
      </c>
      <c r="D50" s="35" t="s">
        <v>132</v>
      </c>
      <c r="E50" s="121"/>
      <c r="F50" s="204">
        <v>12.0</v>
      </c>
      <c r="G50" s="205"/>
      <c r="H50" s="30"/>
      <c r="I50" s="30"/>
      <c r="J50" s="29"/>
      <c r="K50" s="29"/>
      <c r="L50" s="29"/>
      <c r="M50" s="29"/>
      <c r="N50" s="29"/>
      <c r="O50" s="30"/>
      <c r="P50" s="30"/>
      <c r="Q50" s="29"/>
      <c r="R50" s="29"/>
      <c r="S50" s="29"/>
      <c r="T50" s="29"/>
      <c r="U50" s="29"/>
      <c r="V50" s="30">
        <v>12.0</v>
      </c>
      <c r="W50" s="30">
        <v>12.0</v>
      </c>
      <c r="X50" s="29">
        <v>12.0</v>
      </c>
      <c r="Y50" s="29"/>
      <c r="Z50" s="29"/>
      <c r="AA50" s="29"/>
      <c r="AB50" s="29"/>
      <c r="AC50" s="30"/>
      <c r="AD50" s="30"/>
      <c r="AE50" s="29"/>
      <c r="AF50" s="29"/>
      <c r="AG50" s="29"/>
      <c r="AH50" s="29"/>
      <c r="AI50" s="29"/>
      <c r="AJ50" s="30"/>
      <c r="AK50" s="30"/>
      <c r="AL50" s="29"/>
      <c r="AM50" s="31">
        <f t="shared" si="9"/>
        <v>3</v>
      </c>
      <c r="AN50" s="51">
        <f t="shared" si="10"/>
        <v>36</v>
      </c>
      <c r="AP50" s="89"/>
      <c r="AQ50" s="89"/>
      <c r="AR50" s="89"/>
      <c r="AS50" s="89"/>
      <c r="AT50" s="89"/>
      <c r="AU50" s="89"/>
      <c r="AV50" s="89"/>
      <c r="AW50" s="89"/>
    </row>
    <row r="51" ht="18.75" hidden="1" customHeight="1">
      <c r="A51" s="34">
        <v>35.0</v>
      </c>
      <c r="B51" s="35" t="s">
        <v>144</v>
      </c>
      <c r="C51" s="27">
        <v>1.0</v>
      </c>
      <c r="D51" s="35" t="s">
        <v>132</v>
      </c>
      <c r="E51" s="27" t="s">
        <v>133</v>
      </c>
      <c r="F51" s="27">
        <v>12.0</v>
      </c>
      <c r="G51" s="123" t="s">
        <v>26</v>
      </c>
      <c r="H51" s="30"/>
      <c r="I51" s="30"/>
      <c r="J51" s="29"/>
      <c r="K51" s="29"/>
      <c r="L51" s="29"/>
      <c r="M51" s="29"/>
      <c r="N51" s="29"/>
      <c r="O51" s="30"/>
      <c r="P51" s="30"/>
      <c r="Q51" s="29"/>
      <c r="R51" s="29"/>
      <c r="S51" s="29">
        <v>12.0</v>
      </c>
      <c r="T51" s="29">
        <v>12.0</v>
      </c>
      <c r="U51" s="29">
        <v>12.0</v>
      </c>
      <c r="V51" s="30"/>
      <c r="W51" s="30"/>
      <c r="X51" s="29">
        <v>12.0</v>
      </c>
      <c r="Y51" s="29"/>
      <c r="Z51" s="29"/>
      <c r="AA51" s="29"/>
      <c r="AB51" s="29"/>
      <c r="AC51" s="30"/>
      <c r="AD51" s="30"/>
      <c r="AE51" s="29"/>
      <c r="AF51" s="29"/>
      <c r="AG51" s="29"/>
      <c r="AH51" s="29"/>
      <c r="AI51" s="29"/>
      <c r="AJ51" s="30"/>
      <c r="AK51" s="30"/>
      <c r="AL51" s="29"/>
      <c r="AM51" s="31">
        <f t="shared" si="9"/>
        <v>4</v>
      </c>
      <c r="AN51" s="51">
        <f t="shared" si="10"/>
        <v>48</v>
      </c>
    </row>
    <row r="52" ht="19.5" hidden="1" customHeight="1">
      <c r="A52" s="34">
        <v>36.0</v>
      </c>
      <c r="B52" s="35" t="s">
        <v>136</v>
      </c>
      <c r="C52" s="27">
        <v>1.0</v>
      </c>
      <c r="D52" s="117" t="s">
        <v>137</v>
      </c>
      <c r="E52" s="26" t="s">
        <v>138</v>
      </c>
      <c r="F52" s="26">
        <v>11.0</v>
      </c>
      <c r="G52" s="28" t="s">
        <v>26</v>
      </c>
      <c r="H52" s="29"/>
      <c r="I52" s="29">
        <v>11.0</v>
      </c>
      <c r="J52" s="29">
        <v>11.0</v>
      </c>
      <c r="K52" s="29">
        <v>11.0</v>
      </c>
      <c r="L52" s="29">
        <v>11.0</v>
      </c>
      <c r="M52" s="29">
        <v>11.0</v>
      </c>
      <c r="N52" s="29">
        <v>11.0</v>
      </c>
      <c r="O52" s="30"/>
      <c r="P52" s="30">
        <v>11.0</v>
      </c>
      <c r="Q52" s="29">
        <v>11.0</v>
      </c>
      <c r="R52" s="29">
        <v>11.0</v>
      </c>
      <c r="S52" s="99"/>
      <c r="T52" s="99"/>
      <c r="U52" s="99"/>
      <c r="V52" s="30"/>
      <c r="W52" s="30">
        <v>11.0</v>
      </c>
      <c r="X52" s="29">
        <v>11.0</v>
      </c>
      <c r="Y52" s="29"/>
      <c r="Z52" s="29"/>
      <c r="AA52" s="29"/>
      <c r="AB52" s="29"/>
      <c r="AC52" s="30"/>
      <c r="AD52" s="30"/>
      <c r="AE52" s="29"/>
      <c r="AF52" s="29"/>
      <c r="AG52" s="29"/>
      <c r="AH52" s="29"/>
      <c r="AI52" s="29"/>
      <c r="AJ52" s="30"/>
      <c r="AK52" s="30"/>
      <c r="AL52" s="29"/>
      <c r="AM52" s="31">
        <f t="shared" si="9"/>
        <v>11</v>
      </c>
      <c r="AN52" s="51">
        <f t="shared" si="10"/>
        <v>121</v>
      </c>
    </row>
    <row r="53" ht="14.25" customHeight="1">
      <c r="A53" s="21"/>
      <c r="B53" s="20" t="s">
        <v>140</v>
      </c>
      <c r="C53" s="21"/>
      <c r="D53" s="20" t="s">
        <v>140</v>
      </c>
      <c r="E53" s="21"/>
      <c r="F53" s="21"/>
      <c r="G53" s="21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3"/>
      <c r="AN53" s="45"/>
    </row>
    <row r="54" ht="14.25" customHeight="1">
      <c r="A54" s="34">
        <v>37.0</v>
      </c>
      <c r="B54" s="35" t="s">
        <v>140</v>
      </c>
      <c r="C54" s="27">
        <v>1.0</v>
      </c>
      <c r="D54" s="117" t="s">
        <v>153</v>
      </c>
      <c r="E54" s="139" t="s">
        <v>51</v>
      </c>
      <c r="F54" s="139">
        <v>24.0</v>
      </c>
      <c r="G54" s="28" t="s">
        <v>85</v>
      </c>
      <c r="H54" s="30"/>
      <c r="I54" s="30"/>
      <c r="J54" s="29"/>
      <c r="K54" s="29"/>
      <c r="L54" s="29"/>
      <c r="M54" s="29"/>
      <c r="N54" s="29"/>
      <c r="O54" s="30"/>
      <c r="P54" s="30"/>
      <c r="Q54" s="29"/>
      <c r="R54" s="29"/>
      <c r="S54" s="29"/>
      <c r="T54" s="29"/>
      <c r="U54" s="29"/>
      <c r="V54" s="30"/>
      <c r="W54" s="30"/>
      <c r="X54" s="29"/>
      <c r="Y54" s="29"/>
      <c r="Z54" s="29"/>
      <c r="AA54" s="29"/>
      <c r="AB54" s="29"/>
      <c r="AC54" s="30"/>
      <c r="AD54" s="30"/>
      <c r="AE54" s="29"/>
      <c r="AF54" s="29"/>
      <c r="AG54" s="29"/>
      <c r="AH54" s="29"/>
      <c r="AI54" s="29"/>
      <c r="AJ54" s="30"/>
      <c r="AK54" s="30"/>
      <c r="AL54" s="29"/>
      <c r="AM54" s="31">
        <f t="shared" ref="AM54:AM56" si="11">COUNTA(H54:AK54)</f>
        <v>0</v>
      </c>
      <c r="AN54" s="51">
        <f t="shared" ref="AN54:AN56" si="12">SUM(H54:AK54)</f>
        <v>0</v>
      </c>
    </row>
    <row r="55" ht="14.25" customHeight="1">
      <c r="A55" s="24">
        <v>38.0</v>
      </c>
      <c r="B55" s="35" t="s">
        <v>140</v>
      </c>
      <c r="C55" s="27">
        <v>1.0</v>
      </c>
      <c r="D55" s="117" t="s">
        <v>137</v>
      </c>
      <c r="E55" s="139" t="s">
        <v>51</v>
      </c>
      <c r="F55" s="139">
        <v>24.0</v>
      </c>
      <c r="G55" s="28" t="s">
        <v>85</v>
      </c>
      <c r="H55" s="30"/>
      <c r="I55" s="30"/>
      <c r="J55" s="29"/>
      <c r="K55" s="29"/>
      <c r="L55" s="29"/>
      <c r="M55" s="29"/>
      <c r="N55" s="29"/>
      <c r="O55" s="30"/>
      <c r="P55" s="30"/>
      <c r="Q55" s="29"/>
      <c r="R55" s="29"/>
      <c r="S55" s="29"/>
      <c r="T55" s="29"/>
      <c r="U55" s="29"/>
      <c r="V55" s="30"/>
      <c r="W55" s="30"/>
      <c r="X55" s="29"/>
      <c r="Y55" s="29"/>
      <c r="Z55" s="29"/>
      <c r="AA55" s="29"/>
      <c r="AB55" s="29"/>
      <c r="AC55" s="30"/>
      <c r="AD55" s="30"/>
      <c r="AE55" s="29"/>
      <c r="AF55" s="29"/>
      <c r="AG55" s="29"/>
      <c r="AH55" s="29"/>
      <c r="AI55" s="29"/>
      <c r="AJ55" s="30"/>
      <c r="AK55" s="30"/>
      <c r="AL55" s="29"/>
      <c r="AM55" s="31">
        <f t="shared" si="11"/>
        <v>0</v>
      </c>
      <c r="AN55" s="51">
        <f t="shared" si="12"/>
        <v>0</v>
      </c>
    </row>
    <row r="56" ht="14.25" customHeight="1">
      <c r="A56" s="24">
        <v>39.0</v>
      </c>
      <c r="B56" s="35" t="s">
        <v>140</v>
      </c>
      <c r="C56" s="27">
        <v>1.0</v>
      </c>
      <c r="D56" s="117" t="s">
        <v>150</v>
      </c>
      <c r="E56" s="139" t="s">
        <v>51</v>
      </c>
      <c r="F56" s="139">
        <v>24.0</v>
      </c>
      <c r="G56" s="28" t="s">
        <v>85</v>
      </c>
      <c r="H56" s="30"/>
      <c r="I56" s="30"/>
      <c r="J56" s="29"/>
      <c r="K56" s="29"/>
      <c r="L56" s="29"/>
      <c r="M56" s="29"/>
      <c r="N56" s="29"/>
      <c r="O56" s="30"/>
      <c r="P56" s="30"/>
      <c r="Q56" s="29"/>
      <c r="R56" s="29"/>
      <c r="S56" s="29"/>
      <c r="T56" s="29"/>
      <c r="U56" s="29"/>
      <c r="V56" s="30"/>
      <c r="W56" s="30"/>
      <c r="X56" s="29"/>
      <c r="Y56" s="29"/>
      <c r="Z56" s="29"/>
      <c r="AA56" s="29"/>
      <c r="AB56" s="29"/>
      <c r="AC56" s="30"/>
      <c r="AD56" s="30"/>
      <c r="AE56" s="29"/>
      <c r="AF56" s="29"/>
      <c r="AG56" s="29"/>
      <c r="AH56" s="29"/>
      <c r="AI56" s="29"/>
      <c r="AJ56" s="30"/>
      <c r="AK56" s="30"/>
      <c r="AL56" s="29"/>
      <c r="AM56" s="31">
        <f t="shared" si="11"/>
        <v>0</v>
      </c>
      <c r="AN56" s="51">
        <f t="shared" si="12"/>
        <v>0</v>
      </c>
    </row>
    <row r="57" ht="14.25" customHeight="1">
      <c r="A57" s="142"/>
      <c r="B57" s="143" t="s">
        <v>151</v>
      </c>
      <c r="C57" s="144">
        <v>33.0</v>
      </c>
      <c r="D57" s="143" t="s">
        <v>152</v>
      </c>
      <c r="E57" s="144"/>
      <c r="F57" s="144"/>
      <c r="G57" s="144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40"/>
      <c r="AN57" s="45"/>
    </row>
    <row r="58" ht="14.25" customHeight="1">
      <c r="A58" s="142"/>
      <c r="B58" s="146" t="s">
        <v>154</v>
      </c>
      <c r="C58" s="147"/>
      <c r="D58" s="147"/>
      <c r="E58" s="147"/>
      <c r="F58" s="147"/>
      <c r="G58" s="148"/>
      <c r="H58" s="145" t="s">
        <v>155</v>
      </c>
      <c r="I58" s="145" t="s">
        <v>155</v>
      </c>
      <c r="J58" s="145" t="s">
        <v>155</v>
      </c>
      <c r="K58" s="145" t="s">
        <v>155</v>
      </c>
      <c r="L58" s="145" t="s">
        <v>155</v>
      </c>
      <c r="M58" s="145" t="s">
        <v>155</v>
      </c>
      <c r="N58" s="145" t="s">
        <v>155</v>
      </c>
      <c r="O58" s="145" t="s">
        <v>155</v>
      </c>
      <c r="P58" s="145" t="s">
        <v>155</v>
      </c>
      <c r="Q58" s="145" t="s">
        <v>155</v>
      </c>
      <c r="R58" s="145" t="s">
        <v>155</v>
      </c>
      <c r="S58" s="145" t="s">
        <v>155</v>
      </c>
      <c r="T58" s="145" t="s">
        <v>155</v>
      </c>
      <c r="U58" s="145" t="s">
        <v>155</v>
      </c>
      <c r="V58" s="145" t="s">
        <v>155</v>
      </c>
      <c r="W58" s="145" t="s">
        <v>155</v>
      </c>
      <c r="X58" s="145" t="s">
        <v>155</v>
      </c>
      <c r="Y58" s="145" t="s">
        <v>155</v>
      </c>
      <c r="Z58" s="145" t="s">
        <v>155</v>
      </c>
      <c r="AA58" s="145" t="s">
        <v>155</v>
      </c>
      <c r="AB58" s="145" t="s">
        <v>155</v>
      </c>
      <c r="AC58" s="145"/>
      <c r="AD58" s="145"/>
      <c r="AE58" s="145" t="s">
        <v>155</v>
      </c>
      <c r="AF58" s="145" t="s">
        <v>155</v>
      </c>
      <c r="AG58" s="145" t="s">
        <v>155</v>
      </c>
      <c r="AH58" s="145" t="s">
        <v>155</v>
      </c>
      <c r="AI58" s="145"/>
      <c r="AJ58" s="145"/>
      <c r="AK58" s="145"/>
      <c r="AL58" s="145"/>
      <c r="AM58" s="40"/>
      <c r="AN58" s="45"/>
    </row>
    <row r="59" ht="14.25" customHeight="1">
      <c r="A59" s="142"/>
      <c r="B59" s="146" t="s">
        <v>156</v>
      </c>
      <c r="C59" s="147"/>
      <c r="D59" s="147"/>
      <c r="E59" s="147"/>
      <c r="F59" s="147"/>
      <c r="G59" s="148"/>
      <c r="H59" s="145">
        <f t="shared" ref="H59:AB59" si="13">COUNTA(#REF!,#REF!,#REF!,#REF!,#REF!)</f>
        <v>5</v>
      </c>
      <c r="I59" s="145">
        <f t="shared" si="13"/>
        <v>5</v>
      </c>
      <c r="J59" s="145">
        <f t="shared" si="13"/>
        <v>5</v>
      </c>
      <c r="K59" s="145">
        <f t="shared" si="13"/>
        <v>5</v>
      </c>
      <c r="L59" s="145">
        <f t="shared" si="13"/>
        <v>5</v>
      </c>
      <c r="M59" s="145">
        <f t="shared" si="13"/>
        <v>5</v>
      </c>
      <c r="N59" s="145">
        <f t="shared" si="13"/>
        <v>5</v>
      </c>
      <c r="O59" s="145">
        <f t="shared" si="13"/>
        <v>5</v>
      </c>
      <c r="P59" s="145">
        <f t="shared" si="13"/>
        <v>5</v>
      </c>
      <c r="Q59" s="145">
        <f t="shared" si="13"/>
        <v>5</v>
      </c>
      <c r="R59" s="145">
        <f t="shared" si="13"/>
        <v>5</v>
      </c>
      <c r="S59" s="145">
        <f t="shared" si="13"/>
        <v>5</v>
      </c>
      <c r="T59" s="145">
        <f t="shared" si="13"/>
        <v>5</v>
      </c>
      <c r="U59" s="145">
        <f t="shared" si="13"/>
        <v>5</v>
      </c>
      <c r="V59" s="145">
        <f t="shared" si="13"/>
        <v>5</v>
      </c>
      <c r="W59" s="145">
        <f t="shared" si="13"/>
        <v>5</v>
      </c>
      <c r="X59" s="145">
        <f t="shared" si="13"/>
        <v>5</v>
      </c>
      <c r="Y59" s="145">
        <f t="shared" si="13"/>
        <v>5</v>
      </c>
      <c r="Z59" s="145">
        <f t="shared" si="13"/>
        <v>5</v>
      </c>
      <c r="AA59" s="145">
        <f t="shared" si="13"/>
        <v>5</v>
      </c>
      <c r="AB59" s="145">
        <f t="shared" si="13"/>
        <v>5</v>
      </c>
      <c r="AC59" s="145"/>
      <c r="AD59" s="145"/>
      <c r="AE59" s="145">
        <f t="shared" ref="AE59:AH59" si="14">COUNTA(#REF!,#REF!,#REF!,#REF!,#REF!)</f>
        <v>5</v>
      </c>
      <c r="AF59" s="145">
        <f t="shared" si="14"/>
        <v>5</v>
      </c>
      <c r="AG59" s="145">
        <f t="shared" si="14"/>
        <v>5</v>
      </c>
      <c r="AH59" s="145">
        <f t="shared" si="14"/>
        <v>5</v>
      </c>
      <c r="AI59" s="145"/>
      <c r="AJ59" s="145"/>
      <c r="AK59" s="145"/>
      <c r="AL59" s="145"/>
      <c r="AM59" s="40"/>
      <c r="AN59" s="45"/>
    </row>
    <row r="60" ht="14.25" customHeight="1">
      <c r="A60" s="142"/>
      <c r="B60" s="146" t="s">
        <v>157</v>
      </c>
      <c r="C60" s="147"/>
      <c r="D60" s="147"/>
      <c r="E60" s="147"/>
      <c r="F60" s="147"/>
      <c r="G60" s="148"/>
      <c r="H60" s="145">
        <f t="shared" ref="H60:AB60" si="15">COUNTA(#REF!,#REF!)</f>
        <v>2</v>
      </c>
      <c r="I60" s="145">
        <f t="shared" si="15"/>
        <v>2</v>
      </c>
      <c r="J60" s="145">
        <f t="shared" si="15"/>
        <v>2</v>
      </c>
      <c r="K60" s="145">
        <f t="shared" si="15"/>
        <v>2</v>
      </c>
      <c r="L60" s="145">
        <f t="shared" si="15"/>
        <v>2</v>
      </c>
      <c r="M60" s="145">
        <f t="shared" si="15"/>
        <v>2</v>
      </c>
      <c r="N60" s="145">
        <f t="shared" si="15"/>
        <v>2</v>
      </c>
      <c r="O60" s="145">
        <f t="shared" si="15"/>
        <v>2</v>
      </c>
      <c r="P60" s="145">
        <f t="shared" si="15"/>
        <v>2</v>
      </c>
      <c r="Q60" s="145">
        <f t="shared" si="15"/>
        <v>2</v>
      </c>
      <c r="R60" s="145">
        <f t="shared" si="15"/>
        <v>2</v>
      </c>
      <c r="S60" s="145">
        <f t="shared" si="15"/>
        <v>2</v>
      </c>
      <c r="T60" s="145">
        <f t="shared" si="15"/>
        <v>2</v>
      </c>
      <c r="U60" s="145">
        <f t="shared" si="15"/>
        <v>2</v>
      </c>
      <c r="V60" s="145">
        <f t="shared" si="15"/>
        <v>2</v>
      </c>
      <c r="W60" s="145">
        <f t="shared" si="15"/>
        <v>2</v>
      </c>
      <c r="X60" s="145">
        <f t="shared" si="15"/>
        <v>2</v>
      </c>
      <c r="Y60" s="145">
        <f t="shared" si="15"/>
        <v>2</v>
      </c>
      <c r="Z60" s="145">
        <f t="shared" si="15"/>
        <v>2</v>
      </c>
      <c r="AA60" s="145">
        <f t="shared" si="15"/>
        <v>2</v>
      </c>
      <c r="AB60" s="145">
        <f t="shared" si="15"/>
        <v>2</v>
      </c>
      <c r="AC60" s="145"/>
      <c r="AD60" s="145"/>
      <c r="AE60" s="145">
        <f t="shared" ref="AE60:AH60" si="16">COUNTA(#REF!,#REF!)</f>
        <v>2</v>
      </c>
      <c r="AF60" s="145">
        <f t="shared" si="16"/>
        <v>2</v>
      </c>
      <c r="AG60" s="145">
        <f t="shared" si="16"/>
        <v>2</v>
      </c>
      <c r="AH60" s="145">
        <f t="shared" si="16"/>
        <v>2</v>
      </c>
      <c r="AI60" s="145"/>
      <c r="AJ60" s="145"/>
      <c r="AK60" s="145"/>
      <c r="AL60" s="145"/>
      <c r="AM60" s="40"/>
      <c r="AN60" s="45"/>
    </row>
    <row r="61" ht="14.25" customHeight="1">
      <c r="A61" s="2"/>
      <c r="B61" s="3"/>
      <c r="C61" s="2"/>
      <c r="D61" s="2"/>
      <c r="E61" s="2"/>
      <c r="F61" s="2"/>
      <c r="G61" s="4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1"/>
      <c r="AN61" s="11"/>
    </row>
    <row r="62" ht="14.25" customHeight="1">
      <c r="A62" s="152"/>
      <c r="B62" s="153"/>
      <c r="C62" s="154"/>
      <c r="D62" s="155" t="s">
        <v>159</v>
      </c>
      <c r="E62" s="155"/>
      <c r="F62" s="155"/>
      <c r="G62" s="156"/>
      <c r="H62" s="49">
        <f t="shared" ref="H62:AB62" si="17">COUNTA(H10,H11:H18,#REF!,H29:H31,H53,H28:H51,H39)</f>
        <v>12</v>
      </c>
      <c r="I62" s="49">
        <f t="shared" si="17"/>
        <v>13</v>
      </c>
      <c r="J62" s="49">
        <f t="shared" si="17"/>
        <v>10</v>
      </c>
      <c r="K62" s="49">
        <f t="shared" si="17"/>
        <v>10</v>
      </c>
      <c r="L62" s="49">
        <f t="shared" si="17"/>
        <v>10</v>
      </c>
      <c r="M62" s="49">
        <f t="shared" si="17"/>
        <v>13</v>
      </c>
      <c r="N62" s="49">
        <f t="shared" si="17"/>
        <v>10</v>
      </c>
      <c r="O62" s="49">
        <f t="shared" si="17"/>
        <v>12</v>
      </c>
      <c r="P62" s="49">
        <f t="shared" si="17"/>
        <v>9</v>
      </c>
      <c r="Q62" s="49">
        <f t="shared" si="17"/>
        <v>8</v>
      </c>
      <c r="R62" s="49">
        <f t="shared" si="17"/>
        <v>8</v>
      </c>
      <c r="S62" s="49">
        <f t="shared" si="17"/>
        <v>12</v>
      </c>
      <c r="T62" s="49">
        <f t="shared" si="17"/>
        <v>13</v>
      </c>
      <c r="U62" s="49">
        <f t="shared" si="17"/>
        <v>11</v>
      </c>
      <c r="V62" s="49">
        <f t="shared" si="17"/>
        <v>11</v>
      </c>
      <c r="W62" s="49">
        <f t="shared" si="17"/>
        <v>9</v>
      </c>
      <c r="X62" s="49">
        <f t="shared" si="17"/>
        <v>8</v>
      </c>
      <c r="Y62" s="49">
        <f t="shared" si="17"/>
        <v>7</v>
      </c>
      <c r="Z62" s="49">
        <f t="shared" si="17"/>
        <v>7</v>
      </c>
      <c r="AA62" s="49">
        <f t="shared" si="17"/>
        <v>8</v>
      </c>
      <c r="AB62" s="49">
        <f t="shared" si="17"/>
        <v>9</v>
      </c>
      <c r="AC62" s="49"/>
      <c r="AD62" s="49"/>
      <c r="AE62" s="49">
        <f t="shared" ref="AE62:AH62" si="18">COUNTA(AE10,AE11:AE18,#REF!,AE29:AE31,AE53,AE28:AE51,AE39)</f>
        <v>5</v>
      </c>
      <c r="AF62" s="49">
        <f t="shared" si="18"/>
        <v>7</v>
      </c>
      <c r="AG62" s="49">
        <f t="shared" si="18"/>
        <v>6</v>
      </c>
      <c r="AH62" s="49">
        <f t="shared" si="18"/>
        <v>9</v>
      </c>
      <c r="AI62" s="49"/>
      <c r="AJ62" s="49"/>
      <c r="AK62" s="49"/>
      <c r="AL62" s="49"/>
      <c r="AM62" s="157">
        <f t="shared" ref="AM62:AM65" si="21">SUM(H62:AH62)</f>
        <v>237</v>
      </c>
      <c r="AN62" s="158">
        <v>250.0</v>
      </c>
    </row>
    <row r="63" ht="14.25" customHeight="1">
      <c r="A63" s="159"/>
      <c r="B63" s="160"/>
      <c r="C63" s="161"/>
      <c r="D63" s="162" t="s">
        <v>160</v>
      </c>
      <c r="E63" s="162"/>
      <c r="F63" s="162"/>
      <c r="G63" s="163"/>
      <c r="H63" s="164">
        <f t="shared" ref="H63:AB63" si="19">COUNTA(H10,#REF!,#REF!,H18,H28:H51,H29:H53)</f>
        <v>13</v>
      </c>
      <c r="I63" s="164">
        <f t="shared" si="19"/>
        <v>16</v>
      </c>
      <c r="J63" s="164">
        <f t="shared" si="19"/>
        <v>15</v>
      </c>
      <c r="K63" s="164">
        <f t="shared" si="19"/>
        <v>14</v>
      </c>
      <c r="L63" s="164">
        <f t="shared" si="19"/>
        <v>14</v>
      </c>
      <c r="M63" s="164">
        <f t="shared" si="19"/>
        <v>16</v>
      </c>
      <c r="N63" s="164">
        <f t="shared" si="19"/>
        <v>12</v>
      </c>
      <c r="O63" s="164">
        <f t="shared" si="19"/>
        <v>15</v>
      </c>
      <c r="P63" s="164">
        <f t="shared" si="19"/>
        <v>15</v>
      </c>
      <c r="Q63" s="164">
        <f t="shared" si="19"/>
        <v>15</v>
      </c>
      <c r="R63" s="164">
        <f t="shared" si="19"/>
        <v>10</v>
      </c>
      <c r="S63" s="164">
        <f t="shared" si="19"/>
        <v>15</v>
      </c>
      <c r="T63" s="164">
        <f t="shared" si="19"/>
        <v>15</v>
      </c>
      <c r="U63" s="164">
        <f t="shared" si="19"/>
        <v>13</v>
      </c>
      <c r="V63" s="164">
        <f t="shared" si="19"/>
        <v>11</v>
      </c>
      <c r="W63" s="164">
        <f t="shared" si="19"/>
        <v>15</v>
      </c>
      <c r="X63" s="164">
        <f t="shared" si="19"/>
        <v>15</v>
      </c>
      <c r="Y63" s="164">
        <f t="shared" si="19"/>
        <v>5</v>
      </c>
      <c r="Z63" s="164">
        <f t="shared" si="19"/>
        <v>5</v>
      </c>
      <c r="AA63" s="164">
        <f t="shared" si="19"/>
        <v>7</v>
      </c>
      <c r="AB63" s="164">
        <f t="shared" si="19"/>
        <v>7</v>
      </c>
      <c r="AC63" s="164"/>
      <c r="AD63" s="164"/>
      <c r="AE63" s="164">
        <f t="shared" ref="AE63:AH63" si="20">COUNTA(AE10,#REF!,#REF!,AE18,AE28:AE51,AE29:AE53)</f>
        <v>6</v>
      </c>
      <c r="AF63" s="164">
        <f t="shared" si="20"/>
        <v>5</v>
      </c>
      <c r="AG63" s="164">
        <f t="shared" si="20"/>
        <v>5</v>
      </c>
      <c r="AH63" s="164">
        <f t="shared" si="20"/>
        <v>7</v>
      </c>
      <c r="AI63" s="164"/>
      <c r="AJ63" s="164"/>
      <c r="AK63" s="164"/>
      <c r="AL63" s="164"/>
      <c r="AM63" s="165">
        <f t="shared" si="21"/>
        <v>286</v>
      </c>
      <c r="AN63" s="158"/>
    </row>
    <row r="64" ht="14.25" customHeight="1">
      <c r="A64" s="166"/>
      <c r="B64" s="167"/>
      <c r="C64" s="168"/>
      <c r="D64" s="169" t="s">
        <v>161</v>
      </c>
      <c r="E64" s="169"/>
      <c r="F64" s="169"/>
      <c r="G64" s="170"/>
      <c r="H64" s="171">
        <f t="shared" ref="H64:AB64" si="22">COUNTA(H28:H51,H39,H53:H54)</f>
        <v>5</v>
      </c>
      <c r="I64" s="171">
        <f t="shared" si="22"/>
        <v>6</v>
      </c>
      <c r="J64" s="171">
        <f t="shared" si="22"/>
        <v>6</v>
      </c>
      <c r="K64" s="171">
        <f t="shared" si="22"/>
        <v>5</v>
      </c>
      <c r="L64" s="171">
        <f t="shared" si="22"/>
        <v>5</v>
      </c>
      <c r="M64" s="171">
        <f t="shared" si="22"/>
        <v>6</v>
      </c>
      <c r="N64" s="171">
        <f t="shared" si="22"/>
        <v>4</v>
      </c>
      <c r="O64" s="171">
        <f t="shared" si="22"/>
        <v>6</v>
      </c>
      <c r="P64" s="171">
        <f t="shared" si="22"/>
        <v>6</v>
      </c>
      <c r="Q64" s="171">
        <f t="shared" si="22"/>
        <v>6</v>
      </c>
      <c r="R64" s="171">
        <f t="shared" si="22"/>
        <v>3</v>
      </c>
      <c r="S64" s="171">
        <f t="shared" si="22"/>
        <v>6</v>
      </c>
      <c r="T64" s="171">
        <f t="shared" si="22"/>
        <v>6</v>
      </c>
      <c r="U64" s="171">
        <f t="shared" si="22"/>
        <v>5</v>
      </c>
      <c r="V64" s="171">
        <f t="shared" si="22"/>
        <v>4</v>
      </c>
      <c r="W64" s="171">
        <f t="shared" si="22"/>
        <v>6</v>
      </c>
      <c r="X64" s="171">
        <f t="shared" si="22"/>
        <v>6</v>
      </c>
      <c r="Y64" s="171">
        <f t="shared" si="22"/>
        <v>1</v>
      </c>
      <c r="Z64" s="171">
        <f t="shared" si="22"/>
        <v>1</v>
      </c>
      <c r="AA64" s="171">
        <f t="shared" si="22"/>
        <v>2</v>
      </c>
      <c r="AB64" s="171">
        <f t="shared" si="22"/>
        <v>2</v>
      </c>
      <c r="AC64" s="171"/>
      <c r="AD64" s="171"/>
      <c r="AE64" s="171">
        <f t="shared" ref="AE64:AH64" si="23">COUNTA(AE28:AE51,AE39,AE53:AE54)</f>
        <v>2</v>
      </c>
      <c r="AF64" s="171">
        <f t="shared" si="23"/>
        <v>1</v>
      </c>
      <c r="AG64" s="171">
        <f t="shared" si="23"/>
        <v>1</v>
      </c>
      <c r="AH64" s="171">
        <f t="shared" si="23"/>
        <v>2</v>
      </c>
      <c r="AI64" s="171"/>
      <c r="AJ64" s="171"/>
      <c r="AK64" s="171"/>
      <c r="AL64" s="171"/>
      <c r="AM64" s="172">
        <f t="shared" si="21"/>
        <v>103</v>
      </c>
      <c r="AN64" s="173">
        <f>AN62*AM66</f>
        <v>175250</v>
      </c>
    </row>
    <row r="65" ht="14.25" customHeight="1">
      <c r="A65" s="174"/>
      <c r="B65" s="175"/>
      <c r="C65" s="176"/>
      <c r="D65" s="177" t="s">
        <v>162</v>
      </c>
      <c r="E65" s="177"/>
      <c r="F65" s="177"/>
      <c r="G65" s="178"/>
      <c r="H65" s="179">
        <f t="shared" ref="H65:AB65" si="24">COUNTA(#REF!,#REF!,H39,#REF!)</f>
        <v>3</v>
      </c>
      <c r="I65" s="179">
        <f t="shared" si="24"/>
        <v>3</v>
      </c>
      <c r="J65" s="179">
        <f t="shared" si="24"/>
        <v>3</v>
      </c>
      <c r="K65" s="179">
        <f t="shared" si="24"/>
        <v>3</v>
      </c>
      <c r="L65" s="179">
        <f t="shared" si="24"/>
        <v>3</v>
      </c>
      <c r="M65" s="179">
        <f t="shared" si="24"/>
        <v>3</v>
      </c>
      <c r="N65" s="179">
        <f t="shared" si="24"/>
        <v>3</v>
      </c>
      <c r="O65" s="179">
        <f t="shared" si="24"/>
        <v>3</v>
      </c>
      <c r="P65" s="179">
        <f t="shared" si="24"/>
        <v>3</v>
      </c>
      <c r="Q65" s="179">
        <f t="shared" si="24"/>
        <v>3</v>
      </c>
      <c r="R65" s="179">
        <f t="shared" si="24"/>
        <v>3</v>
      </c>
      <c r="S65" s="179">
        <f t="shared" si="24"/>
        <v>3</v>
      </c>
      <c r="T65" s="179">
        <f t="shared" si="24"/>
        <v>3</v>
      </c>
      <c r="U65" s="179">
        <f t="shared" si="24"/>
        <v>3</v>
      </c>
      <c r="V65" s="179">
        <f t="shared" si="24"/>
        <v>3</v>
      </c>
      <c r="W65" s="179">
        <f t="shared" si="24"/>
        <v>3</v>
      </c>
      <c r="X65" s="179">
        <f t="shared" si="24"/>
        <v>3</v>
      </c>
      <c r="Y65" s="179">
        <f t="shared" si="24"/>
        <v>3</v>
      </c>
      <c r="Z65" s="179">
        <f t="shared" si="24"/>
        <v>3</v>
      </c>
      <c r="AA65" s="179">
        <f t="shared" si="24"/>
        <v>3</v>
      </c>
      <c r="AB65" s="179">
        <f t="shared" si="24"/>
        <v>3</v>
      </c>
      <c r="AC65" s="179"/>
      <c r="AD65" s="179"/>
      <c r="AE65" s="179">
        <f t="shared" ref="AE65:AH65" si="25">COUNTA(#REF!,#REF!,AE39,#REF!)</f>
        <v>3</v>
      </c>
      <c r="AF65" s="179">
        <f t="shared" si="25"/>
        <v>3</v>
      </c>
      <c r="AG65" s="179">
        <f t="shared" si="25"/>
        <v>3</v>
      </c>
      <c r="AH65" s="179">
        <f t="shared" si="25"/>
        <v>3</v>
      </c>
      <c r="AI65" s="179"/>
      <c r="AJ65" s="179"/>
      <c r="AK65" s="179"/>
      <c r="AL65" s="179"/>
      <c r="AM65" s="179">
        <f t="shared" si="21"/>
        <v>75</v>
      </c>
      <c r="AN65" s="180"/>
    </row>
    <row r="66" ht="14.25" customHeight="1">
      <c r="A66" s="146" t="s">
        <v>163</v>
      </c>
      <c r="B66" s="147"/>
      <c r="C66" s="147"/>
      <c r="D66" s="147"/>
      <c r="E66" s="147"/>
      <c r="F66" s="147"/>
      <c r="G66" s="148"/>
      <c r="H66" s="145">
        <f t="shared" ref="H66:AB66" si="26">SUM(H62:H65)</f>
        <v>33</v>
      </c>
      <c r="I66" s="145">
        <f t="shared" si="26"/>
        <v>38</v>
      </c>
      <c r="J66" s="145">
        <f t="shared" si="26"/>
        <v>34</v>
      </c>
      <c r="K66" s="145">
        <f t="shared" si="26"/>
        <v>32</v>
      </c>
      <c r="L66" s="145">
        <f t="shared" si="26"/>
        <v>32</v>
      </c>
      <c r="M66" s="145">
        <f t="shared" si="26"/>
        <v>38</v>
      </c>
      <c r="N66" s="145">
        <f t="shared" si="26"/>
        <v>29</v>
      </c>
      <c r="O66" s="145">
        <f t="shared" si="26"/>
        <v>36</v>
      </c>
      <c r="P66" s="145">
        <f t="shared" si="26"/>
        <v>33</v>
      </c>
      <c r="Q66" s="145">
        <f t="shared" si="26"/>
        <v>32</v>
      </c>
      <c r="R66" s="145">
        <f t="shared" si="26"/>
        <v>24</v>
      </c>
      <c r="S66" s="145">
        <f t="shared" si="26"/>
        <v>36</v>
      </c>
      <c r="T66" s="145">
        <f t="shared" si="26"/>
        <v>37</v>
      </c>
      <c r="U66" s="145">
        <f t="shared" si="26"/>
        <v>32</v>
      </c>
      <c r="V66" s="145">
        <f t="shared" si="26"/>
        <v>29</v>
      </c>
      <c r="W66" s="145">
        <f t="shared" si="26"/>
        <v>33</v>
      </c>
      <c r="X66" s="145">
        <f t="shared" si="26"/>
        <v>32</v>
      </c>
      <c r="Y66" s="145">
        <f t="shared" si="26"/>
        <v>16</v>
      </c>
      <c r="Z66" s="145">
        <f t="shared" si="26"/>
        <v>16</v>
      </c>
      <c r="AA66" s="145">
        <f t="shared" si="26"/>
        <v>20</v>
      </c>
      <c r="AB66" s="145">
        <f t="shared" si="26"/>
        <v>21</v>
      </c>
      <c r="AC66" s="145"/>
      <c r="AD66" s="145"/>
      <c r="AE66" s="145">
        <f t="shared" ref="AE66:AH66" si="27">SUM(AE62:AE65)</f>
        <v>16</v>
      </c>
      <c r="AF66" s="145">
        <f t="shared" si="27"/>
        <v>16</v>
      </c>
      <c r="AG66" s="145">
        <f t="shared" si="27"/>
        <v>15</v>
      </c>
      <c r="AH66" s="145">
        <f t="shared" si="27"/>
        <v>21</v>
      </c>
      <c r="AI66" s="145"/>
      <c r="AJ66" s="145"/>
      <c r="AK66" s="145"/>
      <c r="AL66" s="145"/>
      <c r="AM66" s="145">
        <f>SUM(AM62:AM65)</f>
        <v>701</v>
      </c>
      <c r="AN66" s="181"/>
    </row>
    <row r="67" ht="14.25" customHeight="1">
      <c r="A67" s="2"/>
      <c r="B67" s="182" t="s">
        <v>164</v>
      </c>
      <c r="C67" s="182"/>
      <c r="D67" s="182"/>
      <c r="E67" s="182"/>
      <c r="F67" s="182"/>
      <c r="G67" s="4"/>
      <c r="H67" s="4"/>
      <c r="I67" s="4"/>
      <c r="J67" s="4"/>
      <c r="K67" s="4"/>
      <c r="L67" s="4"/>
      <c r="M67" s="4"/>
      <c r="N67" s="4"/>
      <c r="O67" s="4"/>
      <c r="P67" s="5"/>
      <c r="Q67" s="5"/>
      <c r="R67" s="4"/>
      <c r="S67" s="4"/>
      <c r="T67" s="4"/>
      <c r="U67" s="4"/>
      <c r="V67" s="5"/>
      <c r="W67" s="5"/>
      <c r="X67" s="5"/>
      <c r="Y67" s="4"/>
      <c r="Z67" s="4"/>
      <c r="AA67" s="4"/>
      <c r="AB67" s="4"/>
      <c r="AC67" s="4"/>
      <c r="AD67" s="4"/>
      <c r="AE67" s="5"/>
      <c r="AF67" s="5"/>
      <c r="AG67" s="5"/>
      <c r="AH67" s="5"/>
      <c r="AI67" s="5"/>
      <c r="AJ67" s="5"/>
      <c r="AK67" s="5"/>
      <c r="AL67" s="5"/>
      <c r="AM67" s="2"/>
      <c r="AN67" s="183"/>
    </row>
    <row r="68" ht="14.25" customHeight="1">
      <c r="A68" s="2"/>
      <c r="B68" s="182" t="s">
        <v>165</v>
      </c>
      <c r="C68" s="2"/>
      <c r="D68" s="2"/>
      <c r="E68" s="2"/>
      <c r="F68" s="2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11"/>
      <c r="AN68" s="2"/>
    </row>
    <row r="69" ht="14.25" customHeight="1">
      <c r="A69" s="2"/>
      <c r="B69" s="182" t="s">
        <v>166</v>
      </c>
      <c r="C69" s="184"/>
      <c r="D69" s="184"/>
      <c r="E69" s="2"/>
      <c r="F69" s="2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11"/>
      <c r="AN69" s="2"/>
    </row>
    <row r="70" ht="14.25" customHeight="1">
      <c r="A70" s="2"/>
      <c r="B70" s="182"/>
      <c r="C70" s="184"/>
      <c r="D70" s="184"/>
      <c r="E70" s="4" t="s">
        <v>167</v>
      </c>
      <c r="H70" s="5"/>
      <c r="I70" s="5"/>
      <c r="J70" s="5"/>
      <c r="K70" s="5"/>
      <c r="L70" s="5" t="s">
        <v>168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11"/>
      <c r="AN70" s="2"/>
    </row>
    <row r="71" ht="14.25" customHeight="1">
      <c r="A71" s="2"/>
      <c r="B71" s="3"/>
      <c r="C71" s="2"/>
      <c r="D71" s="2"/>
      <c r="E71" s="2"/>
      <c r="F71" s="2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11"/>
      <c r="AN71" s="11"/>
    </row>
    <row r="72" ht="14.25" customHeight="1">
      <c r="A72" s="2"/>
      <c r="B72" s="3"/>
      <c r="C72" s="2"/>
      <c r="D72" s="2"/>
      <c r="E72" s="4" t="s">
        <v>169</v>
      </c>
      <c r="H72" s="5"/>
      <c r="I72" s="5"/>
      <c r="J72" s="5"/>
      <c r="K72" s="5"/>
      <c r="L72" s="5"/>
      <c r="M72" s="5"/>
      <c r="N72" s="5"/>
      <c r="O72" s="5" t="s">
        <v>170</v>
      </c>
      <c r="P72" s="5"/>
      <c r="Q72" s="5"/>
      <c r="R72" s="5" t="s">
        <v>171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11"/>
      <c r="AN72" s="11"/>
    </row>
    <row r="73" ht="14.25" customHeight="1">
      <c r="A73" s="2"/>
      <c r="B73" s="3"/>
      <c r="C73" s="2"/>
      <c r="D73" s="2"/>
      <c r="E73" s="2"/>
      <c r="F73" s="2"/>
      <c r="G73" s="185"/>
      <c r="H73" s="5"/>
      <c r="I73" s="5"/>
      <c r="J73" s="5"/>
      <c r="K73" s="5"/>
      <c r="L73" s="5"/>
      <c r="M73" s="5"/>
      <c r="N73" s="5"/>
      <c r="O73" s="5"/>
      <c r="P73" s="5"/>
      <c r="Q73" s="5"/>
      <c r="R73" s="4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11"/>
      <c r="AN73" s="11"/>
    </row>
    <row r="74" ht="30.75" customHeight="1">
      <c r="A74" s="2"/>
      <c r="B74" s="3"/>
      <c r="C74" s="2"/>
      <c r="D74" s="2"/>
      <c r="E74" s="185" t="s">
        <v>172</v>
      </c>
      <c r="H74" s="5"/>
      <c r="I74" s="5"/>
      <c r="J74" s="5"/>
      <c r="K74" s="5"/>
      <c r="L74" s="5"/>
      <c r="M74" s="5"/>
      <c r="N74" s="5"/>
      <c r="O74" s="5" t="s">
        <v>170</v>
      </c>
      <c r="P74" s="5"/>
      <c r="Q74" s="5"/>
      <c r="R74" s="5" t="s">
        <v>171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11"/>
      <c r="AN74" s="11"/>
    </row>
    <row r="75" ht="14.25" customHeight="1">
      <c r="A75" s="11"/>
      <c r="B75" s="3"/>
      <c r="C75" s="2"/>
      <c r="D75" s="186"/>
      <c r="E75" s="2"/>
      <c r="F75" s="2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11"/>
      <c r="AN75" s="11"/>
    </row>
    <row r="76" ht="14.25" customHeight="1">
      <c r="G76" s="187"/>
    </row>
    <row r="77" ht="14.25" customHeight="1">
      <c r="G77" s="187"/>
    </row>
    <row r="78" ht="14.25" customHeight="1">
      <c r="G78" s="187"/>
    </row>
    <row r="79" ht="14.25" customHeight="1">
      <c r="G79" s="187"/>
    </row>
    <row r="80" ht="15.75" customHeight="1">
      <c r="G80" s="187"/>
    </row>
    <row r="81" ht="14.25" customHeight="1">
      <c r="G81" s="187"/>
    </row>
    <row r="82" ht="14.25" customHeight="1">
      <c r="G82" s="187"/>
    </row>
    <row r="83" ht="14.25" customHeight="1">
      <c r="G83" s="187"/>
    </row>
    <row r="84" ht="14.25" customHeight="1">
      <c r="G84" s="187"/>
    </row>
    <row r="85" ht="14.25" customHeight="1">
      <c r="G85" s="187"/>
    </row>
    <row r="86" ht="14.25" customHeight="1">
      <c r="G86" s="187"/>
    </row>
    <row r="87" ht="14.25" customHeight="1">
      <c r="G87" s="187"/>
    </row>
    <row r="88" ht="14.25" customHeight="1">
      <c r="G88" s="187"/>
    </row>
    <row r="89" ht="14.25" customHeight="1">
      <c r="G89" s="187"/>
    </row>
    <row r="90" ht="14.25" customHeight="1">
      <c r="G90" s="187"/>
    </row>
    <row r="91" ht="14.25" customHeight="1">
      <c r="G91" s="187"/>
    </row>
    <row r="92" ht="14.25" customHeight="1">
      <c r="G92" s="187"/>
    </row>
    <row r="93" ht="14.25" customHeight="1">
      <c r="G93" s="187"/>
    </row>
    <row r="94" ht="14.25" customHeight="1">
      <c r="G94" s="187"/>
    </row>
    <row r="95" ht="14.25" customHeight="1">
      <c r="G95" s="187"/>
    </row>
    <row r="96" ht="14.25" customHeight="1">
      <c r="G96" s="187"/>
    </row>
    <row r="97" ht="14.25" customHeight="1">
      <c r="G97" s="187"/>
    </row>
    <row r="98" ht="14.25" customHeight="1">
      <c r="G98" s="187"/>
    </row>
    <row r="99" ht="14.25" customHeight="1">
      <c r="G99" s="187"/>
    </row>
    <row r="100" ht="14.25" customHeight="1">
      <c r="G100" s="187"/>
    </row>
    <row r="101" ht="14.25" customHeight="1">
      <c r="G101" s="187"/>
    </row>
    <row r="102" ht="14.25" customHeight="1">
      <c r="G102" s="187"/>
    </row>
    <row r="103" ht="14.25" customHeight="1">
      <c r="G103" s="187"/>
    </row>
    <row r="104" ht="14.25" customHeight="1">
      <c r="G104" s="187"/>
    </row>
    <row r="105" ht="14.25" customHeight="1">
      <c r="G105" s="187"/>
    </row>
    <row r="106" ht="14.25" customHeight="1">
      <c r="G106" s="187"/>
    </row>
    <row r="107" ht="14.25" customHeight="1">
      <c r="G107" s="187"/>
    </row>
    <row r="108" ht="14.25" customHeight="1">
      <c r="G108" s="187"/>
    </row>
    <row r="109" ht="14.25" customHeight="1">
      <c r="G109" s="187"/>
    </row>
    <row r="110" ht="14.25" customHeight="1">
      <c r="G110" s="187"/>
    </row>
    <row r="111" ht="14.25" customHeight="1">
      <c r="G111" s="187"/>
    </row>
    <row r="112" ht="14.25" customHeight="1">
      <c r="G112" s="187"/>
    </row>
    <row r="113" ht="14.25" customHeight="1">
      <c r="G113" s="187"/>
    </row>
    <row r="114" ht="14.25" customHeight="1">
      <c r="G114" s="187"/>
    </row>
    <row r="115" ht="14.25" customHeight="1">
      <c r="G115" s="187"/>
    </row>
    <row r="116" ht="14.25" customHeight="1">
      <c r="G116" s="187"/>
    </row>
    <row r="117" ht="14.25" customHeight="1">
      <c r="G117" s="187"/>
    </row>
    <row r="118" ht="14.25" customHeight="1">
      <c r="G118" s="187"/>
    </row>
    <row r="119" ht="14.25" customHeight="1">
      <c r="G119" s="187"/>
    </row>
    <row r="120" ht="14.25" customHeight="1">
      <c r="G120" s="187"/>
    </row>
    <row r="121" ht="14.25" customHeight="1">
      <c r="G121" s="187"/>
    </row>
    <row r="122" ht="14.25" customHeight="1">
      <c r="G122" s="187"/>
    </row>
    <row r="123" ht="14.25" customHeight="1">
      <c r="G123" s="187"/>
    </row>
    <row r="124" ht="14.25" customHeight="1">
      <c r="G124" s="187"/>
    </row>
    <row r="125" ht="14.25" customHeight="1">
      <c r="G125" s="187"/>
    </row>
    <row r="126" ht="14.25" customHeight="1">
      <c r="G126" s="187"/>
    </row>
    <row r="127" ht="14.25" customHeight="1">
      <c r="G127" s="187"/>
    </row>
    <row r="128" ht="14.25" customHeight="1">
      <c r="G128" s="187"/>
    </row>
    <row r="129" ht="14.25" customHeight="1">
      <c r="G129" s="187"/>
    </row>
    <row r="130" ht="14.25" customHeight="1">
      <c r="G130" s="187"/>
    </row>
    <row r="131" ht="14.25" customHeight="1">
      <c r="G131" s="187"/>
    </row>
    <row r="132" ht="14.25" customHeight="1">
      <c r="G132" s="187"/>
    </row>
    <row r="133" ht="14.25" customHeight="1">
      <c r="G133" s="187"/>
    </row>
    <row r="134" ht="14.25" customHeight="1">
      <c r="G134" s="187"/>
    </row>
    <row r="135" ht="14.25" customHeight="1">
      <c r="G135" s="187"/>
    </row>
    <row r="136" ht="14.25" customHeight="1">
      <c r="G136" s="187"/>
    </row>
    <row r="137" ht="14.25" customHeight="1">
      <c r="G137" s="187"/>
    </row>
    <row r="138" ht="14.25" customHeight="1">
      <c r="G138" s="187"/>
    </row>
    <row r="139" ht="14.25" customHeight="1">
      <c r="G139" s="187"/>
    </row>
    <row r="140" ht="14.25" customHeight="1">
      <c r="G140" s="187"/>
    </row>
    <row r="141" ht="14.25" customHeight="1">
      <c r="G141" s="187"/>
    </row>
    <row r="142" ht="14.25" customHeight="1">
      <c r="G142" s="187"/>
    </row>
    <row r="143" ht="14.25" customHeight="1">
      <c r="G143" s="187"/>
    </row>
    <row r="144" ht="14.25" customHeight="1">
      <c r="G144" s="187"/>
    </row>
    <row r="145" ht="14.25" customHeight="1">
      <c r="G145" s="187"/>
    </row>
    <row r="146" ht="14.25" customHeight="1">
      <c r="G146" s="187"/>
    </row>
    <row r="147" ht="14.25" customHeight="1">
      <c r="G147" s="187"/>
    </row>
    <row r="148" ht="14.25" customHeight="1">
      <c r="G148" s="187"/>
    </row>
    <row r="149" ht="14.25" customHeight="1">
      <c r="G149" s="187"/>
    </row>
    <row r="150" ht="14.25" customHeight="1">
      <c r="G150" s="187"/>
    </row>
    <row r="151" ht="14.25" customHeight="1">
      <c r="G151" s="187"/>
    </row>
    <row r="152" ht="14.25" customHeight="1">
      <c r="G152" s="187"/>
    </row>
    <row r="153" ht="14.25" customHeight="1">
      <c r="G153" s="187"/>
    </row>
    <row r="154" ht="14.25" customHeight="1">
      <c r="G154" s="187"/>
    </row>
    <row r="155" ht="14.25" customHeight="1">
      <c r="G155" s="187"/>
    </row>
    <row r="156" ht="14.25" customHeight="1">
      <c r="G156" s="187"/>
    </row>
    <row r="157" ht="14.25" customHeight="1">
      <c r="G157" s="187"/>
    </row>
    <row r="158" ht="14.25" customHeight="1">
      <c r="G158" s="187"/>
    </row>
    <row r="159" ht="14.25" customHeight="1">
      <c r="G159" s="187"/>
    </row>
    <row r="160" ht="14.25" customHeight="1">
      <c r="G160" s="187"/>
    </row>
    <row r="161" ht="14.25" customHeight="1">
      <c r="G161" s="187"/>
    </row>
    <row r="162" ht="14.25" customHeight="1">
      <c r="G162" s="187"/>
    </row>
    <row r="163" ht="14.25" customHeight="1">
      <c r="G163" s="187"/>
    </row>
    <row r="164" ht="14.25" customHeight="1">
      <c r="G164" s="187"/>
    </row>
    <row r="165" ht="14.25" customHeight="1">
      <c r="G165" s="187"/>
    </row>
    <row r="166" ht="14.25" customHeight="1">
      <c r="G166" s="187"/>
    </row>
    <row r="167" ht="14.25" customHeight="1">
      <c r="G167" s="187"/>
    </row>
    <row r="168" ht="14.25" customHeight="1">
      <c r="G168" s="187"/>
    </row>
    <row r="169" ht="14.25" customHeight="1">
      <c r="G169" s="187"/>
    </row>
    <row r="170" ht="14.25" customHeight="1">
      <c r="G170" s="187"/>
    </row>
    <row r="171" ht="14.25" customHeight="1">
      <c r="G171" s="187"/>
    </row>
    <row r="172" ht="14.25" customHeight="1">
      <c r="G172" s="187"/>
    </row>
    <row r="173" ht="14.25" customHeight="1">
      <c r="G173" s="187"/>
    </row>
    <row r="174" ht="14.25" customHeight="1">
      <c r="G174" s="187"/>
    </row>
    <row r="175" ht="14.25" customHeight="1">
      <c r="G175" s="187"/>
    </row>
    <row r="176" ht="14.25" customHeight="1">
      <c r="G176" s="187"/>
    </row>
    <row r="177" ht="14.25" customHeight="1">
      <c r="G177" s="187"/>
    </row>
    <row r="178" ht="14.25" customHeight="1">
      <c r="G178" s="187"/>
    </row>
    <row r="179" ht="14.25" customHeight="1">
      <c r="G179" s="187"/>
    </row>
    <row r="180" ht="14.25" customHeight="1">
      <c r="G180" s="187"/>
    </row>
    <row r="181" ht="14.25" customHeight="1">
      <c r="G181" s="187"/>
    </row>
    <row r="182" ht="14.25" customHeight="1">
      <c r="G182" s="187"/>
    </row>
    <row r="183" ht="14.25" customHeight="1">
      <c r="G183" s="187"/>
    </row>
    <row r="184" ht="14.25" customHeight="1">
      <c r="G184" s="187"/>
    </row>
    <row r="185" ht="14.25" customHeight="1">
      <c r="G185" s="187"/>
    </row>
    <row r="186" ht="14.25" customHeight="1">
      <c r="G186" s="187"/>
    </row>
    <row r="187" ht="14.25" customHeight="1">
      <c r="G187" s="187"/>
    </row>
    <row r="188" ht="14.25" customHeight="1">
      <c r="G188" s="187"/>
    </row>
    <row r="189" ht="14.25" customHeight="1">
      <c r="G189" s="187"/>
    </row>
    <row r="190" ht="14.25" customHeight="1">
      <c r="G190" s="187"/>
    </row>
    <row r="191" ht="14.25" customHeight="1">
      <c r="G191" s="187"/>
    </row>
    <row r="192" ht="14.25" customHeight="1">
      <c r="G192" s="187"/>
    </row>
    <row r="193" ht="14.25" customHeight="1">
      <c r="G193" s="187"/>
    </row>
    <row r="194" ht="14.25" customHeight="1">
      <c r="G194" s="187"/>
    </row>
    <row r="195" ht="14.25" customHeight="1">
      <c r="G195" s="187"/>
    </row>
    <row r="196" ht="14.25" customHeight="1">
      <c r="G196" s="187"/>
    </row>
    <row r="197" ht="14.25" customHeight="1">
      <c r="G197" s="187"/>
    </row>
    <row r="198" ht="14.25" customHeight="1">
      <c r="G198" s="187"/>
    </row>
    <row r="199" ht="14.25" customHeight="1">
      <c r="G199" s="187"/>
    </row>
    <row r="200" ht="14.25" customHeight="1">
      <c r="G200" s="187"/>
    </row>
    <row r="201" ht="14.25" customHeight="1">
      <c r="G201" s="187"/>
    </row>
    <row r="202" ht="14.25" customHeight="1">
      <c r="G202" s="187"/>
    </row>
    <row r="203" ht="14.25" customHeight="1">
      <c r="G203" s="187"/>
    </row>
    <row r="204" ht="14.25" customHeight="1">
      <c r="G204" s="187"/>
    </row>
    <row r="205" ht="14.25" customHeight="1">
      <c r="G205" s="187"/>
    </row>
    <row r="206" ht="14.25" customHeight="1">
      <c r="G206" s="187"/>
    </row>
    <row r="207" ht="14.25" customHeight="1">
      <c r="G207" s="187"/>
    </row>
    <row r="208" ht="14.25" customHeight="1">
      <c r="G208" s="187"/>
    </row>
    <row r="209" ht="14.25" customHeight="1">
      <c r="G209" s="187"/>
    </row>
    <row r="210" ht="14.25" customHeight="1">
      <c r="G210" s="187"/>
    </row>
    <row r="211" ht="14.25" customHeight="1">
      <c r="G211" s="187"/>
    </row>
    <row r="212" ht="14.25" customHeight="1">
      <c r="G212" s="187"/>
    </row>
    <row r="213" ht="14.25" customHeight="1">
      <c r="G213" s="187"/>
    </row>
    <row r="214" ht="14.25" customHeight="1">
      <c r="G214" s="187"/>
    </row>
    <row r="215" ht="14.25" customHeight="1">
      <c r="G215" s="187"/>
    </row>
    <row r="216" ht="14.25" customHeight="1">
      <c r="G216" s="187"/>
    </row>
    <row r="217" ht="14.25" customHeight="1">
      <c r="G217" s="187"/>
    </row>
    <row r="218" ht="14.25" customHeight="1">
      <c r="G218" s="187"/>
    </row>
    <row r="219" ht="14.25" customHeight="1">
      <c r="G219" s="187"/>
    </row>
    <row r="220" ht="14.25" customHeight="1">
      <c r="G220" s="187"/>
    </row>
    <row r="221" ht="14.25" customHeight="1">
      <c r="G221" s="187"/>
    </row>
    <row r="222" ht="14.25" customHeight="1">
      <c r="G222" s="187"/>
    </row>
    <row r="223" ht="14.25" customHeight="1">
      <c r="G223" s="187"/>
    </row>
    <row r="224" ht="14.25" customHeight="1">
      <c r="G224" s="187"/>
    </row>
    <row r="225" ht="14.25" customHeight="1">
      <c r="G225" s="187"/>
    </row>
    <row r="226" ht="14.25" customHeight="1">
      <c r="G226" s="187"/>
    </row>
    <row r="227" ht="14.25" customHeight="1">
      <c r="G227" s="187"/>
    </row>
    <row r="228" ht="14.25" customHeight="1">
      <c r="G228" s="187"/>
    </row>
    <row r="229" ht="14.25" customHeight="1">
      <c r="G229" s="187"/>
    </row>
    <row r="230" ht="14.25" customHeight="1">
      <c r="G230" s="187"/>
    </row>
    <row r="231" ht="14.25" customHeight="1">
      <c r="G231" s="187"/>
    </row>
    <row r="232" ht="14.25" customHeight="1">
      <c r="G232" s="187"/>
    </row>
    <row r="233" ht="14.25" customHeight="1">
      <c r="G233" s="187"/>
    </row>
    <row r="234" ht="14.25" customHeight="1">
      <c r="G234" s="187"/>
    </row>
    <row r="235" ht="14.25" customHeight="1">
      <c r="G235" s="187"/>
    </row>
    <row r="236" ht="14.25" customHeight="1">
      <c r="G236" s="187"/>
    </row>
    <row r="237" ht="14.25" customHeight="1">
      <c r="G237" s="187"/>
    </row>
    <row r="238" ht="14.25" customHeight="1">
      <c r="G238" s="187"/>
    </row>
    <row r="239" ht="14.25" customHeight="1">
      <c r="G239" s="187"/>
    </row>
    <row r="240" ht="14.25" customHeight="1">
      <c r="G240" s="187"/>
    </row>
    <row r="241" ht="14.25" customHeight="1">
      <c r="G241" s="187"/>
    </row>
    <row r="242" ht="14.25" customHeight="1">
      <c r="G242" s="187"/>
    </row>
    <row r="243" ht="14.25" customHeight="1">
      <c r="G243" s="187"/>
    </row>
    <row r="244" ht="14.25" customHeight="1">
      <c r="G244" s="187"/>
    </row>
    <row r="245" ht="14.25" customHeight="1">
      <c r="G245" s="187"/>
    </row>
    <row r="246" ht="14.25" customHeight="1">
      <c r="G246" s="187"/>
    </row>
    <row r="247" ht="14.25" customHeight="1">
      <c r="G247" s="187"/>
    </row>
    <row r="248" ht="14.25" customHeight="1">
      <c r="G248" s="187"/>
    </row>
    <row r="249" ht="14.25" customHeight="1">
      <c r="G249" s="187"/>
    </row>
    <row r="250" ht="14.25" customHeight="1">
      <c r="G250" s="187"/>
    </row>
    <row r="251" ht="14.25" customHeight="1">
      <c r="G251" s="187"/>
    </row>
    <row r="252" ht="14.25" customHeight="1">
      <c r="G252" s="187"/>
    </row>
    <row r="253" ht="14.25" customHeight="1">
      <c r="G253" s="187"/>
    </row>
    <row r="254" ht="14.25" customHeight="1">
      <c r="G254" s="187"/>
    </row>
    <row r="255" ht="14.25" customHeight="1">
      <c r="G255" s="187"/>
    </row>
    <row r="256" ht="14.25" customHeight="1">
      <c r="G256" s="187"/>
    </row>
    <row r="257" ht="14.25" customHeight="1">
      <c r="G257" s="187"/>
    </row>
    <row r="258" ht="14.25" customHeight="1">
      <c r="G258" s="187"/>
    </row>
    <row r="259" ht="14.25" customHeight="1">
      <c r="G259" s="187"/>
    </row>
    <row r="260" ht="14.25" customHeight="1">
      <c r="G260" s="187"/>
    </row>
    <row r="261" ht="14.25" customHeight="1">
      <c r="G261" s="187"/>
    </row>
    <row r="262" ht="14.25" customHeight="1">
      <c r="G262" s="187"/>
    </row>
    <row r="263" ht="14.25" customHeight="1">
      <c r="G263" s="187"/>
    </row>
    <row r="264" ht="14.25" customHeight="1">
      <c r="G264" s="187"/>
    </row>
    <row r="265" ht="14.25" customHeight="1">
      <c r="G265" s="187"/>
    </row>
    <row r="266" ht="14.25" customHeight="1">
      <c r="G266" s="187"/>
    </row>
    <row r="267" ht="14.25" customHeight="1">
      <c r="G267" s="187"/>
    </row>
    <row r="268" ht="14.25" customHeight="1">
      <c r="G268" s="187"/>
    </row>
    <row r="269" ht="14.25" customHeight="1">
      <c r="G269" s="187"/>
    </row>
    <row r="270" ht="14.25" customHeight="1">
      <c r="G270" s="187"/>
    </row>
    <row r="271" ht="14.25" customHeight="1">
      <c r="G271" s="187"/>
    </row>
    <row r="272" ht="14.25" customHeight="1">
      <c r="G272" s="187"/>
    </row>
    <row r="273" ht="14.25" customHeight="1">
      <c r="G273" s="187"/>
    </row>
    <row r="274" ht="14.25" customHeight="1">
      <c r="G274" s="187"/>
    </row>
    <row r="275" ht="14.25" customHeight="1">
      <c r="G275" s="187"/>
    </row>
    <row r="276" ht="14.25" customHeight="1">
      <c r="G276" s="187"/>
    </row>
    <row r="277" ht="14.25" customHeight="1">
      <c r="G277" s="187"/>
    </row>
    <row r="278" ht="14.25" customHeight="1">
      <c r="G278" s="187"/>
    </row>
    <row r="279" ht="14.25" customHeight="1">
      <c r="G279" s="187"/>
    </row>
    <row r="280" ht="14.25" customHeight="1">
      <c r="G280" s="187"/>
    </row>
    <row r="281" ht="14.25" customHeight="1">
      <c r="G281" s="187"/>
    </row>
    <row r="282" ht="14.25" customHeight="1">
      <c r="G282" s="187"/>
    </row>
    <row r="283" ht="14.25" customHeight="1">
      <c r="G283" s="187"/>
    </row>
    <row r="284" ht="14.25" customHeight="1">
      <c r="G284" s="187"/>
    </row>
    <row r="285" ht="14.25" customHeight="1">
      <c r="G285" s="187"/>
    </row>
    <row r="286" ht="14.25" customHeight="1">
      <c r="G286" s="187"/>
    </row>
    <row r="287" ht="14.25" customHeight="1">
      <c r="G287" s="187"/>
    </row>
    <row r="288" ht="14.25" customHeight="1">
      <c r="G288" s="187"/>
    </row>
    <row r="289" ht="14.25" customHeight="1">
      <c r="G289" s="187"/>
    </row>
    <row r="290" ht="14.25" customHeight="1">
      <c r="G290" s="187"/>
    </row>
    <row r="291" ht="14.25" customHeight="1">
      <c r="G291" s="187"/>
    </row>
    <row r="292" ht="14.25" customHeight="1">
      <c r="G292" s="187"/>
    </row>
    <row r="293" ht="14.25" customHeight="1">
      <c r="G293" s="187"/>
    </row>
    <row r="294" ht="14.25" customHeight="1">
      <c r="G294" s="187"/>
    </row>
    <row r="295" ht="14.25" customHeight="1">
      <c r="G295" s="187"/>
    </row>
    <row r="296" ht="14.25" customHeight="1">
      <c r="G296" s="187"/>
    </row>
    <row r="297" ht="14.25" customHeight="1">
      <c r="G297" s="187"/>
    </row>
    <row r="298" ht="14.25" customHeight="1">
      <c r="G298" s="187"/>
    </row>
    <row r="299" ht="14.25" customHeight="1">
      <c r="G299" s="187"/>
    </row>
    <row r="300" ht="14.25" customHeight="1">
      <c r="G300" s="187"/>
    </row>
    <row r="301" ht="14.25" customHeight="1">
      <c r="G301" s="187"/>
    </row>
    <row r="302" ht="14.25" customHeight="1">
      <c r="G302" s="187"/>
    </row>
    <row r="303" ht="14.25" customHeight="1">
      <c r="G303" s="187"/>
    </row>
    <row r="304" ht="14.25" customHeight="1">
      <c r="G304" s="187"/>
    </row>
    <row r="305" ht="14.25" customHeight="1">
      <c r="G305" s="187"/>
    </row>
    <row r="306" ht="14.25" customHeight="1">
      <c r="G306" s="187"/>
    </row>
    <row r="307" ht="14.25" customHeight="1">
      <c r="G307" s="187"/>
    </row>
    <row r="308" ht="14.25" customHeight="1">
      <c r="G308" s="187"/>
    </row>
    <row r="309" ht="14.25" customHeight="1">
      <c r="G309" s="187"/>
    </row>
    <row r="310" ht="14.25" customHeight="1">
      <c r="G310" s="187"/>
    </row>
    <row r="311" ht="14.25" customHeight="1">
      <c r="G311" s="187"/>
    </row>
    <row r="312" ht="14.25" customHeight="1">
      <c r="G312" s="187"/>
    </row>
    <row r="313" ht="14.25" customHeight="1">
      <c r="G313" s="187"/>
    </row>
    <row r="314" ht="14.25" customHeight="1">
      <c r="G314" s="187"/>
    </row>
    <row r="315" ht="14.25" customHeight="1">
      <c r="G315" s="187"/>
    </row>
    <row r="316" ht="14.25" customHeight="1">
      <c r="G316" s="187"/>
    </row>
    <row r="317" ht="14.25" customHeight="1">
      <c r="G317" s="187"/>
    </row>
    <row r="318" ht="14.25" customHeight="1">
      <c r="G318" s="187"/>
    </row>
    <row r="319" ht="14.25" customHeight="1">
      <c r="G319" s="187"/>
    </row>
    <row r="320" ht="14.25" customHeight="1">
      <c r="G320" s="187"/>
    </row>
    <row r="321" ht="14.25" customHeight="1">
      <c r="G321" s="187"/>
    </row>
    <row r="322" ht="14.25" customHeight="1">
      <c r="G322" s="187"/>
    </row>
    <row r="323" ht="14.25" customHeight="1">
      <c r="G323" s="187"/>
    </row>
    <row r="324" ht="14.25" customHeight="1">
      <c r="G324" s="187"/>
    </row>
    <row r="325" ht="14.25" customHeight="1">
      <c r="G325" s="187"/>
    </row>
    <row r="326" ht="14.25" customHeight="1">
      <c r="G326" s="187"/>
    </row>
    <row r="327" ht="14.25" customHeight="1">
      <c r="G327" s="187"/>
    </row>
    <row r="328" ht="14.25" customHeight="1">
      <c r="G328" s="187"/>
    </row>
    <row r="329" ht="14.25" customHeight="1">
      <c r="G329" s="187"/>
    </row>
    <row r="330" ht="14.25" customHeight="1">
      <c r="G330" s="187"/>
    </row>
    <row r="331" ht="14.25" customHeight="1">
      <c r="G331" s="187"/>
    </row>
    <row r="332" ht="14.25" customHeight="1">
      <c r="G332" s="187"/>
    </row>
    <row r="333" ht="14.25" customHeight="1">
      <c r="G333" s="187"/>
    </row>
    <row r="334" ht="14.25" customHeight="1">
      <c r="G334" s="187"/>
    </row>
    <row r="335" ht="14.25" customHeight="1">
      <c r="G335" s="187"/>
    </row>
    <row r="336" ht="14.25" customHeight="1">
      <c r="G336" s="187"/>
    </row>
    <row r="337" ht="14.25" customHeight="1">
      <c r="G337" s="187"/>
    </row>
    <row r="338" ht="14.25" customHeight="1">
      <c r="G338" s="187"/>
    </row>
    <row r="339" ht="14.25" customHeight="1">
      <c r="G339" s="187"/>
    </row>
    <row r="340" ht="14.25" customHeight="1">
      <c r="G340" s="187"/>
    </row>
    <row r="341" ht="14.25" customHeight="1">
      <c r="G341" s="187"/>
    </row>
    <row r="342" ht="14.25" customHeight="1">
      <c r="G342" s="187"/>
    </row>
    <row r="343" ht="14.25" customHeight="1">
      <c r="G343" s="187"/>
    </row>
    <row r="344" ht="14.25" customHeight="1">
      <c r="G344" s="187"/>
    </row>
    <row r="345" ht="14.25" customHeight="1">
      <c r="G345" s="187"/>
    </row>
    <row r="346" ht="14.25" customHeight="1">
      <c r="G346" s="187"/>
    </row>
    <row r="347" ht="14.25" customHeight="1">
      <c r="G347" s="187"/>
    </row>
    <row r="348" ht="14.25" customHeight="1">
      <c r="G348" s="187"/>
    </row>
    <row r="349" ht="14.25" customHeight="1">
      <c r="G349" s="187"/>
    </row>
    <row r="350" ht="14.25" customHeight="1">
      <c r="G350" s="187"/>
    </row>
    <row r="351" ht="14.25" customHeight="1">
      <c r="G351" s="187"/>
    </row>
    <row r="352" ht="14.25" customHeight="1">
      <c r="G352" s="187"/>
    </row>
    <row r="353" ht="14.25" customHeight="1">
      <c r="G353" s="187"/>
    </row>
    <row r="354" ht="14.25" customHeight="1">
      <c r="G354" s="187"/>
    </row>
    <row r="355" ht="14.25" customHeight="1">
      <c r="G355" s="187"/>
    </row>
    <row r="356" ht="14.25" customHeight="1">
      <c r="G356" s="187"/>
    </row>
    <row r="357" ht="14.25" customHeight="1">
      <c r="G357" s="187"/>
    </row>
    <row r="358" ht="14.25" customHeight="1">
      <c r="G358" s="187"/>
    </row>
    <row r="359" ht="14.25" customHeight="1">
      <c r="G359" s="187"/>
    </row>
    <row r="360" ht="14.25" customHeight="1">
      <c r="G360" s="187"/>
    </row>
    <row r="361" ht="14.25" customHeight="1">
      <c r="G361" s="187"/>
    </row>
    <row r="362" ht="14.25" customHeight="1">
      <c r="G362" s="187"/>
    </row>
    <row r="363" ht="14.25" customHeight="1">
      <c r="G363" s="187"/>
    </row>
    <row r="364" ht="14.25" customHeight="1">
      <c r="G364" s="187"/>
    </row>
    <row r="365" ht="14.25" customHeight="1">
      <c r="G365" s="187"/>
    </row>
    <row r="366" ht="14.25" customHeight="1">
      <c r="G366" s="187"/>
    </row>
    <row r="367" ht="14.25" customHeight="1">
      <c r="G367" s="187"/>
    </row>
    <row r="368" ht="14.25" customHeight="1">
      <c r="G368" s="187"/>
    </row>
    <row r="369" ht="14.25" customHeight="1">
      <c r="G369" s="187"/>
    </row>
    <row r="370" ht="14.25" customHeight="1">
      <c r="G370" s="187"/>
    </row>
    <row r="371" ht="14.25" customHeight="1">
      <c r="G371" s="187"/>
    </row>
    <row r="372" ht="14.25" customHeight="1">
      <c r="G372" s="187"/>
    </row>
    <row r="373" ht="14.25" customHeight="1">
      <c r="G373" s="187"/>
    </row>
    <row r="374" ht="14.25" customHeight="1">
      <c r="G374" s="187"/>
    </row>
    <row r="375" ht="14.25" customHeight="1">
      <c r="G375" s="187"/>
    </row>
    <row r="376" ht="14.25" customHeight="1">
      <c r="G376" s="187"/>
    </row>
    <row r="377" ht="14.25" customHeight="1">
      <c r="G377" s="187"/>
    </row>
    <row r="378" ht="14.25" customHeight="1">
      <c r="G378" s="187"/>
    </row>
    <row r="379" ht="14.25" customHeight="1">
      <c r="G379" s="187"/>
    </row>
    <row r="380" ht="14.25" customHeight="1">
      <c r="G380" s="187"/>
    </row>
    <row r="381" ht="14.25" customHeight="1">
      <c r="G381" s="187"/>
    </row>
    <row r="382" ht="14.25" customHeight="1">
      <c r="G382" s="187"/>
    </row>
    <row r="383" ht="14.25" customHeight="1">
      <c r="G383" s="187"/>
    </row>
    <row r="384" ht="14.25" customHeight="1">
      <c r="G384" s="187"/>
    </row>
    <row r="385" ht="14.25" customHeight="1">
      <c r="G385" s="187"/>
    </row>
    <row r="386" ht="14.25" customHeight="1">
      <c r="G386" s="187"/>
    </row>
    <row r="387" ht="14.25" customHeight="1">
      <c r="G387" s="187"/>
    </row>
    <row r="388" ht="14.25" customHeight="1">
      <c r="G388" s="187"/>
    </row>
    <row r="389" ht="14.25" customHeight="1">
      <c r="G389" s="187"/>
    </row>
    <row r="390" ht="14.25" customHeight="1">
      <c r="G390" s="187"/>
    </row>
    <row r="391" ht="14.25" customHeight="1">
      <c r="G391" s="187"/>
    </row>
    <row r="392" ht="14.25" customHeight="1">
      <c r="G392" s="187"/>
    </row>
    <row r="393" ht="14.25" customHeight="1">
      <c r="G393" s="187"/>
    </row>
    <row r="394" ht="14.25" customHeight="1">
      <c r="G394" s="187"/>
    </row>
    <row r="395" ht="14.25" customHeight="1">
      <c r="G395" s="187"/>
    </row>
    <row r="396" ht="14.25" customHeight="1">
      <c r="G396" s="187"/>
    </row>
    <row r="397" ht="14.25" customHeight="1">
      <c r="G397" s="187"/>
    </row>
    <row r="398" ht="14.25" customHeight="1">
      <c r="G398" s="187"/>
    </row>
    <row r="399" ht="14.25" customHeight="1">
      <c r="G399" s="187"/>
    </row>
    <row r="400" ht="14.25" customHeight="1">
      <c r="G400" s="187"/>
    </row>
    <row r="401" ht="14.25" customHeight="1">
      <c r="G401" s="187"/>
    </row>
    <row r="402" ht="14.25" customHeight="1">
      <c r="G402" s="187"/>
    </row>
    <row r="403" ht="14.25" customHeight="1">
      <c r="G403" s="187"/>
    </row>
    <row r="404" ht="14.25" customHeight="1">
      <c r="G404" s="187"/>
    </row>
    <row r="405" ht="14.25" customHeight="1">
      <c r="G405" s="187"/>
    </row>
    <row r="406" ht="14.25" customHeight="1">
      <c r="G406" s="187"/>
    </row>
    <row r="407" ht="14.25" customHeight="1">
      <c r="G407" s="187"/>
    </row>
    <row r="408" ht="14.25" customHeight="1">
      <c r="G408" s="187"/>
    </row>
    <row r="409" ht="14.25" customHeight="1">
      <c r="G409" s="187"/>
    </row>
    <row r="410" ht="14.25" customHeight="1">
      <c r="G410" s="187"/>
    </row>
    <row r="411" ht="14.25" customHeight="1">
      <c r="G411" s="187"/>
    </row>
    <row r="412" ht="14.25" customHeight="1">
      <c r="G412" s="187"/>
    </row>
    <row r="413" ht="14.25" customHeight="1">
      <c r="G413" s="187"/>
    </row>
    <row r="414" ht="14.25" customHeight="1">
      <c r="G414" s="187"/>
    </row>
    <row r="415" ht="14.25" customHeight="1">
      <c r="G415" s="187"/>
    </row>
    <row r="416" ht="14.25" customHeight="1">
      <c r="G416" s="187"/>
    </row>
    <row r="417" ht="14.25" customHeight="1">
      <c r="G417" s="187"/>
    </row>
    <row r="418" ht="14.25" customHeight="1">
      <c r="G418" s="187"/>
    </row>
    <row r="419" ht="14.25" customHeight="1">
      <c r="G419" s="187"/>
    </row>
    <row r="420" ht="14.25" customHeight="1">
      <c r="G420" s="187"/>
    </row>
    <row r="421" ht="14.25" customHeight="1">
      <c r="G421" s="187"/>
    </row>
    <row r="422" ht="14.25" customHeight="1">
      <c r="G422" s="187"/>
    </row>
    <row r="423" ht="14.25" customHeight="1">
      <c r="G423" s="187"/>
    </row>
    <row r="424" ht="14.25" customHeight="1">
      <c r="G424" s="187"/>
    </row>
    <row r="425" ht="14.25" customHeight="1">
      <c r="G425" s="187"/>
    </row>
    <row r="426" ht="14.25" customHeight="1">
      <c r="G426" s="187"/>
    </row>
    <row r="427" ht="14.25" customHeight="1">
      <c r="G427" s="187"/>
    </row>
    <row r="428" ht="14.25" customHeight="1">
      <c r="G428" s="187"/>
    </row>
    <row r="429" ht="14.25" customHeight="1">
      <c r="G429" s="187"/>
    </row>
    <row r="430" ht="14.25" customHeight="1">
      <c r="G430" s="187"/>
    </row>
    <row r="431" ht="14.25" customHeight="1">
      <c r="G431" s="187"/>
    </row>
    <row r="432" ht="14.25" customHeight="1">
      <c r="G432" s="187"/>
    </row>
    <row r="433" ht="14.25" customHeight="1">
      <c r="G433" s="187"/>
    </row>
    <row r="434" ht="14.25" customHeight="1">
      <c r="G434" s="187"/>
    </row>
    <row r="435" ht="14.25" customHeight="1">
      <c r="G435" s="187"/>
    </row>
    <row r="436" ht="14.25" customHeight="1">
      <c r="G436" s="187"/>
    </row>
    <row r="437" ht="14.25" customHeight="1">
      <c r="G437" s="187"/>
    </row>
    <row r="438" ht="14.25" customHeight="1">
      <c r="G438" s="187"/>
    </row>
    <row r="439" ht="14.25" customHeight="1">
      <c r="G439" s="187"/>
    </row>
    <row r="440" ht="14.25" customHeight="1">
      <c r="G440" s="187"/>
    </row>
    <row r="441" ht="14.25" customHeight="1">
      <c r="G441" s="187"/>
    </row>
    <row r="442" ht="14.25" customHeight="1">
      <c r="G442" s="187"/>
    </row>
    <row r="443" ht="14.25" customHeight="1">
      <c r="G443" s="187"/>
    </row>
    <row r="444" ht="14.25" customHeight="1">
      <c r="G444" s="187"/>
    </row>
    <row r="445" ht="14.25" customHeight="1">
      <c r="G445" s="187"/>
    </row>
    <row r="446" ht="14.25" customHeight="1">
      <c r="G446" s="187"/>
    </row>
    <row r="447" ht="14.25" customHeight="1">
      <c r="G447" s="187"/>
    </row>
    <row r="448" ht="14.25" customHeight="1">
      <c r="G448" s="187"/>
    </row>
    <row r="449" ht="14.25" customHeight="1">
      <c r="G449" s="187"/>
    </row>
    <row r="450" ht="14.25" customHeight="1">
      <c r="G450" s="187"/>
    </row>
    <row r="451" ht="14.25" customHeight="1">
      <c r="G451" s="187"/>
    </row>
    <row r="452" ht="14.25" customHeight="1">
      <c r="G452" s="187"/>
    </row>
    <row r="453" ht="14.25" customHeight="1">
      <c r="G453" s="187"/>
    </row>
    <row r="454" ht="14.25" customHeight="1">
      <c r="G454" s="187"/>
    </row>
    <row r="455" ht="14.25" customHeight="1">
      <c r="G455" s="187"/>
    </row>
    <row r="456" ht="14.25" customHeight="1">
      <c r="G456" s="187"/>
    </row>
    <row r="457" ht="14.25" customHeight="1">
      <c r="G457" s="187"/>
    </row>
    <row r="458" ht="14.25" customHeight="1">
      <c r="G458" s="187"/>
    </row>
    <row r="459" ht="14.25" customHeight="1">
      <c r="G459" s="187"/>
    </row>
    <row r="460" ht="14.25" customHeight="1">
      <c r="G460" s="187"/>
    </row>
    <row r="461" ht="14.25" customHeight="1">
      <c r="G461" s="187"/>
    </row>
    <row r="462" ht="14.25" customHeight="1">
      <c r="G462" s="187"/>
    </row>
    <row r="463" ht="14.25" customHeight="1">
      <c r="G463" s="187"/>
    </row>
    <row r="464" ht="14.25" customHeight="1">
      <c r="G464" s="187"/>
    </row>
    <row r="465" ht="14.25" customHeight="1">
      <c r="G465" s="187"/>
    </row>
    <row r="466" ht="14.25" customHeight="1">
      <c r="G466" s="187"/>
    </row>
    <row r="467" ht="14.25" customHeight="1">
      <c r="G467" s="187"/>
    </row>
    <row r="468" ht="14.25" customHeight="1">
      <c r="G468" s="187"/>
    </row>
    <row r="469" ht="14.25" customHeight="1">
      <c r="G469" s="187"/>
    </row>
    <row r="470" ht="14.25" customHeight="1">
      <c r="G470" s="187"/>
    </row>
    <row r="471" ht="14.25" customHeight="1">
      <c r="G471" s="187"/>
    </row>
    <row r="472" ht="14.25" customHeight="1">
      <c r="G472" s="187"/>
    </row>
    <row r="473" ht="14.25" customHeight="1">
      <c r="G473" s="187"/>
    </row>
    <row r="474" ht="14.25" customHeight="1">
      <c r="G474" s="187"/>
    </row>
    <row r="475" ht="14.25" customHeight="1">
      <c r="G475" s="187"/>
    </row>
    <row r="476" ht="14.25" customHeight="1">
      <c r="G476" s="187"/>
    </row>
    <row r="477" ht="14.25" customHeight="1">
      <c r="G477" s="187"/>
    </row>
    <row r="478" ht="14.25" customHeight="1">
      <c r="G478" s="187"/>
    </row>
    <row r="479" ht="14.25" customHeight="1">
      <c r="G479" s="187"/>
    </row>
    <row r="480" ht="14.25" customHeight="1">
      <c r="G480" s="187"/>
    </row>
    <row r="481" ht="14.25" customHeight="1">
      <c r="G481" s="187"/>
    </row>
    <row r="482" ht="14.25" customHeight="1">
      <c r="G482" s="187"/>
    </row>
    <row r="483" ht="14.25" customHeight="1">
      <c r="G483" s="187"/>
    </row>
    <row r="484" ht="14.25" customHeight="1">
      <c r="G484" s="187"/>
    </row>
    <row r="485" ht="14.25" customHeight="1">
      <c r="G485" s="187"/>
    </row>
    <row r="486" ht="14.25" customHeight="1">
      <c r="G486" s="187"/>
    </row>
    <row r="487" ht="14.25" customHeight="1">
      <c r="G487" s="187"/>
    </row>
    <row r="488" ht="14.25" customHeight="1">
      <c r="G488" s="187"/>
    </row>
    <row r="489" ht="14.25" customHeight="1">
      <c r="G489" s="187"/>
    </row>
    <row r="490" ht="14.25" customHeight="1">
      <c r="G490" s="187"/>
    </row>
    <row r="491" ht="14.25" customHeight="1">
      <c r="G491" s="187"/>
    </row>
    <row r="492" ht="14.25" customHeight="1">
      <c r="G492" s="187"/>
    </row>
    <row r="493" ht="14.25" customHeight="1">
      <c r="G493" s="187"/>
    </row>
    <row r="494" ht="14.25" customHeight="1">
      <c r="G494" s="187"/>
    </row>
    <row r="495" ht="14.25" customHeight="1">
      <c r="G495" s="187"/>
    </row>
    <row r="496" ht="14.25" customHeight="1">
      <c r="G496" s="187"/>
    </row>
    <row r="497" ht="14.25" customHeight="1">
      <c r="G497" s="187"/>
    </row>
    <row r="498" ht="14.25" customHeight="1">
      <c r="G498" s="187"/>
    </row>
    <row r="499" ht="14.25" customHeight="1">
      <c r="G499" s="187"/>
    </row>
    <row r="500" ht="14.25" customHeight="1">
      <c r="G500" s="187"/>
    </row>
    <row r="501" ht="14.25" customHeight="1">
      <c r="G501" s="187"/>
    </row>
    <row r="502" ht="14.25" customHeight="1">
      <c r="G502" s="187"/>
    </row>
    <row r="503" ht="14.25" customHeight="1">
      <c r="G503" s="187"/>
    </row>
    <row r="504" ht="14.25" customHeight="1">
      <c r="G504" s="187"/>
    </row>
    <row r="505" ht="14.25" customHeight="1">
      <c r="G505" s="187"/>
    </row>
    <row r="506" ht="14.25" customHeight="1">
      <c r="G506" s="187"/>
    </row>
    <row r="507" ht="14.25" customHeight="1">
      <c r="G507" s="187"/>
    </row>
    <row r="508" ht="14.25" customHeight="1">
      <c r="G508" s="187"/>
    </row>
    <row r="509" ht="14.25" customHeight="1">
      <c r="G509" s="187"/>
    </row>
    <row r="510" ht="14.25" customHeight="1">
      <c r="G510" s="187"/>
    </row>
    <row r="511" ht="14.25" customHeight="1">
      <c r="G511" s="187"/>
    </row>
    <row r="512" ht="14.25" customHeight="1">
      <c r="G512" s="187"/>
    </row>
    <row r="513" ht="14.25" customHeight="1">
      <c r="G513" s="187"/>
    </row>
    <row r="514" ht="14.25" customHeight="1">
      <c r="G514" s="187"/>
    </row>
    <row r="515" ht="14.25" customHeight="1">
      <c r="G515" s="187"/>
    </row>
    <row r="516" ht="14.25" customHeight="1">
      <c r="G516" s="187"/>
    </row>
    <row r="517" ht="14.25" customHeight="1">
      <c r="G517" s="187"/>
    </row>
    <row r="518" ht="14.25" customHeight="1">
      <c r="G518" s="187"/>
    </row>
    <row r="519" ht="14.25" customHeight="1">
      <c r="G519" s="187"/>
    </row>
    <row r="520" ht="14.25" customHeight="1">
      <c r="G520" s="187"/>
    </row>
    <row r="521" ht="14.25" customHeight="1">
      <c r="G521" s="187"/>
    </row>
    <row r="522" ht="14.25" customHeight="1">
      <c r="G522" s="187"/>
    </row>
    <row r="523" ht="14.25" customHeight="1">
      <c r="G523" s="187"/>
    </row>
    <row r="524" ht="14.25" customHeight="1">
      <c r="G524" s="187"/>
    </row>
    <row r="525" ht="14.25" customHeight="1">
      <c r="G525" s="187"/>
    </row>
    <row r="526" ht="14.25" customHeight="1">
      <c r="G526" s="187"/>
    </row>
    <row r="527" ht="14.25" customHeight="1">
      <c r="G527" s="187"/>
    </row>
    <row r="528" ht="14.25" customHeight="1">
      <c r="G528" s="187"/>
    </row>
    <row r="529" ht="14.25" customHeight="1">
      <c r="G529" s="187"/>
    </row>
    <row r="530" ht="14.25" customHeight="1">
      <c r="G530" s="187"/>
    </row>
    <row r="531" ht="14.25" customHeight="1">
      <c r="G531" s="187"/>
    </row>
    <row r="532" ht="14.25" customHeight="1">
      <c r="G532" s="187"/>
    </row>
    <row r="533" ht="14.25" customHeight="1">
      <c r="G533" s="187"/>
    </row>
    <row r="534" ht="14.25" customHeight="1">
      <c r="G534" s="187"/>
    </row>
    <row r="535" ht="14.25" customHeight="1">
      <c r="G535" s="187"/>
    </row>
    <row r="536" ht="14.25" customHeight="1">
      <c r="G536" s="187"/>
    </row>
    <row r="537" ht="14.25" customHeight="1">
      <c r="G537" s="187"/>
    </row>
    <row r="538" ht="14.25" customHeight="1">
      <c r="G538" s="187"/>
    </row>
    <row r="539" ht="14.25" customHeight="1">
      <c r="G539" s="187"/>
    </row>
    <row r="540" ht="14.25" customHeight="1">
      <c r="G540" s="187"/>
    </row>
    <row r="541" ht="14.25" customHeight="1">
      <c r="G541" s="187"/>
    </row>
    <row r="542" ht="14.25" customHeight="1">
      <c r="G542" s="187"/>
    </row>
    <row r="543" ht="14.25" customHeight="1">
      <c r="G543" s="187"/>
    </row>
    <row r="544" ht="14.25" customHeight="1">
      <c r="G544" s="187"/>
    </row>
    <row r="545" ht="14.25" customHeight="1">
      <c r="G545" s="187"/>
    </row>
    <row r="546" ht="14.25" customHeight="1">
      <c r="G546" s="187"/>
    </row>
    <row r="547" ht="14.25" customHeight="1">
      <c r="G547" s="187"/>
    </row>
    <row r="548" ht="14.25" customHeight="1">
      <c r="G548" s="187"/>
    </row>
    <row r="549" ht="14.25" customHeight="1">
      <c r="G549" s="187"/>
    </row>
    <row r="550" ht="14.25" customHeight="1">
      <c r="G550" s="187"/>
    </row>
    <row r="551" ht="14.25" customHeight="1">
      <c r="G551" s="187"/>
    </row>
    <row r="552" ht="14.25" customHeight="1">
      <c r="G552" s="187"/>
    </row>
    <row r="553" ht="14.25" customHeight="1">
      <c r="G553" s="187"/>
    </row>
    <row r="554" ht="14.25" customHeight="1">
      <c r="G554" s="187"/>
    </row>
    <row r="555" ht="14.25" customHeight="1">
      <c r="G555" s="187"/>
    </row>
    <row r="556" ht="14.25" customHeight="1">
      <c r="G556" s="187"/>
    </row>
    <row r="557" ht="14.25" customHeight="1">
      <c r="G557" s="187"/>
    </row>
    <row r="558" ht="14.25" customHeight="1">
      <c r="G558" s="187"/>
    </row>
    <row r="559" ht="14.25" customHeight="1">
      <c r="G559" s="187"/>
    </row>
    <row r="560" ht="14.25" customHeight="1">
      <c r="G560" s="187"/>
    </row>
    <row r="561" ht="14.25" customHeight="1">
      <c r="G561" s="187"/>
    </row>
    <row r="562" ht="14.25" customHeight="1">
      <c r="G562" s="187"/>
    </row>
    <row r="563" ht="14.25" customHeight="1">
      <c r="G563" s="187"/>
    </row>
    <row r="564" ht="14.25" customHeight="1">
      <c r="G564" s="187"/>
    </row>
    <row r="565" ht="14.25" customHeight="1">
      <c r="G565" s="187"/>
    </row>
    <row r="566" ht="14.25" customHeight="1">
      <c r="G566" s="187"/>
    </row>
    <row r="567" ht="14.25" customHeight="1">
      <c r="G567" s="187"/>
    </row>
    <row r="568" ht="14.25" customHeight="1">
      <c r="G568" s="187"/>
    </row>
    <row r="569" ht="14.25" customHeight="1">
      <c r="G569" s="187"/>
    </row>
    <row r="570" ht="14.25" customHeight="1">
      <c r="G570" s="187"/>
    </row>
    <row r="571" ht="14.25" customHeight="1">
      <c r="G571" s="187"/>
    </row>
    <row r="572" ht="14.25" customHeight="1">
      <c r="G572" s="187"/>
    </row>
    <row r="573" ht="14.25" customHeight="1">
      <c r="G573" s="187"/>
    </row>
    <row r="574" ht="14.25" customHeight="1">
      <c r="G574" s="187"/>
    </row>
    <row r="575" ht="14.25" customHeight="1">
      <c r="G575" s="187"/>
    </row>
    <row r="576" ht="14.25" customHeight="1">
      <c r="G576" s="187"/>
    </row>
    <row r="577" ht="14.25" customHeight="1">
      <c r="G577" s="187"/>
    </row>
    <row r="578" ht="14.25" customHeight="1">
      <c r="G578" s="187"/>
    </row>
    <row r="579" ht="14.25" customHeight="1">
      <c r="G579" s="187"/>
    </row>
    <row r="580" ht="14.25" customHeight="1">
      <c r="G580" s="187"/>
    </row>
    <row r="581" ht="14.25" customHeight="1">
      <c r="G581" s="187"/>
    </row>
    <row r="582" ht="14.25" customHeight="1">
      <c r="G582" s="187"/>
    </row>
    <row r="583" ht="14.25" customHeight="1">
      <c r="G583" s="187"/>
    </row>
    <row r="584" ht="14.25" customHeight="1">
      <c r="G584" s="187"/>
    </row>
    <row r="585" ht="14.25" customHeight="1">
      <c r="G585" s="187"/>
    </row>
    <row r="586" ht="14.25" customHeight="1">
      <c r="G586" s="187"/>
    </row>
    <row r="587" ht="14.25" customHeight="1">
      <c r="G587" s="187"/>
    </row>
    <row r="588" ht="14.25" customHeight="1">
      <c r="G588" s="187"/>
    </row>
    <row r="589" ht="14.25" customHeight="1">
      <c r="G589" s="187"/>
    </row>
    <row r="590" ht="14.25" customHeight="1">
      <c r="G590" s="187"/>
    </row>
    <row r="591" ht="14.25" customHeight="1">
      <c r="G591" s="187"/>
    </row>
    <row r="592" ht="14.25" customHeight="1">
      <c r="G592" s="187"/>
    </row>
    <row r="593" ht="14.25" customHeight="1">
      <c r="G593" s="187"/>
    </row>
    <row r="594" ht="14.25" customHeight="1">
      <c r="G594" s="187"/>
    </row>
    <row r="595" ht="14.25" customHeight="1">
      <c r="G595" s="187"/>
    </row>
    <row r="596" ht="14.25" customHeight="1">
      <c r="G596" s="187"/>
    </row>
    <row r="597" ht="14.25" customHeight="1">
      <c r="G597" s="187"/>
    </row>
    <row r="598" ht="14.25" customHeight="1">
      <c r="G598" s="187"/>
    </row>
    <row r="599" ht="14.25" customHeight="1">
      <c r="G599" s="187"/>
    </row>
    <row r="600" ht="14.25" customHeight="1">
      <c r="G600" s="187"/>
    </row>
    <row r="601" ht="14.25" customHeight="1">
      <c r="G601" s="187"/>
    </row>
    <row r="602" ht="14.25" customHeight="1">
      <c r="G602" s="187"/>
    </row>
    <row r="603" ht="14.25" customHeight="1">
      <c r="G603" s="187"/>
    </row>
    <row r="604" ht="14.25" customHeight="1">
      <c r="G604" s="187"/>
    </row>
    <row r="605" ht="14.25" customHeight="1">
      <c r="G605" s="187"/>
    </row>
    <row r="606" ht="14.25" customHeight="1">
      <c r="G606" s="187"/>
    </row>
    <row r="607" ht="14.25" customHeight="1">
      <c r="G607" s="187"/>
    </row>
    <row r="608" ht="14.25" customHeight="1">
      <c r="G608" s="187"/>
    </row>
    <row r="609" ht="14.25" customHeight="1">
      <c r="G609" s="187"/>
    </row>
    <row r="610" ht="14.25" customHeight="1">
      <c r="G610" s="187"/>
    </row>
    <row r="611" ht="14.25" customHeight="1">
      <c r="G611" s="187"/>
    </row>
    <row r="612" ht="14.25" customHeight="1">
      <c r="G612" s="187"/>
    </row>
    <row r="613" ht="14.25" customHeight="1">
      <c r="G613" s="187"/>
    </row>
    <row r="614" ht="14.25" customHeight="1">
      <c r="G614" s="187"/>
    </row>
    <row r="615" ht="14.25" customHeight="1">
      <c r="G615" s="187"/>
    </row>
    <row r="616" ht="14.25" customHeight="1">
      <c r="G616" s="187"/>
    </row>
    <row r="617" ht="14.25" customHeight="1">
      <c r="G617" s="187"/>
    </row>
    <row r="618" ht="14.25" customHeight="1">
      <c r="G618" s="187"/>
    </row>
    <row r="619" ht="14.25" customHeight="1">
      <c r="G619" s="187"/>
    </row>
    <row r="620" ht="14.25" customHeight="1">
      <c r="G620" s="187"/>
    </row>
    <row r="621" ht="14.25" customHeight="1">
      <c r="G621" s="187"/>
    </row>
    <row r="622" ht="14.25" customHeight="1">
      <c r="G622" s="187"/>
    </row>
    <row r="623" ht="14.25" customHeight="1">
      <c r="G623" s="187"/>
    </row>
    <row r="624" ht="14.25" customHeight="1">
      <c r="G624" s="187"/>
    </row>
    <row r="625" ht="14.25" customHeight="1">
      <c r="G625" s="187"/>
    </row>
    <row r="626" ht="14.25" customHeight="1">
      <c r="G626" s="187"/>
    </row>
    <row r="627" ht="14.25" customHeight="1">
      <c r="G627" s="187"/>
    </row>
    <row r="628" ht="14.25" customHeight="1">
      <c r="G628" s="187"/>
    </row>
    <row r="629" ht="14.25" customHeight="1">
      <c r="G629" s="187"/>
    </row>
    <row r="630" ht="14.25" customHeight="1">
      <c r="G630" s="187"/>
    </row>
    <row r="631" ht="14.25" customHeight="1">
      <c r="G631" s="187"/>
    </row>
    <row r="632" ht="14.25" customHeight="1">
      <c r="G632" s="187"/>
    </row>
    <row r="633" ht="14.25" customHeight="1">
      <c r="G633" s="187"/>
    </row>
    <row r="634" ht="14.25" customHeight="1">
      <c r="G634" s="187"/>
    </row>
    <row r="635" ht="14.25" customHeight="1">
      <c r="G635" s="187"/>
    </row>
    <row r="636" ht="14.25" customHeight="1">
      <c r="G636" s="187"/>
    </row>
    <row r="637" ht="14.25" customHeight="1">
      <c r="G637" s="187"/>
    </row>
    <row r="638" ht="14.25" customHeight="1">
      <c r="G638" s="187"/>
    </row>
    <row r="639" ht="14.25" customHeight="1">
      <c r="G639" s="187"/>
    </row>
    <row r="640" ht="14.25" customHeight="1">
      <c r="G640" s="187"/>
    </row>
    <row r="641" ht="14.25" customHeight="1">
      <c r="G641" s="187"/>
    </row>
    <row r="642" ht="14.25" customHeight="1">
      <c r="G642" s="187"/>
    </row>
    <row r="643" ht="14.25" customHeight="1">
      <c r="G643" s="187"/>
    </row>
    <row r="644" ht="14.25" customHeight="1">
      <c r="G644" s="187"/>
    </row>
    <row r="645" ht="14.25" customHeight="1">
      <c r="G645" s="187"/>
    </row>
    <row r="646" ht="14.25" customHeight="1">
      <c r="G646" s="187"/>
    </row>
    <row r="647" ht="14.25" customHeight="1">
      <c r="G647" s="187"/>
    </row>
    <row r="648" ht="14.25" customHeight="1">
      <c r="G648" s="187"/>
    </row>
    <row r="649" ht="14.25" customHeight="1">
      <c r="G649" s="187"/>
    </row>
    <row r="650" ht="14.25" customHeight="1">
      <c r="G650" s="187"/>
    </row>
    <row r="651" ht="14.25" customHeight="1">
      <c r="G651" s="187"/>
    </row>
    <row r="652" ht="14.25" customHeight="1">
      <c r="G652" s="187"/>
    </row>
    <row r="653" ht="14.25" customHeight="1">
      <c r="G653" s="187"/>
    </row>
    <row r="654" ht="14.25" customHeight="1">
      <c r="G654" s="187"/>
    </row>
    <row r="655" ht="14.25" customHeight="1">
      <c r="G655" s="187"/>
    </row>
    <row r="656" ht="14.25" customHeight="1">
      <c r="G656" s="187"/>
    </row>
    <row r="657" ht="14.25" customHeight="1">
      <c r="G657" s="187"/>
    </row>
    <row r="658" ht="14.25" customHeight="1">
      <c r="G658" s="187"/>
    </row>
    <row r="659" ht="14.25" customHeight="1">
      <c r="G659" s="187"/>
    </row>
    <row r="660" ht="14.25" customHeight="1">
      <c r="G660" s="187"/>
    </row>
    <row r="661" ht="14.25" customHeight="1">
      <c r="G661" s="187"/>
    </row>
    <row r="662" ht="14.25" customHeight="1">
      <c r="G662" s="187"/>
    </row>
    <row r="663" ht="14.25" customHeight="1">
      <c r="G663" s="187"/>
    </row>
    <row r="664" ht="14.25" customHeight="1">
      <c r="G664" s="187"/>
    </row>
    <row r="665" ht="14.25" customHeight="1">
      <c r="G665" s="187"/>
    </row>
    <row r="666" ht="14.25" customHeight="1">
      <c r="G666" s="187"/>
    </row>
    <row r="667" ht="14.25" customHeight="1">
      <c r="G667" s="187"/>
    </row>
    <row r="668" ht="14.25" customHeight="1">
      <c r="G668" s="187"/>
    </row>
    <row r="669" ht="14.25" customHeight="1">
      <c r="G669" s="187"/>
    </row>
    <row r="670" ht="14.25" customHeight="1">
      <c r="G670" s="187"/>
    </row>
    <row r="671" ht="14.25" customHeight="1">
      <c r="G671" s="187"/>
    </row>
    <row r="672" ht="14.25" customHeight="1">
      <c r="G672" s="187"/>
    </row>
    <row r="673" ht="14.25" customHeight="1">
      <c r="G673" s="187"/>
    </row>
    <row r="674" ht="14.25" customHeight="1">
      <c r="G674" s="187"/>
    </row>
    <row r="675" ht="14.25" customHeight="1">
      <c r="G675" s="187"/>
    </row>
    <row r="676" ht="14.25" customHeight="1">
      <c r="G676" s="187"/>
    </row>
    <row r="677" ht="14.25" customHeight="1">
      <c r="G677" s="187"/>
    </row>
    <row r="678" ht="14.25" customHeight="1">
      <c r="G678" s="187"/>
    </row>
    <row r="679" ht="14.25" customHeight="1">
      <c r="G679" s="187"/>
    </row>
    <row r="680" ht="14.25" customHeight="1">
      <c r="G680" s="187"/>
    </row>
    <row r="681" ht="14.25" customHeight="1">
      <c r="G681" s="187"/>
    </row>
    <row r="682" ht="14.25" customHeight="1">
      <c r="G682" s="187"/>
    </row>
    <row r="683" ht="14.25" customHeight="1">
      <c r="G683" s="187"/>
    </row>
    <row r="684" ht="14.25" customHeight="1">
      <c r="G684" s="187"/>
    </row>
    <row r="685" ht="14.25" customHeight="1">
      <c r="G685" s="187"/>
    </row>
    <row r="686" ht="14.25" customHeight="1">
      <c r="G686" s="187"/>
    </row>
    <row r="687" ht="14.25" customHeight="1">
      <c r="G687" s="187"/>
    </row>
    <row r="688" ht="14.25" customHeight="1">
      <c r="G688" s="187"/>
    </row>
    <row r="689" ht="14.25" customHeight="1">
      <c r="G689" s="187"/>
    </row>
    <row r="690" ht="14.25" customHeight="1">
      <c r="G690" s="187"/>
    </row>
    <row r="691" ht="14.25" customHeight="1">
      <c r="G691" s="187"/>
    </row>
    <row r="692" ht="14.25" customHeight="1">
      <c r="G692" s="187"/>
    </row>
    <row r="693" ht="14.25" customHeight="1">
      <c r="G693" s="187"/>
    </row>
    <row r="694" ht="14.25" customHeight="1">
      <c r="G694" s="187"/>
    </row>
    <row r="695" ht="14.25" customHeight="1">
      <c r="G695" s="187"/>
    </row>
    <row r="696" ht="14.25" customHeight="1">
      <c r="G696" s="187"/>
    </row>
    <row r="697" ht="14.25" customHeight="1">
      <c r="G697" s="187"/>
    </row>
    <row r="698" ht="14.25" customHeight="1">
      <c r="G698" s="187"/>
    </row>
    <row r="699" ht="14.25" customHeight="1">
      <c r="G699" s="187"/>
    </row>
    <row r="700" ht="14.25" customHeight="1">
      <c r="G700" s="187"/>
    </row>
    <row r="701" ht="14.25" customHeight="1">
      <c r="G701" s="187"/>
    </row>
    <row r="702" ht="14.25" customHeight="1">
      <c r="G702" s="187"/>
    </row>
    <row r="703" ht="14.25" customHeight="1">
      <c r="G703" s="187"/>
    </row>
    <row r="704" ht="14.25" customHeight="1">
      <c r="G704" s="187"/>
    </row>
    <row r="705" ht="14.25" customHeight="1">
      <c r="G705" s="187"/>
    </row>
    <row r="706" ht="14.25" customHeight="1">
      <c r="G706" s="187"/>
    </row>
    <row r="707" ht="14.25" customHeight="1">
      <c r="G707" s="187"/>
    </row>
    <row r="708" ht="14.25" customHeight="1">
      <c r="G708" s="187"/>
    </row>
    <row r="709" ht="14.25" customHeight="1">
      <c r="G709" s="187"/>
    </row>
    <row r="710" ht="14.25" customHeight="1">
      <c r="G710" s="187"/>
    </row>
    <row r="711" ht="14.25" customHeight="1">
      <c r="G711" s="187"/>
    </row>
    <row r="712" ht="14.25" customHeight="1">
      <c r="G712" s="187"/>
    </row>
    <row r="713" ht="14.25" customHeight="1">
      <c r="G713" s="187"/>
    </row>
    <row r="714" ht="14.25" customHeight="1">
      <c r="G714" s="187"/>
    </row>
    <row r="715" ht="14.25" customHeight="1">
      <c r="G715" s="187"/>
    </row>
    <row r="716" ht="14.25" customHeight="1">
      <c r="G716" s="187"/>
    </row>
    <row r="717" ht="14.25" customHeight="1">
      <c r="G717" s="187"/>
    </row>
    <row r="718" ht="14.25" customHeight="1">
      <c r="G718" s="187"/>
    </row>
    <row r="719" ht="14.25" customHeight="1">
      <c r="G719" s="187"/>
    </row>
    <row r="720" ht="14.25" customHeight="1">
      <c r="G720" s="187"/>
    </row>
    <row r="721" ht="14.25" customHeight="1">
      <c r="G721" s="187"/>
    </row>
    <row r="722" ht="14.25" customHeight="1">
      <c r="G722" s="187"/>
    </row>
    <row r="723" ht="14.25" customHeight="1">
      <c r="G723" s="187"/>
    </row>
    <row r="724" ht="14.25" customHeight="1">
      <c r="G724" s="187"/>
    </row>
    <row r="725" ht="14.25" customHeight="1">
      <c r="G725" s="187"/>
    </row>
    <row r="726" ht="14.25" customHeight="1">
      <c r="G726" s="187"/>
    </row>
    <row r="727" ht="14.25" customHeight="1">
      <c r="G727" s="187"/>
    </row>
    <row r="728" ht="14.25" customHeight="1">
      <c r="G728" s="187"/>
    </row>
    <row r="729" ht="14.25" customHeight="1">
      <c r="G729" s="187"/>
    </row>
    <row r="730" ht="14.25" customHeight="1">
      <c r="G730" s="187"/>
    </row>
    <row r="731" ht="14.25" customHeight="1">
      <c r="G731" s="187"/>
    </row>
    <row r="732" ht="14.25" customHeight="1">
      <c r="G732" s="187"/>
    </row>
    <row r="733" ht="14.25" customHeight="1">
      <c r="G733" s="187"/>
    </row>
    <row r="734" ht="14.25" customHeight="1">
      <c r="G734" s="187"/>
    </row>
    <row r="735" ht="14.25" customHeight="1">
      <c r="G735" s="187"/>
    </row>
    <row r="736" ht="14.25" customHeight="1">
      <c r="G736" s="187"/>
    </row>
    <row r="737" ht="14.25" customHeight="1">
      <c r="G737" s="187"/>
    </row>
    <row r="738" ht="14.25" customHeight="1">
      <c r="G738" s="187"/>
    </row>
    <row r="739" ht="14.25" customHeight="1">
      <c r="G739" s="187"/>
    </row>
    <row r="740" ht="14.25" customHeight="1">
      <c r="G740" s="187"/>
    </row>
    <row r="741" ht="14.25" customHeight="1">
      <c r="G741" s="187"/>
    </row>
    <row r="742" ht="14.25" customHeight="1">
      <c r="G742" s="187"/>
    </row>
    <row r="743" ht="14.25" customHeight="1">
      <c r="G743" s="187"/>
    </row>
    <row r="744" ht="14.25" customHeight="1">
      <c r="G744" s="187"/>
    </row>
    <row r="745" ht="14.25" customHeight="1">
      <c r="G745" s="187"/>
    </row>
    <row r="746" ht="14.25" customHeight="1">
      <c r="G746" s="187"/>
    </row>
    <row r="747" ht="14.25" customHeight="1">
      <c r="G747" s="187"/>
    </row>
    <row r="748" ht="14.25" customHeight="1">
      <c r="G748" s="187"/>
    </row>
    <row r="749" ht="14.25" customHeight="1">
      <c r="G749" s="187"/>
    </row>
    <row r="750" ht="14.25" customHeight="1">
      <c r="G750" s="187"/>
    </row>
    <row r="751" ht="14.25" customHeight="1">
      <c r="G751" s="187"/>
    </row>
    <row r="752" ht="14.25" customHeight="1">
      <c r="G752" s="187"/>
    </row>
    <row r="753" ht="14.25" customHeight="1">
      <c r="G753" s="187"/>
    </row>
    <row r="754" ht="14.25" customHeight="1">
      <c r="G754" s="187"/>
    </row>
    <row r="755" ht="14.25" customHeight="1">
      <c r="G755" s="187"/>
    </row>
    <row r="756" ht="14.25" customHeight="1">
      <c r="G756" s="187"/>
    </row>
    <row r="757" ht="14.25" customHeight="1">
      <c r="G757" s="187"/>
    </row>
    <row r="758" ht="14.25" customHeight="1">
      <c r="G758" s="187"/>
    </row>
    <row r="759" ht="14.25" customHeight="1">
      <c r="G759" s="187"/>
    </row>
    <row r="760" ht="14.25" customHeight="1">
      <c r="G760" s="187"/>
    </row>
    <row r="761" ht="14.25" customHeight="1">
      <c r="G761" s="187"/>
    </row>
    <row r="762" ht="14.25" customHeight="1">
      <c r="G762" s="187"/>
    </row>
    <row r="763" ht="14.25" customHeight="1">
      <c r="G763" s="187"/>
    </row>
    <row r="764" ht="14.25" customHeight="1">
      <c r="G764" s="187"/>
    </row>
    <row r="765" ht="14.25" customHeight="1">
      <c r="G765" s="187"/>
    </row>
    <row r="766" ht="14.25" customHeight="1">
      <c r="G766" s="187"/>
    </row>
    <row r="767" ht="14.25" customHeight="1">
      <c r="G767" s="187"/>
    </row>
    <row r="768" ht="14.25" customHeight="1">
      <c r="G768" s="187"/>
    </row>
    <row r="769" ht="14.25" customHeight="1">
      <c r="G769" s="187"/>
    </row>
    <row r="770" ht="14.25" customHeight="1">
      <c r="G770" s="187"/>
    </row>
    <row r="771" ht="14.25" customHeight="1">
      <c r="G771" s="187"/>
    </row>
    <row r="772" ht="14.25" customHeight="1">
      <c r="G772" s="187"/>
    </row>
    <row r="773" ht="14.25" customHeight="1">
      <c r="G773" s="187"/>
    </row>
    <row r="774" ht="14.25" customHeight="1">
      <c r="G774" s="187"/>
    </row>
    <row r="775" ht="14.25" customHeight="1">
      <c r="G775" s="187"/>
    </row>
    <row r="776" ht="14.25" customHeight="1">
      <c r="G776" s="187"/>
    </row>
    <row r="777" ht="14.25" customHeight="1">
      <c r="G777" s="187"/>
    </row>
    <row r="778" ht="14.25" customHeight="1">
      <c r="G778" s="187"/>
    </row>
    <row r="779" ht="14.25" customHeight="1">
      <c r="G779" s="187"/>
    </row>
    <row r="780" ht="14.25" customHeight="1">
      <c r="G780" s="187"/>
    </row>
    <row r="781" ht="14.25" customHeight="1">
      <c r="G781" s="187"/>
    </row>
    <row r="782" ht="14.25" customHeight="1">
      <c r="G782" s="187"/>
    </row>
    <row r="783" ht="14.25" customHeight="1">
      <c r="G783" s="187"/>
    </row>
    <row r="784" ht="14.25" customHeight="1">
      <c r="G784" s="187"/>
    </row>
    <row r="785" ht="14.25" customHeight="1">
      <c r="G785" s="187"/>
    </row>
    <row r="786" ht="14.25" customHeight="1">
      <c r="G786" s="187"/>
    </row>
    <row r="787" ht="14.25" customHeight="1">
      <c r="G787" s="187"/>
    </row>
    <row r="788" ht="14.25" customHeight="1">
      <c r="G788" s="187"/>
    </row>
    <row r="789" ht="14.25" customHeight="1">
      <c r="G789" s="187"/>
    </row>
    <row r="790" ht="14.25" customHeight="1">
      <c r="G790" s="187"/>
    </row>
    <row r="791" ht="14.25" customHeight="1">
      <c r="G791" s="187"/>
    </row>
    <row r="792" ht="14.25" customHeight="1">
      <c r="G792" s="187"/>
    </row>
    <row r="793" ht="14.25" customHeight="1">
      <c r="G793" s="187"/>
    </row>
    <row r="794" ht="14.25" customHeight="1">
      <c r="G794" s="187"/>
    </row>
    <row r="795" ht="14.25" customHeight="1">
      <c r="G795" s="187"/>
    </row>
    <row r="796" ht="14.25" customHeight="1">
      <c r="G796" s="187"/>
    </row>
    <row r="797" ht="14.25" customHeight="1">
      <c r="G797" s="187"/>
    </row>
    <row r="798" ht="14.25" customHeight="1">
      <c r="G798" s="187"/>
    </row>
    <row r="799" ht="14.25" customHeight="1">
      <c r="G799" s="187"/>
    </row>
    <row r="800" ht="14.25" customHeight="1">
      <c r="G800" s="187"/>
    </row>
    <row r="801" ht="14.25" customHeight="1">
      <c r="G801" s="187"/>
    </row>
    <row r="802" ht="14.25" customHeight="1">
      <c r="G802" s="187"/>
    </row>
    <row r="803" ht="14.25" customHeight="1">
      <c r="G803" s="187"/>
    </row>
    <row r="804" ht="14.25" customHeight="1">
      <c r="G804" s="187"/>
    </row>
    <row r="805" ht="14.25" customHeight="1">
      <c r="G805" s="187"/>
    </row>
    <row r="806" ht="14.25" customHeight="1">
      <c r="G806" s="187"/>
    </row>
    <row r="807" ht="14.25" customHeight="1">
      <c r="G807" s="187"/>
    </row>
    <row r="808" ht="14.25" customHeight="1">
      <c r="G808" s="187"/>
    </row>
    <row r="809" ht="14.25" customHeight="1">
      <c r="G809" s="187"/>
    </row>
    <row r="810" ht="14.25" customHeight="1">
      <c r="G810" s="187"/>
    </row>
    <row r="811" ht="14.25" customHeight="1">
      <c r="G811" s="187"/>
    </row>
    <row r="812" ht="14.25" customHeight="1">
      <c r="G812" s="187"/>
    </row>
    <row r="813" ht="14.25" customHeight="1">
      <c r="G813" s="187"/>
    </row>
    <row r="814" ht="14.25" customHeight="1">
      <c r="G814" s="187"/>
    </row>
    <row r="815" ht="14.25" customHeight="1">
      <c r="G815" s="187"/>
    </row>
    <row r="816" ht="14.25" customHeight="1">
      <c r="G816" s="187"/>
    </row>
    <row r="817" ht="14.25" customHeight="1">
      <c r="G817" s="187"/>
    </row>
    <row r="818" ht="14.25" customHeight="1">
      <c r="G818" s="187"/>
    </row>
    <row r="819" ht="14.25" customHeight="1">
      <c r="G819" s="187"/>
    </row>
    <row r="820" ht="14.25" customHeight="1">
      <c r="G820" s="187"/>
    </row>
    <row r="821" ht="14.25" customHeight="1">
      <c r="G821" s="187"/>
    </row>
    <row r="822" ht="14.25" customHeight="1">
      <c r="G822" s="187"/>
    </row>
    <row r="823" ht="14.25" customHeight="1">
      <c r="G823" s="187"/>
    </row>
    <row r="824" ht="14.25" customHeight="1">
      <c r="G824" s="187"/>
    </row>
    <row r="825" ht="14.25" customHeight="1">
      <c r="G825" s="187"/>
    </row>
    <row r="826" ht="14.25" customHeight="1">
      <c r="G826" s="187"/>
    </row>
    <row r="827" ht="14.25" customHeight="1">
      <c r="G827" s="187"/>
    </row>
    <row r="828" ht="14.25" customHeight="1">
      <c r="G828" s="187"/>
    </row>
    <row r="829" ht="14.25" customHeight="1">
      <c r="G829" s="187"/>
    </row>
    <row r="830" ht="14.25" customHeight="1">
      <c r="G830" s="187"/>
    </row>
    <row r="831" ht="14.25" customHeight="1">
      <c r="G831" s="187"/>
    </row>
    <row r="832" ht="14.25" customHeight="1">
      <c r="G832" s="187"/>
    </row>
    <row r="833" ht="14.25" customHeight="1">
      <c r="G833" s="187"/>
    </row>
    <row r="834" ht="14.25" customHeight="1">
      <c r="G834" s="187"/>
    </row>
    <row r="835" ht="14.25" customHeight="1">
      <c r="G835" s="187"/>
    </row>
    <row r="836" ht="14.25" customHeight="1">
      <c r="G836" s="187"/>
    </row>
    <row r="837" ht="14.25" customHeight="1">
      <c r="G837" s="187"/>
    </row>
    <row r="838" ht="14.25" customHeight="1">
      <c r="G838" s="187"/>
    </row>
    <row r="839" ht="14.25" customHeight="1">
      <c r="G839" s="187"/>
    </row>
    <row r="840" ht="14.25" customHeight="1">
      <c r="G840" s="187"/>
    </row>
    <row r="841" ht="14.25" customHeight="1">
      <c r="G841" s="187"/>
    </row>
    <row r="842" ht="14.25" customHeight="1">
      <c r="G842" s="187"/>
    </row>
    <row r="843" ht="14.25" customHeight="1">
      <c r="G843" s="187"/>
    </row>
    <row r="844" ht="14.25" customHeight="1">
      <c r="G844" s="187"/>
    </row>
    <row r="845" ht="14.25" customHeight="1">
      <c r="G845" s="187"/>
    </row>
    <row r="846" ht="14.25" customHeight="1">
      <c r="G846" s="187"/>
    </row>
    <row r="847" ht="14.25" customHeight="1">
      <c r="G847" s="187"/>
    </row>
    <row r="848" ht="14.25" customHeight="1">
      <c r="G848" s="187"/>
    </row>
    <row r="849" ht="14.25" customHeight="1">
      <c r="G849" s="187"/>
    </row>
    <row r="850" ht="14.25" customHeight="1">
      <c r="G850" s="187"/>
    </row>
    <row r="851" ht="14.25" customHeight="1">
      <c r="G851" s="187"/>
    </row>
    <row r="852" ht="14.25" customHeight="1">
      <c r="G852" s="187"/>
    </row>
    <row r="853" ht="14.25" customHeight="1">
      <c r="G853" s="187"/>
    </row>
    <row r="854" ht="14.25" customHeight="1">
      <c r="G854" s="187"/>
    </row>
    <row r="855" ht="14.25" customHeight="1">
      <c r="G855" s="187"/>
    </row>
    <row r="856" ht="14.25" customHeight="1">
      <c r="G856" s="187"/>
    </row>
    <row r="857" ht="14.25" customHeight="1">
      <c r="G857" s="187"/>
    </row>
    <row r="858" ht="14.25" customHeight="1">
      <c r="G858" s="187"/>
    </row>
    <row r="859" ht="14.25" customHeight="1">
      <c r="G859" s="187"/>
    </row>
    <row r="860" ht="14.25" customHeight="1">
      <c r="G860" s="187"/>
    </row>
    <row r="861" ht="14.25" customHeight="1">
      <c r="G861" s="187"/>
    </row>
    <row r="862" ht="14.25" customHeight="1">
      <c r="G862" s="187"/>
    </row>
    <row r="863" ht="14.25" customHeight="1">
      <c r="G863" s="187"/>
    </row>
    <row r="864" ht="14.25" customHeight="1">
      <c r="G864" s="187"/>
    </row>
    <row r="865" ht="14.25" customHeight="1">
      <c r="G865" s="187"/>
    </row>
    <row r="866" ht="14.25" customHeight="1">
      <c r="G866" s="187"/>
    </row>
    <row r="867" ht="14.25" customHeight="1">
      <c r="G867" s="187"/>
    </row>
    <row r="868" ht="14.25" customHeight="1">
      <c r="G868" s="187"/>
    </row>
    <row r="869" ht="14.25" customHeight="1">
      <c r="G869" s="187"/>
    </row>
    <row r="870" ht="14.25" customHeight="1">
      <c r="G870" s="187"/>
    </row>
    <row r="871" ht="14.25" customHeight="1">
      <c r="G871" s="187"/>
    </row>
    <row r="872" ht="14.25" customHeight="1">
      <c r="G872" s="187"/>
    </row>
    <row r="873" ht="14.25" customHeight="1">
      <c r="G873" s="187"/>
    </row>
    <row r="874" ht="14.25" customHeight="1">
      <c r="G874" s="187"/>
    </row>
    <row r="875" ht="14.25" customHeight="1">
      <c r="G875" s="187"/>
    </row>
    <row r="876" ht="14.25" customHeight="1">
      <c r="G876" s="187"/>
    </row>
    <row r="877" ht="14.25" customHeight="1">
      <c r="G877" s="187"/>
    </row>
    <row r="878" ht="14.25" customHeight="1">
      <c r="G878" s="187"/>
    </row>
    <row r="879" ht="14.25" customHeight="1">
      <c r="G879" s="187"/>
    </row>
    <row r="880" ht="14.25" customHeight="1">
      <c r="G880" s="187"/>
    </row>
    <row r="881" ht="14.25" customHeight="1">
      <c r="G881" s="187"/>
    </row>
    <row r="882" ht="14.25" customHeight="1">
      <c r="G882" s="187"/>
    </row>
    <row r="883" ht="14.25" customHeight="1">
      <c r="G883" s="187"/>
    </row>
    <row r="884" ht="14.25" customHeight="1">
      <c r="G884" s="187"/>
    </row>
    <row r="885" ht="14.25" customHeight="1">
      <c r="G885" s="187"/>
    </row>
    <row r="886" ht="14.25" customHeight="1">
      <c r="G886" s="187"/>
    </row>
    <row r="887" ht="14.25" customHeight="1">
      <c r="G887" s="187"/>
    </row>
    <row r="888" ht="14.25" customHeight="1">
      <c r="G888" s="187"/>
    </row>
    <row r="889" ht="14.25" customHeight="1">
      <c r="G889" s="187"/>
    </row>
    <row r="890" ht="14.25" customHeight="1">
      <c r="G890" s="187"/>
    </row>
    <row r="891" ht="14.25" customHeight="1">
      <c r="G891" s="187"/>
    </row>
    <row r="892" ht="14.25" customHeight="1">
      <c r="G892" s="187"/>
    </row>
    <row r="893" ht="14.25" customHeight="1">
      <c r="G893" s="187"/>
    </row>
    <row r="894" ht="14.25" customHeight="1">
      <c r="G894" s="187"/>
    </row>
    <row r="895" ht="14.25" customHeight="1">
      <c r="G895" s="187"/>
    </row>
    <row r="896" ht="14.25" customHeight="1">
      <c r="G896" s="187"/>
    </row>
    <row r="897" ht="14.25" customHeight="1">
      <c r="G897" s="187"/>
    </row>
    <row r="898" ht="14.25" customHeight="1">
      <c r="G898" s="187"/>
    </row>
    <row r="899" ht="14.25" customHeight="1">
      <c r="G899" s="187"/>
    </row>
    <row r="900" ht="14.25" customHeight="1">
      <c r="G900" s="187"/>
    </row>
    <row r="901" ht="14.25" customHeight="1">
      <c r="G901" s="187"/>
    </row>
    <row r="902" ht="14.25" customHeight="1">
      <c r="G902" s="187"/>
    </row>
    <row r="903" ht="14.25" customHeight="1">
      <c r="G903" s="187"/>
    </row>
    <row r="904" ht="14.25" customHeight="1">
      <c r="G904" s="187"/>
    </row>
    <row r="905" ht="14.25" customHeight="1">
      <c r="G905" s="187"/>
    </row>
    <row r="906" ht="14.25" customHeight="1">
      <c r="G906" s="187"/>
    </row>
    <row r="907" ht="14.25" customHeight="1">
      <c r="G907" s="187"/>
    </row>
    <row r="908" ht="14.25" customHeight="1">
      <c r="G908" s="187"/>
    </row>
    <row r="909" ht="14.25" customHeight="1">
      <c r="G909" s="187"/>
    </row>
    <row r="910" ht="14.25" customHeight="1">
      <c r="G910" s="187"/>
    </row>
    <row r="911" ht="14.25" customHeight="1">
      <c r="G911" s="187"/>
    </row>
    <row r="912" ht="14.25" customHeight="1">
      <c r="G912" s="187"/>
    </row>
    <row r="913" ht="14.25" customHeight="1">
      <c r="G913" s="187"/>
    </row>
    <row r="914" ht="14.25" customHeight="1">
      <c r="G914" s="187"/>
    </row>
    <row r="915" ht="14.25" customHeight="1">
      <c r="G915" s="187"/>
    </row>
    <row r="916" ht="14.25" customHeight="1">
      <c r="G916" s="187"/>
    </row>
    <row r="917" ht="14.25" customHeight="1">
      <c r="G917" s="187"/>
    </row>
    <row r="918" ht="14.25" customHeight="1">
      <c r="G918" s="187"/>
    </row>
    <row r="919" ht="14.25" customHeight="1">
      <c r="G919" s="187"/>
    </row>
    <row r="920" ht="14.25" customHeight="1">
      <c r="G920" s="187"/>
    </row>
    <row r="921" ht="14.25" customHeight="1">
      <c r="G921" s="187"/>
    </row>
    <row r="922" ht="14.25" customHeight="1">
      <c r="G922" s="187"/>
    </row>
    <row r="923" ht="14.25" customHeight="1">
      <c r="G923" s="187"/>
    </row>
    <row r="924" ht="14.25" customHeight="1">
      <c r="G924" s="187"/>
    </row>
    <row r="925" ht="14.25" customHeight="1">
      <c r="G925" s="187"/>
    </row>
    <row r="926" ht="14.25" customHeight="1">
      <c r="G926" s="187"/>
    </row>
    <row r="927" ht="14.25" customHeight="1">
      <c r="G927" s="187"/>
    </row>
    <row r="928" ht="14.25" customHeight="1">
      <c r="G928" s="187"/>
    </row>
    <row r="929" ht="14.25" customHeight="1">
      <c r="G929" s="187"/>
    </row>
    <row r="930" ht="14.25" customHeight="1">
      <c r="G930" s="187"/>
    </row>
    <row r="931" ht="14.25" customHeight="1">
      <c r="G931" s="187"/>
    </row>
    <row r="932" ht="14.25" customHeight="1">
      <c r="G932" s="187"/>
    </row>
    <row r="933" ht="14.25" customHeight="1">
      <c r="G933" s="187"/>
    </row>
    <row r="934" ht="14.25" customHeight="1">
      <c r="G934" s="187"/>
    </row>
    <row r="935" ht="14.25" customHeight="1">
      <c r="G935" s="187"/>
    </row>
    <row r="936" ht="14.25" customHeight="1">
      <c r="G936" s="187"/>
    </row>
    <row r="937" ht="14.25" customHeight="1">
      <c r="G937" s="187"/>
    </row>
    <row r="938" ht="14.25" customHeight="1">
      <c r="G938" s="187"/>
    </row>
    <row r="939" ht="14.25" customHeight="1">
      <c r="G939" s="187"/>
    </row>
    <row r="940" ht="14.25" customHeight="1">
      <c r="G940" s="187"/>
    </row>
    <row r="941" ht="14.25" customHeight="1">
      <c r="G941" s="187"/>
    </row>
    <row r="942" ht="14.25" customHeight="1">
      <c r="G942" s="187"/>
    </row>
    <row r="943" ht="14.25" customHeight="1">
      <c r="G943" s="187"/>
    </row>
    <row r="944" ht="14.25" customHeight="1">
      <c r="G944" s="187"/>
    </row>
    <row r="945" ht="14.25" customHeight="1">
      <c r="G945" s="187"/>
    </row>
    <row r="946" ht="14.25" customHeight="1">
      <c r="G946" s="187"/>
    </row>
    <row r="947" ht="14.25" customHeight="1">
      <c r="G947" s="187"/>
    </row>
    <row r="948" ht="14.25" customHeight="1">
      <c r="G948" s="187"/>
    </row>
    <row r="949" ht="14.25" customHeight="1">
      <c r="G949" s="187"/>
    </row>
    <row r="950" ht="14.25" customHeight="1">
      <c r="G950" s="187"/>
    </row>
    <row r="951" ht="14.25" customHeight="1">
      <c r="G951" s="187"/>
    </row>
    <row r="952" ht="14.25" customHeight="1">
      <c r="G952" s="187"/>
    </row>
    <row r="953" ht="14.25" customHeight="1">
      <c r="G953" s="187"/>
    </row>
    <row r="954" ht="14.25" customHeight="1">
      <c r="G954" s="187"/>
    </row>
    <row r="955" ht="14.25" customHeight="1">
      <c r="G955" s="187"/>
    </row>
    <row r="956" ht="14.25" customHeight="1">
      <c r="G956" s="187"/>
    </row>
    <row r="957" ht="14.25" customHeight="1">
      <c r="G957" s="187"/>
    </row>
    <row r="958" ht="14.25" customHeight="1">
      <c r="G958" s="187"/>
    </row>
    <row r="959" ht="14.25" customHeight="1">
      <c r="G959" s="187"/>
    </row>
    <row r="960" ht="14.25" customHeight="1">
      <c r="G960" s="187"/>
    </row>
    <row r="961" ht="14.25" customHeight="1">
      <c r="G961" s="187"/>
    </row>
    <row r="962" ht="14.25" customHeight="1">
      <c r="G962" s="187"/>
    </row>
    <row r="963" ht="14.25" customHeight="1">
      <c r="G963" s="187"/>
    </row>
    <row r="964" ht="14.25" customHeight="1">
      <c r="G964" s="187"/>
    </row>
    <row r="965" ht="14.25" customHeight="1">
      <c r="G965" s="187"/>
    </row>
    <row r="966" ht="14.25" customHeight="1">
      <c r="G966" s="187"/>
    </row>
    <row r="967" ht="14.25" customHeight="1">
      <c r="G967" s="187"/>
    </row>
    <row r="968" ht="14.25" customHeight="1">
      <c r="G968" s="187"/>
    </row>
    <row r="969" ht="14.25" customHeight="1">
      <c r="G969" s="187"/>
    </row>
    <row r="970" ht="14.25" customHeight="1">
      <c r="G970" s="187"/>
    </row>
    <row r="971" ht="14.25" customHeight="1">
      <c r="G971" s="187"/>
    </row>
    <row r="972" ht="14.25" customHeight="1">
      <c r="G972" s="187"/>
    </row>
    <row r="973" ht="14.25" customHeight="1">
      <c r="G973" s="187"/>
    </row>
    <row r="974" ht="14.25" customHeight="1">
      <c r="G974" s="187"/>
    </row>
    <row r="975" ht="14.25" customHeight="1">
      <c r="G975" s="187"/>
    </row>
    <row r="976" ht="14.25" customHeight="1">
      <c r="G976" s="187"/>
    </row>
    <row r="977" ht="14.25" customHeight="1">
      <c r="G977" s="187"/>
    </row>
    <row r="978" ht="14.25" customHeight="1">
      <c r="G978" s="187"/>
    </row>
    <row r="979" ht="14.25" customHeight="1">
      <c r="G979" s="187"/>
    </row>
    <row r="980" ht="14.25" customHeight="1">
      <c r="G980" s="187"/>
    </row>
    <row r="981" ht="14.25" customHeight="1">
      <c r="G981" s="187"/>
    </row>
    <row r="982" ht="14.25" customHeight="1">
      <c r="G982" s="187"/>
    </row>
    <row r="983" ht="14.25" customHeight="1">
      <c r="G983" s="187"/>
    </row>
    <row r="984" ht="14.25" customHeight="1">
      <c r="G984" s="187"/>
    </row>
    <row r="985" ht="14.25" customHeight="1">
      <c r="G985" s="187"/>
    </row>
    <row r="986" ht="14.25" customHeight="1">
      <c r="G986" s="187"/>
    </row>
    <row r="987" ht="14.25" customHeight="1">
      <c r="G987" s="187"/>
    </row>
    <row r="988" ht="14.25" customHeight="1">
      <c r="G988" s="187"/>
    </row>
    <row r="989" ht="14.25" customHeight="1">
      <c r="G989" s="187"/>
    </row>
    <row r="990" ht="14.25" customHeight="1">
      <c r="G990" s="187"/>
    </row>
    <row r="991" ht="14.25" customHeight="1">
      <c r="G991" s="187"/>
    </row>
    <row r="992" ht="14.25" customHeight="1">
      <c r="G992" s="187"/>
    </row>
    <row r="993" ht="14.25" customHeight="1">
      <c r="G993" s="187"/>
    </row>
    <row r="994" ht="14.25" customHeight="1">
      <c r="G994" s="187"/>
    </row>
    <row r="995" ht="14.25" customHeight="1">
      <c r="G995" s="187"/>
    </row>
    <row r="996" ht="14.25" customHeight="1">
      <c r="G996" s="187"/>
    </row>
    <row r="997" ht="14.25" customHeight="1">
      <c r="G997" s="187"/>
    </row>
    <row r="998" ht="14.25" customHeight="1">
      <c r="G998" s="187"/>
    </row>
    <row r="999" ht="14.25" customHeight="1">
      <c r="G999" s="187"/>
    </row>
    <row r="1000" ht="14.25" customHeight="1">
      <c r="G1000" s="187"/>
    </row>
  </sheetData>
  <mergeCells count="41">
    <mergeCell ref="AM6:AM7"/>
    <mergeCell ref="AN6:AN7"/>
    <mergeCell ref="AO9:AW9"/>
    <mergeCell ref="AP28:AQ28"/>
    <mergeCell ref="AP29:AQ29"/>
    <mergeCell ref="AP30:AQ30"/>
    <mergeCell ref="AO37:AU37"/>
    <mergeCell ref="A5:D5"/>
    <mergeCell ref="B6:B7"/>
    <mergeCell ref="C6:C7"/>
    <mergeCell ref="D6:D7"/>
    <mergeCell ref="E6:E7"/>
    <mergeCell ref="F6:F7"/>
    <mergeCell ref="G6:G7"/>
    <mergeCell ref="B29:B30"/>
    <mergeCell ref="C29:C30"/>
    <mergeCell ref="D29:D30"/>
    <mergeCell ref="G29:G35"/>
    <mergeCell ref="B31:B32"/>
    <mergeCell ref="C31:C32"/>
    <mergeCell ref="D31:D32"/>
    <mergeCell ref="D33:D34"/>
    <mergeCell ref="B33:B34"/>
    <mergeCell ref="C33:C34"/>
    <mergeCell ref="B35:B36"/>
    <mergeCell ref="C35:C36"/>
    <mergeCell ref="D35:D36"/>
    <mergeCell ref="F37:F44"/>
    <mergeCell ref="G37:G42"/>
    <mergeCell ref="A66:G66"/>
    <mergeCell ref="E70:G70"/>
    <mergeCell ref="L70:S70"/>
    <mergeCell ref="E72:G72"/>
    <mergeCell ref="E74:G74"/>
    <mergeCell ref="A48:A49"/>
    <mergeCell ref="B48:B49"/>
    <mergeCell ref="C48:C49"/>
    <mergeCell ref="D48:D49"/>
    <mergeCell ref="B58:G58"/>
    <mergeCell ref="B59:G59"/>
    <mergeCell ref="B60:G60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5.43"/>
    <col customWidth="1" min="6" max="6" width="9.29"/>
    <col customWidth="1" min="7" max="7" width="7.43"/>
    <col customWidth="1" min="8" max="8" width="5.14"/>
    <col customWidth="1" min="9" max="9" width="4.71"/>
    <col customWidth="1" min="10" max="10" width="4.43"/>
    <col customWidth="1" min="11" max="11" width="4.71"/>
    <col customWidth="1" min="12" max="14" width="5.29"/>
    <col customWidth="1" min="15" max="15" width="5.14"/>
    <col customWidth="1" min="16" max="16" width="5.29"/>
    <col customWidth="1" min="17" max="17" width="4.57"/>
    <col customWidth="1" min="18" max="18" width="5.29"/>
    <col customWidth="1" min="19" max="19" width="5.0"/>
    <col customWidth="1" min="20" max="20" width="5.29"/>
    <col customWidth="1" min="21" max="21" width="5.0"/>
    <col customWidth="1" min="22" max="23" width="5.29"/>
    <col customWidth="1" min="24" max="24" width="5.14"/>
    <col customWidth="1" min="25" max="25" width="4.71"/>
    <col customWidth="1" min="26" max="26" width="5.0"/>
    <col customWidth="1" min="27" max="27" width="4.86"/>
    <col customWidth="1" min="28" max="30" width="5.0"/>
    <col customWidth="1" min="31" max="31" width="5.29"/>
    <col customWidth="1" min="32" max="32" width="4.57"/>
    <col customWidth="1" min="33" max="33" width="4.71"/>
    <col customWidth="1" min="34" max="37" width="4.57"/>
    <col customWidth="1" min="38" max="38" width="12.71"/>
    <col customWidth="1" min="39" max="39" width="17.43"/>
    <col customWidth="1" min="40" max="40" width="17.57"/>
    <col customWidth="1" min="41" max="41" width="11.71"/>
    <col customWidth="1" min="42" max="48" width="8.71"/>
  </cols>
  <sheetData>
    <row r="1" ht="14.25" customHeight="1">
      <c r="A1" s="2"/>
      <c r="B1" s="3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6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2"/>
      <c r="G3" s="4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2"/>
      <c r="G4" s="4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173</v>
      </c>
      <c r="B5" s="9"/>
      <c r="C5" s="9"/>
      <c r="D5" s="9"/>
      <c r="E5" s="2"/>
      <c r="F5" s="2"/>
      <c r="G5" s="4"/>
      <c r="H5" s="5"/>
      <c r="I5" s="5"/>
      <c r="J5" s="5"/>
      <c r="K5" s="5"/>
      <c r="L5" s="5"/>
      <c r="M5" s="5"/>
      <c r="N5" s="5"/>
      <c r="O5" s="5"/>
      <c r="P5" s="5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 t="s">
        <v>12</v>
      </c>
      <c r="G6" s="13" t="s">
        <v>13</v>
      </c>
      <c r="H6" s="15">
        <v>1.0</v>
      </c>
      <c r="I6" s="15">
        <f t="shared" ref="I6:AB6" si="1">H6+1</f>
        <v>2</v>
      </c>
      <c r="J6" s="15">
        <f t="shared" si="1"/>
        <v>3</v>
      </c>
      <c r="K6" s="15">
        <f t="shared" si="1"/>
        <v>4</v>
      </c>
      <c r="L6" s="15">
        <f t="shared" si="1"/>
        <v>5</v>
      </c>
      <c r="M6" s="15">
        <f t="shared" si="1"/>
        <v>6</v>
      </c>
      <c r="N6" s="15">
        <f t="shared" si="1"/>
        <v>7</v>
      </c>
      <c r="O6" s="15">
        <f t="shared" si="1"/>
        <v>8</v>
      </c>
      <c r="P6" s="15">
        <f t="shared" si="1"/>
        <v>9</v>
      </c>
      <c r="Q6" s="15">
        <f t="shared" si="1"/>
        <v>10</v>
      </c>
      <c r="R6" s="15">
        <f t="shared" si="1"/>
        <v>11</v>
      </c>
      <c r="S6" s="15">
        <f t="shared" si="1"/>
        <v>12</v>
      </c>
      <c r="T6" s="15">
        <f t="shared" si="1"/>
        <v>13</v>
      </c>
      <c r="U6" s="15">
        <f t="shared" si="1"/>
        <v>14</v>
      </c>
      <c r="V6" s="15">
        <f t="shared" si="1"/>
        <v>15</v>
      </c>
      <c r="W6" s="15">
        <f t="shared" si="1"/>
        <v>16</v>
      </c>
      <c r="X6" s="15">
        <f t="shared" si="1"/>
        <v>17</v>
      </c>
      <c r="Y6" s="15">
        <f t="shared" si="1"/>
        <v>18</v>
      </c>
      <c r="Z6" s="15">
        <f t="shared" si="1"/>
        <v>19</v>
      </c>
      <c r="AA6" s="15">
        <f t="shared" si="1"/>
        <v>20</v>
      </c>
      <c r="AB6" s="15">
        <f t="shared" si="1"/>
        <v>21</v>
      </c>
      <c r="AC6" s="15">
        <v>22.0</v>
      </c>
      <c r="AD6" s="15">
        <v>23.0</v>
      </c>
      <c r="AE6" s="15">
        <v>24.0</v>
      </c>
      <c r="AF6" s="15">
        <v>25.0</v>
      </c>
      <c r="AG6" s="15">
        <v>26.0</v>
      </c>
      <c r="AH6" s="15">
        <v>27.0</v>
      </c>
      <c r="AI6" s="15">
        <v>28.0</v>
      </c>
      <c r="AJ6" s="15">
        <v>29.0</v>
      </c>
      <c r="AK6" s="15">
        <v>30.0</v>
      </c>
      <c r="AL6" s="13" t="s">
        <v>14</v>
      </c>
      <c r="AM6" s="13" t="s">
        <v>15</v>
      </c>
    </row>
    <row r="7" ht="14.25" customHeight="1">
      <c r="A7" s="16"/>
      <c r="B7" s="17"/>
      <c r="C7" s="17"/>
      <c r="D7" s="17"/>
      <c r="E7" s="17"/>
      <c r="F7" s="17"/>
      <c r="G7" s="17"/>
      <c r="H7" s="18" t="s">
        <v>16</v>
      </c>
      <c r="I7" s="18" t="s">
        <v>17</v>
      </c>
      <c r="J7" s="18" t="s">
        <v>18</v>
      </c>
      <c r="K7" s="18" t="s">
        <v>19</v>
      </c>
      <c r="L7" s="18" t="s">
        <v>20</v>
      </c>
      <c r="M7" s="18" t="s">
        <v>21</v>
      </c>
      <c r="N7" s="18" t="s">
        <v>22</v>
      </c>
      <c r="O7" s="18" t="s">
        <v>16</v>
      </c>
      <c r="P7" s="18" t="s">
        <v>17</v>
      </c>
      <c r="Q7" s="18" t="s">
        <v>18</v>
      </c>
      <c r="R7" s="18" t="s">
        <v>19</v>
      </c>
      <c r="S7" s="18" t="s">
        <v>20</v>
      </c>
      <c r="T7" s="18" t="s">
        <v>21</v>
      </c>
      <c r="U7" s="18" t="s">
        <v>22</v>
      </c>
      <c r="V7" s="18" t="s">
        <v>16</v>
      </c>
      <c r="W7" s="18" t="s">
        <v>17</v>
      </c>
      <c r="X7" s="18" t="s">
        <v>18</v>
      </c>
      <c r="Y7" s="18" t="s">
        <v>19</v>
      </c>
      <c r="Z7" s="18" t="s">
        <v>20</v>
      </c>
      <c r="AA7" s="18" t="s">
        <v>21</v>
      </c>
      <c r="AB7" s="18" t="s">
        <v>22</v>
      </c>
      <c r="AC7" s="18" t="s">
        <v>16</v>
      </c>
      <c r="AD7" s="18" t="s">
        <v>17</v>
      </c>
      <c r="AE7" s="18" t="s">
        <v>18</v>
      </c>
      <c r="AF7" s="18" t="s">
        <v>19</v>
      </c>
      <c r="AG7" s="18" t="s">
        <v>20</v>
      </c>
      <c r="AH7" s="18" t="s">
        <v>21</v>
      </c>
      <c r="AI7" s="18" t="s">
        <v>22</v>
      </c>
      <c r="AJ7" s="18" t="s">
        <v>16</v>
      </c>
      <c r="AK7" s="18" t="s">
        <v>17</v>
      </c>
      <c r="AL7" s="17"/>
      <c r="AM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2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7">
        <v>12.0</v>
      </c>
      <c r="G9" s="28" t="s">
        <v>26</v>
      </c>
      <c r="H9" s="29">
        <v>12.0</v>
      </c>
      <c r="I9" s="29">
        <v>12.0</v>
      </c>
      <c r="J9" s="30">
        <v>12.0</v>
      </c>
      <c r="K9" s="30">
        <v>12.0</v>
      </c>
      <c r="L9" s="29"/>
      <c r="M9" s="29">
        <v>12.0</v>
      </c>
      <c r="N9" s="29">
        <v>12.0</v>
      </c>
      <c r="O9" s="29">
        <v>12.0</v>
      </c>
      <c r="P9" s="29">
        <v>12.0</v>
      </c>
      <c r="Q9" s="30">
        <v>12.0</v>
      </c>
      <c r="R9" s="30">
        <v>12.0</v>
      </c>
      <c r="S9" s="29"/>
      <c r="T9" s="29">
        <v>12.0</v>
      </c>
      <c r="U9" s="29">
        <v>12.0</v>
      </c>
      <c r="V9" s="29">
        <v>12.0</v>
      </c>
      <c r="W9" s="29">
        <v>12.0</v>
      </c>
      <c r="X9" s="30">
        <v>12.0</v>
      </c>
      <c r="Y9" s="30">
        <v>12.0</v>
      </c>
      <c r="Z9" s="29"/>
      <c r="AA9" s="29">
        <v>12.0</v>
      </c>
      <c r="AB9" s="29">
        <v>12.0</v>
      </c>
      <c r="AC9" s="29">
        <v>12.0</v>
      </c>
      <c r="AD9" s="29">
        <v>12.0</v>
      </c>
      <c r="AE9" s="30">
        <v>12.0</v>
      </c>
      <c r="AF9" s="30">
        <v>12.0</v>
      </c>
      <c r="AG9" s="29"/>
      <c r="AH9" s="29">
        <v>12.0</v>
      </c>
      <c r="AI9" s="29">
        <v>12.0</v>
      </c>
      <c r="AJ9" s="29">
        <v>12.0</v>
      </c>
      <c r="AK9" s="29">
        <v>12.0</v>
      </c>
      <c r="AL9" s="31">
        <f t="shared" ref="AL9:AL18" si="2">AM9/F9</f>
        <v>26</v>
      </c>
      <c r="AM9" s="32">
        <f t="shared" ref="AM9:AM18" si="3">SUM(H9:AK9)</f>
        <v>312</v>
      </c>
      <c r="AN9" s="33" t="s">
        <v>177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7">
        <v>12.0</v>
      </c>
      <c r="G10" s="28" t="s">
        <v>30</v>
      </c>
      <c r="H10" s="29"/>
      <c r="I10" s="29">
        <v>12.0</v>
      </c>
      <c r="J10" s="30">
        <v>12.0</v>
      </c>
      <c r="K10" s="30"/>
      <c r="L10" s="29"/>
      <c r="M10" s="29">
        <v>12.0</v>
      </c>
      <c r="N10" s="29">
        <v>12.0</v>
      </c>
      <c r="O10" s="29">
        <v>12.0</v>
      </c>
      <c r="P10" s="29">
        <v>12.0</v>
      </c>
      <c r="Q10" s="30">
        <v>12.0</v>
      </c>
      <c r="R10" s="30"/>
      <c r="S10" s="29"/>
      <c r="T10" s="29">
        <v>12.0</v>
      </c>
      <c r="U10" s="29">
        <v>12.0</v>
      </c>
      <c r="V10" s="29">
        <v>12.0</v>
      </c>
      <c r="W10" s="29">
        <v>12.0</v>
      </c>
      <c r="X10" s="30">
        <v>12.0</v>
      </c>
      <c r="Y10" s="30"/>
      <c r="Z10" s="29"/>
      <c r="AA10" s="29">
        <v>12.0</v>
      </c>
      <c r="AB10" s="29">
        <v>12.0</v>
      </c>
      <c r="AC10" s="29">
        <v>12.0</v>
      </c>
      <c r="AD10" s="29">
        <v>12.0</v>
      </c>
      <c r="AE10" s="30">
        <v>12.0</v>
      </c>
      <c r="AF10" s="30"/>
      <c r="AG10" s="29"/>
      <c r="AH10" s="29">
        <v>12.0</v>
      </c>
      <c r="AI10" s="29">
        <v>12.0</v>
      </c>
      <c r="AJ10" s="29">
        <v>12.0</v>
      </c>
      <c r="AK10" s="29">
        <v>12.0</v>
      </c>
      <c r="AL10" s="31">
        <f t="shared" si="2"/>
        <v>21</v>
      </c>
      <c r="AM10" s="32">
        <f t="shared" si="3"/>
        <v>252</v>
      </c>
    </row>
    <row r="11" ht="14.25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6">
        <v>9.0</v>
      </c>
      <c r="G11" s="28" t="s">
        <v>30</v>
      </c>
      <c r="H11" s="29"/>
      <c r="I11" s="29">
        <v>9.0</v>
      </c>
      <c r="J11" s="30">
        <v>9.0</v>
      </c>
      <c r="K11" s="30"/>
      <c r="L11" s="29"/>
      <c r="M11" s="29">
        <v>9.0</v>
      </c>
      <c r="N11" s="29">
        <v>9.0</v>
      </c>
      <c r="O11" s="29">
        <v>9.0</v>
      </c>
      <c r="P11" s="29">
        <v>9.0</v>
      </c>
      <c r="Q11" s="30">
        <v>9.0</v>
      </c>
      <c r="R11" s="30"/>
      <c r="S11" s="29"/>
      <c r="T11" s="29">
        <v>9.0</v>
      </c>
      <c r="U11" s="29">
        <v>9.0</v>
      </c>
      <c r="V11" s="29">
        <v>9.0</v>
      </c>
      <c r="W11" s="29">
        <v>9.0</v>
      </c>
      <c r="X11" s="30">
        <v>9.0</v>
      </c>
      <c r="Y11" s="30"/>
      <c r="Z11" s="29"/>
      <c r="AA11" s="29">
        <v>9.0</v>
      </c>
      <c r="AB11" s="29">
        <v>9.0</v>
      </c>
      <c r="AC11" s="29">
        <v>9.0</v>
      </c>
      <c r="AD11" s="29">
        <v>9.0</v>
      </c>
      <c r="AE11" s="30">
        <v>9.0</v>
      </c>
      <c r="AF11" s="30"/>
      <c r="AG11" s="29"/>
      <c r="AH11" s="29">
        <v>9.0</v>
      </c>
      <c r="AI11" s="29">
        <v>9.0</v>
      </c>
      <c r="AJ11" s="29">
        <v>9.0</v>
      </c>
      <c r="AK11" s="29">
        <v>9.0</v>
      </c>
      <c r="AL11" s="31">
        <f t="shared" si="2"/>
        <v>21</v>
      </c>
      <c r="AM11" s="32">
        <f t="shared" si="3"/>
        <v>189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7">
        <v>9.0</v>
      </c>
      <c r="G12" s="28" t="s">
        <v>30</v>
      </c>
      <c r="H12" s="29"/>
      <c r="I12" s="29">
        <v>9.0</v>
      </c>
      <c r="J12" s="30">
        <v>9.0</v>
      </c>
      <c r="K12" s="30"/>
      <c r="L12" s="29"/>
      <c r="M12" s="29">
        <v>9.0</v>
      </c>
      <c r="N12" s="29">
        <v>9.0</v>
      </c>
      <c r="O12" s="29">
        <v>9.0</v>
      </c>
      <c r="P12" s="29">
        <v>9.0</v>
      </c>
      <c r="Q12" s="30">
        <v>9.0</v>
      </c>
      <c r="R12" s="30"/>
      <c r="S12" s="29"/>
      <c r="T12" s="29">
        <v>9.0</v>
      </c>
      <c r="U12" s="29">
        <v>9.0</v>
      </c>
      <c r="V12" s="29">
        <v>9.0</v>
      </c>
      <c r="W12" s="29"/>
      <c r="X12" s="30">
        <v>9.0</v>
      </c>
      <c r="Y12" s="30"/>
      <c r="Z12" s="29"/>
      <c r="AA12" s="29">
        <v>9.0</v>
      </c>
      <c r="AB12" s="29">
        <v>9.0</v>
      </c>
      <c r="AC12" s="29">
        <v>9.0</v>
      </c>
      <c r="AD12" s="29">
        <v>9.0</v>
      </c>
      <c r="AE12" s="30">
        <v>9.0</v>
      </c>
      <c r="AF12" s="30"/>
      <c r="AG12" s="29"/>
      <c r="AH12" s="29">
        <v>9.0</v>
      </c>
      <c r="AI12" s="29">
        <v>9.0</v>
      </c>
      <c r="AJ12" s="29">
        <v>9.0</v>
      </c>
      <c r="AK12" s="29">
        <v>9.0</v>
      </c>
      <c r="AL12" s="31">
        <f t="shared" si="2"/>
        <v>20</v>
      </c>
      <c r="AM12" s="32">
        <f t="shared" si="3"/>
        <v>180</v>
      </c>
    </row>
    <row r="13" ht="14.25" customHeight="1">
      <c r="A13" s="24">
        <v>5.0</v>
      </c>
      <c r="B13" s="35" t="s">
        <v>36</v>
      </c>
      <c r="C13" s="27">
        <v>1.0</v>
      </c>
      <c r="D13" s="36" t="s">
        <v>180</v>
      </c>
      <c r="E13" s="27" t="s">
        <v>33</v>
      </c>
      <c r="F13" s="27">
        <v>9.0</v>
      </c>
      <c r="G13" s="28" t="s">
        <v>30</v>
      </c>
      <c r="H13" s="29"/>
      <c r="I13" s="29">
        <v>9.0</v>
      </c>
      <c r="J13" s="30">
        <v>9.0</v>
      </c>
      <c r="K13" s="30"/>
      <c r="L13" s="29"/>
      <c r="M13" s="29">
        <v>9.0</v>
      </c>
      <c r="N13" s="29">
        <v>9.0</v>
      </c>
      <c r="O13" s="29">
        <v>9.0</v>
      </c>
      <c r="P13" s="29">
        <v>9.0</v>
      </c>
      <c r="Q13" s="30">
        <v>9.0</v>
      </c>
      <c r="R13" s="30"/>
      <c r="S13" s="29"/>
      <c r="T13" s="29">
        <v>9.0</v>
      </c>
      <c r="U13" s="29">
        <v>9.0</v>
      </c>
      <c r="V13" s="29">
        <v>9.0</v>
      </c>
      <c r="W13" s="29">
        <v>9.0</v>
      </c>
      <c r="X13" s="30">
        <v>9.0</v>
      </c>
      <c r="Y13" s="30"/>
      <c r="Z13" s="29"/>
      <c r="AA13" s="29">
        <v>9.0</v>
      </c>
      <c r="AB13" s="29">
        <v>9.0</v>
      </c>
      <c r="AC13" s="29">
        <v>9.0</v>
      </c>
      <c r="AD13" s="29">
        <v>9.0</v>
      </c>
      <c r="AE13" s="30">
        <v>9.0</v>
      </c>
      <c r="AF13" s="30"/>
      <c r="AG13" s="29"/>
      <c r="AH13" s="29">
        <v>9.0</v>
      </c>
      <c r="AI13" s="29">
        <v>9.0</v>
      </c>
      <c r="AJ13" s="29">
        <v>9.0</v>
      </c>
      <c r="AK13" s="29">
        <v>9.0</v>
      </c>
      <c r="AL13" s="31">
        <f t="shared" si="2"/>
        <v>21</v>
      </c>
      <c r="AM13" s="32">
        <f t="shared" si="3"/>
        <v>189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183</v>
      </c>
      <c r="E14" s="27" t="s">
        <v>40</v>
      </c>
      <c r="F14" s="27">
        <v>12.0</v>
      </c>
      <c r="G14" s="28" t="s">
        <v>30</v>
      </c>
      <c r="H14" s="29">
        <v>12.0</v>
      </c>
      <c r="I14" s="44">
        <v>12.0</v>
      </c>
      <c r="J14" s="46"/>
      <c r="K14" s="30">
        <v>12.0</v>
      </c>
      <c r="L14" s="29">
        <v>12.0</v>
      </c>
      <c r="M14" s="29">
        <v>12.0</v>
      </c>
      <c r="N14" s="29"/>
      <c r="O14" s="29"/>
      <c r="P14" s="29"/>
      <c r="Q14" s="30"/>
      <c r="R14" s="30"/>
      <c r="S14" s="29"/>
      <c r="T14" s="29"/>
      <c r="U14" s="29"/>
      <c r="V14" s="29"/>
      <c r="W14" s="29"/>
      <c r="X14" s="30"/>
      <c r="Y14" s="30"/>
      <c r="Z14" s="29"/>
      <c r="AA14" s="29"/>
      <c r="AB14" s="29"/>
      <c r="AC14" s="29"/>
      <c r="AD14" s="29"/>
      <c r="AE14" s="30"/>
      <c r="AF14" s="30"/>
      <c r="AG14" s="29"/>
      <c r="AH14" s="29"/>
      <c r="AI14" s="29"/>
      <c r="AJ14" s="29"/>
      <c r="AK14" s="29"/>
      <c r="AL14" s="31">
        <f t="shared" si="2"/>
        <v>5</v>
      </c>
      <c r="AM14" s="32">
        <f t="shared" si="3"/>
        <v>60</v>
      </c>
    </row>
    <row r="15" ht="14.25" customHeight="1">
      <c r="A15" s="34">
        <v>7.0</v>
      </c>
      <c r="B15" s="25" t="s">
        <v>38</v>
      </c>
      <c r="C15" s="27">
        <v>1.0</v>
      </c>
      <c r="D15" s="37" t="s">
        <v>185</v>
      </c>
      <c r="E15" s="27" t="s">
        <v>40</v>
      </c>
      <c r="F15" s="27">
        <v>12.0</v>
      </c>
      <c r="G15" s="28" t="s">
        <v>30</v>
      </c>
      <c r="H15" s="29"/>
      <c r="I15" s="44"/>
      <c r="J15" s="46">
        <v>12.0</v>
      </c>
      <c r="K15" s="30"/>
      <c r="L15" s="29"/>
      <c r="M15" s="29"/>
      <c r="N15" s="29">
        <v>12.0</v>
      </c>
      <c r="O15" s="29">
        <v>12.0</v>
      </c>
      <c r="P15" s="29">
        <v>12.0</v>
      </c>
      <c r="Q15" s="30">
        <v>12.0</v>
      </c>
      <c r="R15" s="30"/>
      <c r="S15" s="29">
        <v>12.0</v>
      </c>
      <c r="T15" s="29">
        <v>12.0</v>
      </c>
      <c r="U15" s="29">
        <v>12.0</v>
      </c>
      <c r="V15" s="29">
        <v>12.0</v>
      </c>
      <c r="W15" s="29"/>
      <c r="X15" s="30">
        <v>12.0</v>
      </c>
      <c r="Y15" s="30"/>
      <c r="Z15" s="29"/>
      <c r="AA15" s="29">
        <v>12.0</v>
      </c>
      <c r="AB15" s="29">
        <v>12.0</v>
      </c>
      <c r="AC15" s="29">
        <v>12.0</v>
      </c>
      <c r="AD15" s="29">
        <v>12.0</v>
      </c>
      <c r="AE15" s="30"/>
      <c r="AF15" s="30">
        <v>12.0</v>
      </c>
      <c r="AG15" s="29"/>
      <c r="AH15" s="29">
        <v>12.0</v>
      </c>
      <c r="AI15" s="29">
        <v>12.0</v>
      </c>
      <c r="AJ15" s="29"/>
      <c r="AK15" s="29"/>
      <c r="AL15" s="31">
        <f t="shared" si="2"/>
        <v>17</v>
      </c>
      <c r="AM15" s="32">
        <f t="shared" si="3"/>
        <v>204</v>
      </c>
    </row>
    <row r="16" ht="14.25" customHeight="1">
      <c r="A16" s="34">
        <v>8.0</v>
      </c>
      <c r="B16" s="25" t="s">
        <v>38</v>
      </c>
      <c r="C16" s="27">
        <v>1.0</v>
      </c>
      <c r="D16" s="37" t="s">
        <v>186</v>
      </c>
      <c r="E16" s="27" t="s">
        <v>40</v>
      </c>
      <c r="F16" s="27">
        <v>12.0</v>
      </c>
      <c r="G16" s="28" t="s">
        <v>30</v>
      </c>
      <c r="H16" s="29"/>
      <c r="I16" s="44"/>
      <c r="J16" s="46"/>
      <c r="K16" s="30"/>
      <c r="L16" s="29"/>
      <c r="M16" s="29"/>
      <c r="N16" s="29"/>
      <c r="O16" s="29"/>
      <c r="P16" s="29"/>
      <c r="Q16" s="30"/>
      <c r="R16" s="30"/>
      <c r="S16" s="29"/>
      <c r="T16" s="29"/>
      <c r="U16" s="29"/>
      <c r="V16" s="29"/>
      <c r="W16" s="29">
        <v>12.0</v>
      </c>
      <c r="X16" s="30"/>
      <c r="Y16" s="30">
        <v>12.0</v>
      </c>
      <c r="Z16" s="29"/>
      <c r="AA16" s="29"/>
      <c r="AB16" s="29"/>
      <c r="AC16" s="29"/>
      <c r="AD16" s="29"/>
      <c r="AE16" s="30"/>
      <c r="AF16" s="30"/>
      <c r="AG16" s="29"/>
      <c r="AH16" s="29"/>
      <c r="AI16" s="29"/>
      <c r="AJ16" s="29"/>
      <c r="AK16" s="29"/>
      <c r="AL16" s="31">
        <f t="shared" si="2"/>
        <v>2</v>
      </c>
      <c r="AM16" s="32">
        <f t="shared" si="3"/>
        <v>24</v>
      </c>
    </row>
    <row r="17" ht="14.25" customHeight="1">
      <c r="A17" s="34">
        <v>9.0</v>
      </c>
      <c r="B17" s="25" t="s">
        <v>38</v>
      </c>
      <c r="C17" s="27">
        <v>1.0</v>
      </c>
      <c r="D17" s="90" t="s">
        <v>179</v>
      </c>
      <c r="E17" s="27" t="s">
        <v>40</v>
      </c>
      <c r="F17" s="27">
        <v>12.0</v>
      </c>
      <c r="G17" s="28" t="s">
        <v>30</v>
      </c>
      <c r="H17" s="29"/>
      <c r="I17" s="44"/>
      <c r="J17" s="46"/>
      <c r="K17" s="30"/>
      <c r="L17" s="29"/>
      <c r="M17" s="29"/>
      <c r="N17" s="29"/>
      <c r="O17" s="29"/>
      <c r="P17" s="29"/>
      <c r="Q17" s="30"/>
      <c r="R17" s="30"/>
      <c r="S17" s="29"/>
      <c r="T17" s="29"/>
      <c r="U17" s="29"/>
      <c r="V17" s="29"/>
      <c r="W17" s="29"/>
      <c r="X17" s="30"/>
      <c r="Y17" s="30">
        <v>12.0</v>
      </c>
      <c r="Z17" s="29">
        <v>12.0</v>
      </c>
      <c r="AA17" s="192"/>
      <c r="AB17" s="29"/>
      <c r="AC17" s="29"/>
      <c r="AD17" s="29"/>
      <c r="AE17" s="30">
        <v>12.0</v>
      </c>
      <c r="AF17" s="30"/>
      <c r="AG17" s="29"/>
      <c r="AH17" s="29"/>
      <c r="AI17" s="29"/>
      <c r="AJ17" s="29"/>
      <c r="AK17" s="29"/>
      <c r="AL17" s="31">
        <f t="shared" si="2"/>
        <v>3</v>
      </c>
      <c r="AM17" s="32">
        <f t="shared" si="3"/>
        <v>36</v>
      </c>
    </row>
    <row r="18" ht="14.25" customHeight="1">
      <c r="A18" s="34"/>
      <c r="B18" s="25" t="s">
        <v>38</v>
      </c>
      <c r="C18" s="27">
        <v>1.0</v>
      </c>
      <c r="D18" s="37" t="s">
        <v>42</v>
      </c>
      <c r="E18" s="27" t="s">
        <v>40</v>
      </c>
      <c r="F18" s="65">
        <v>12.0</v>
      </c>
      <c r="G18" s="28" t="s">
        <v>30</v>
      </c>
      <c r="H18" s="29"/>
      <c r="I18" s="44"/>
      <c r="J18" s="46"/>
      <c r="K18" s="30"/>
      <c r="L18" s="29"/>
      <c r="M18" s="29"/>
      <c r="N18" s="29"/>
      <c r="O18" s="29"/>
      <c r="P18" s="29"/>
      <c r="Q18" s="30"/>
      <c r="R18" s="30"/>
      <c r="S18" s="29"/>
      <c r="T18" s="29"/>
      <c r="U18" s="29"/>
      <c r="V18" s="29"/>
      <c r="W18" s="29"/>
      <c r="X18" s="30"/>
      <c r="Y18" s="30"/>
      <c r="Z18" s="29"/>
      <c r="AA18" s="29"/>
      <c r="AB18" s="29"/>
      <c r="AC18" s="29"/>
      <c r="AD18" s="29"/>
      <c r="AE18" s="30"/>
      <c r="AF18" s="30"/>
      <c r="AG18" s="29"/>
      <c r="AH18" s="29"/>
      <c r="AI18" s="29"/>
      <c r="AJ18" s="29">
        <v>12.0</v>
      </c>
      <c r="AK18" s="29">
        <v>12.0</v>
      </c>
      <c r="AL18" s="31">
        <f t="shared" si="2"/>
        <v>2</v>
      </c>
      <c r="AM18" s="32">
        <f t="shared" si="3"/>
        <v>24</v>
      </c>
    </row>
    <row r="19" ht="14.25" customHeight="1">
      <c r="A19" s="19"/>
      <c r="B19" s="20" t="s">
        <v>41</v>
      </c>
      <c r="C19" s="21"/>
      <c r="D19" s="20" t="s">
        <v>41</v>
      </c>
      <c r="E19" s="21"/>
      <c r="F19" s="38"/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3"/>
      <c r="AM19" s="45"/>
    </row>
    <row r="20" ht="14.25" customHeight="1">
      <c r="A20" s="24">
        <v>8.0</v>
      </c>
      <c r="B20" s="25" t="s">
        <v>181</v>
      </c>
      <c r="C20" s="26">
        <v>1.0</v>
      </c>
      <c r="D20" s="25" t="s">
        <v>63</v>
      </c>
      <c r="E20" s="26" t="s">
        <v>182</v>
      </c>
      <c r="F20" s="26">
        <v>9.0</v>
      </c>
      <c r="G20" s="47" t="s">
        <v>65</v>
      </c>
      <c r="H20" s="48"/>
      <c r="I20" s="48"/>
      <c r="J20" s="49"/>
      <c r="K20" s="49"/>
      <c r="L20" s="48"/>
      <c r="M20" s="48"/>
      <c r="N20" s="48"/>
      <c r="O20" s="48"/>
      <c r="P20" s="48"/>
      <c r="Q20" s="49"/>
      <c r="R20" s="49"/>
      <c r="S20" s="48"/>
      <c r="T20" s="48"/>
      <c r="U20" s="48"/>
      <c r="V20" s="48"/>
      <c r="W20" s="48"/>
      <c r="X20" s="49"/>
      <c r="Y20" s="49"/>
      <c r="Z20" s="48"/>
      <c r="AA20" s="48"/>
      <c r="AB20" s="48"/>
      <c r="AC20" s="48"/>
      <c r="AD20" s="48"/>
      <c r="AE20" s="49"/>
      <c r="AF20" s="49"/>
      <c r="AG20" s="48"/>
      <c r="AH20" s="190"/>
      <c r="AI20" s="190"/>
      <c r="AJ20" s="190"/>
      <c r="AK20" s="190"/>
      <c r="AL20" s="31">
        <f t="shared" ref="AL20:AL27" si="4">AM20/F20</f>
        <v>0</v>
      </c>
      <c r="AM20" s="51">
        <f t="shared" ref="AM20:AM27" si="5">SUM(H20:AK20)</f>
        <v>0</v>
      </c>
    </row>
    <row r="21" ht="14.25" customHeight="1">
      <c r="A21" s="24">
        <v>9.0</v>
      </c>
      <c r="B21" s="35" t="s">
        <v>53</v>
      </c>
      <c r="C21" s="27">
        <v>1.0</v>
      </c>
      <c r="D21" s="36" t="s">
        <v>54</v>
      </c>
      <c r="E21" s="27" t="s">
        <v>55</v>
      </c>
      <c r="F21" s="27">
        <v>12.0</v>
      </c>
      <c r="G21" s="47" t="s">
        <v>46</v>
      </c>
      <c r="H21" s="29"/>
      <c r="I21" s="29">
        <v>12.0</v>
      </c>
      <c r="J21" s="30">
        <v>12.0</v>
      </c>
      <c r="K21" s="30">
        <v>12.0</v>
      </c>
      <c r="L21" s="29">
        <v>12.0</v>
      </c>
      <c r="M21" s="29">
        <v>12.0</v>
      </c>
      <c r="N21" s="29"/>
      <c r="O21" s="29"/>
      <c r="P21" s="29">
        <v>12.0</v>
      </c>
      <c r="Q21" s="30">
        <v>12.0</v>
      </c>
      <c r="R21" s="30">
        <v>12.0</v>
      </c>
      <c r="S21" s="29">
        <v>12.0</v>
      </c>
      <c r="T21" s="29">
        <v>12.0</v>
      </c>
      <c r="U21" s="29">
        <v>12.0</v>
      </c>
      <c r="V21" s="29"/>
      <c r="W21" s="29"/>
      <c r="X21" s="30">
        <v>12.0</v>
      </c>
      <c r="Y21" s="30">
        <v>12.0</v>
      </c>
      <c r="Z21" s="29">
        <v>12.0</v>
      </c>
      <c r="AA21" s="29">
        <v>12.0</v>
      </c>
      <c r="AB21" s="29"/>
      <c r="AC21" s="29"/>
      <c r="AD21" s="29"/>
      <c r="AE21" s="30"/>
      <c r="AF21" s="30"/>
      <c r="AG21" s="29"/>
      <c r="AH21" s="29">
        <v>12.0</v>
      </c>
      <c r="AI21" s="29">
        <v>12.0</v>
      </c>
      <c r="AJ21" s="29">
        <v>12.0</v>
      </c>
      <c r="AK21" s="29">
        <v>12.0</v>
      </c>
      <c r="AL21" s="31">
        <f t="shared" si="4"/>
        <v>19</v>
      </c>
      <c r="AM21" s="51">
        <f t="shared" si="5"/>
        <v>228</v>
      </c>
    </row>
    <row r="22" ht="14.25" customHeight="1">
      <c r="A22" s="24">
        <v>10.0</v>
      </c>
      <c r="B22" s="35" t="s">
        <v>49</v>
      </c>
      <c r="C22" s="27">
        <v>1.0</v>
      </c>
      <c r="D22" s="36" t="s">
        <v>60</v>
      </c>
      <c r="E22" s="27" t="s">
        <v>51</v>
      </c>
      <c r="F22" s="27">
        <v>24.0</v>
      </c>
      <c r="G22" s="47" t="s">
        <v>52</v>
      </c>
      <c r="H22" s="29"/>
      <c r="I22" s="29">
        <v>24.0</v>
      </c>
      <c r="J22" s="30"/>
      <c r="K22" s="30">
        <v>24.0</v>
      </c>
      <c r="L22" s="29"/>
      <c r="M22" s="29">
        <v>24.0</v>
      </c>
      <c r="N22" s="29"/>
      <c r="O22" s="29">
        <v>24.0</v>
      </c>
      <c r="P22" s="29"/>
      <c r="Q22" s="30">
        <v>24.0</v>
      </c>
      <c r="R22" s="30"/>
      <c r="S22" s="29">
        <v>24.0</v>
      </c>
      <c r="T22" s="29"/>
      <c r="U22" s="29">
        <v>24.0</v>
      </c>
      <c r="V22" s="29"/>
      <c r="W22" s="29">
        <v>24.0</v>
      </c>
      <c r="X22" s="30"/>
      <c r="Y22" s="30">
        <v>24.0</v>
      </c>
      <c r="Z22" s="29"/>
      <c r="AA22" s="29">
        <v>24.0</v>
      </c>
      <c r="AB22" s="29"/>
      <c r="AC22" s="29">
        <v>24.0</v>
      </c>
      <c r="AD22" s="29"/>
      <c r="AE22" s="30">
        <v>24.0</v>
      </c>
      <c r="AF22" s="30"/>
      <c r="AG22" s="29">
        <v>24.0</v>
      </c>
      <c r="AH22" s="29"/>
      <c r="AI22" s="29">
        <v>24.0</v>
      </c>
      <c r="AJ22" s="29"/>
      <c r="AK22" s="29">
        <v>24.0</v>
      </c>
      <c r="AL22" s="31">
        <f t="shared" si="4"/>
        <v>15</v>
      </c>
      <c r="AM22" s="51">
        <f t="shared" si="5"/>
        <v>360</v>
      </c>
    </row>
    <row r="23" ht="14.25" customHeight="1">
      <c r="A23" s="24">
        <v>11.0</v>
      </c>
      <c r="B23" s="35" t="s">
        <v>49</v>
      </c>
      <c r="C23" s="27">
        <v>1.0</v>
      </c>
      <c r="D23" s="36" t="s">
        <v>56</v>
      </c>
      <c r="E23" s="27" t="s">
        <v>51</v>
      </c>
      <c r="F23" s="27">
        <v>24.0</v>
      </c>
      <c r="G23" s="47" t="s">
        <v>52</v>
      </c>
      <c r="H23" s="29">
        <v>24.0</v>
      </c>
      <c r="I23" s="29"/>
      <c r="J23" s="30">
        <v>24.0</v>
      </c>
      <c r="K23" s="30"/>
      <c r="L23" s="29">
        <v>24.0</v>
      </c>
      <c r="M23" s="29"/>
      <c r="N23" s="29">
        <v>24.0</v>
      </c>
      <c r="O23" s="29"/>
      <c r="P23" s="29">
        <v>24.0</v>
      </c>
      <c r="Q23" s="30"/>
      <c r="R23" s="30">
        <v>24.0</v>
      </c>
      <c r="S23" s="29"/>
      <c r="T23" s="29">
        <v>24.0</v>
      </c>
      <c r="U23" s="29"/>
      <c r="V23" s="29">
        <v>24.0</v>
      </c>
      <c r="W23" s="29"/>
      <c r="X23" s="30">
        <v>24.0</v>
      </c>
      <c r="Y23" s="30"/>
      <c r="Z23" s="29">
        <v>24.0</v>
      </c>
      <c r="AA23" s="29"/>
      <c r="AB23" s="29">
        <v>24.0</v>
      </c>
      <c r="AC23" s="29"/>
      <c r="AD23" s="29">
        <v>24.0</v>
      </c>
      <c r="AE23" s="30"/>
      <c r="AF23" s="30">
        <v>24.0</v>
      </c>
      <c r="AG23" s="29"/>
      <c r="AH23" s="29">
        <v>24.0</v>
      </c>
      <c r="AI23" s="29"/>
      <c r="AJ23" s="29">
        <v>24.0</v>
      </c>
      <c r="AK23" s="29"/>
      <c r="AL23" s="31">
        <f t="shared" si="4"/>
        <v>15</v>
      </c>
      <c r="AM23" s="51">
        <f t="shared" si="5"/>
        <v>360</v>
      </c>
    </row>
    <row r="24" ht="14.25" customHeight="1">
      <c r="A24" s="24">
        <v>12.0</v>
      </c>
      <c r="B24" s="35" t="s">
        <v>194</v>
      </c>
      <c r="C24" s="27">
        <v>1.0</v>
      </c>
      <c r="D24" s="36" t="s">
        <v>56</v>
      </c>
      <c r="E24" s="27" t="s">
        <v>70</v>
      </c>
      <c r="F24" s="27">
        <v>12.0</v>
      </c>
      <c r="G24" s="47" t="s">
        <v>65</v>
      </c>
      <c r="H24" s="29">
        <v>12.0</v>
      </c>
      <c r="I24" s="29"/>
      <c r="J24" s="30"/>
      <c r="K24" s="30"/>
      <c r="L24" s="29"/>
      <c r="M24" s="29"/>
      <c r="N24" s="29"/>
      <c r="O24" s="29"/>
      <c r="P24" s="29"/>
      <c r="Q24" s="30">
        <v>12.0</v>
      </c>
      <c r="R24" s="30"/>
      <c r="S24" s="29">
        <v>12.0</v>
      </c>
      <c r="T24" s="29"/>
      <c r="U24" s="29"/>
      <c r="V24" s="29"/>
      <c r="W24" s="29"/>
      <c r="X24" s="30"/>
      <c r="Y24" s="30"/>
      <c r="Z24" s="29"/>
      <c r="AA24" s="29"/>
      <c r="AB24" s="29"/>
      <c r="AC24" s="29"/>
      <c r="AD24" s="29"/>
      <c r="AE24" s="30"/>
      <c r="AF24" s="30"/>
      <c r="AG24" s="29"/>
      <c r="AH24" s="44"/>
      <c r="AI24" s="44"/>
      <c r="AJ24" s="44"/>
      <c r="AK24" s="44"/>
      <c r="AL24" s="31">
        <f t="shared" si="4"/>
        <v>3</v>
      </c>
      <c r="AM24" s="51">
        <f t="shared" si="5"/>
        <v>36</v>
      </c>
    </row>
    <row r="25" ht="14.25" customHeight="1">
      <c r="A25" s="24">
        <v>13.0</v>
      </c>
      <c r="B25" s="35" t="s">
        <v>62</v>
      </c>
      <c r="C25" s="27">
        <v>1.0</v>
      </c>
      <c r="D25" s="67" t="s">
        <v>195</v>
      </c>
      <c r="E25" s="27" t="s">
        <v>64</v>
      </c>
      <c r="F25" s="27">
        <v>12.0</v>
      </c>
      <c r="G25" s="47" t="s">
        <v>65</v>
      </c>
      <c r="H25" s="48"/>
      <c r="I25" s="48"/>
      <c r="J25" s="49"/>
      <c r="K25" s="49"/>
      <c r="L25" s="48"/>
      <c r="M25" s="48">
        <v>12.0</v>
      </c>
      <c r="N25" s="48">
        <v>12.0</v>
      </c>
      <c r="O25" s="48">
        <v>12.0</v>
      </c>
      <c r="P25" s="48">
        <v>12.0</v>
      </c>
      <c r="Q25" s="49">
        <v>12.0</v>
      </c>
      <c r="R25" s="49">
        <v>12.0</v>
      </c>
      <c r="S25" s="48"/>
      <c r="T25" s="48"/>
      <c r="U25" s="29">
        <v>12.0</v>
      </c>
      <c r="V25" s="29">
        <v>12.0</v>
      </c>
      <c r="W25" s="48">
        <v>12.0</v>
      </c>
      <c r="X25" s="49">
        <v>12.0</v>
      </c>
      <c r="Y25" s="49">
        <v>12.0</v>
      </c>
      <c r="Z25" s="48">
        <v>12.0</v>
      </c>
      <c r="AA25" s="48"/>
      <c r="AB25" s="48">
        <v>12.0</v>
      </c>
      <c r="AC25" s="48">
        <v>12.0</v>
      </c>
      <c r="AD25" s="48">
        <v>12.0</v>
      </c>
      <c r="AE25" s="49">
        <v>12.0</v>
      </c>
      <c r="AF25" s="49">
        <v>12.0</v>
      </c>
      <c r="AG25" s="48">
        <v>12.0</v>
      </c>
      <c r="AH25" s="44"/>
      <c r="AI25" s="44">
        <v>12.0</v>
      </c>
      <c r="AJ25" s="44">
        <v>12.0</v>
      </c>
      <c r="AK25" s="44">
        <v>12.0</v>
      </c>
      <c r="AL25" s="31">
        <f t="shared" si="4"/>
        <v>21</v>
      </c>
      <c r="AM25" s="51">
        <f t="shared" si="5"/>
        <v>252</v>
      </c>
    </row>
    <row r="26" ht="14.25" customHeight="1">
      <c r="A26" s="24">
        <v>15.0</v>
      </c>
      <c r="B26" s="35" t="s">
        <v>194</v>
      </c>
      <c r="C26" s="27">
        <v>1.0</v>
      </c>
      <c r="D26" s="36" t="s">
        <v>196</v>
      </c>
      <c r="E26" s="27" t="s">
        <v>70</v>
      </c>
      <c r="F26" s="27">
        <v>12.0</v>
      </c>
      <c r="G26" s="28" t="s">
        <v>30</v>
      </c>
      <c r="H26" s="29"/>
      <c r="I26" s="29"/>
      <c r="J26" s="30"/>
      <c r="K26" s="30"/>
      <c r="L26" s="29"/>
      <c r="M26" s="29"/>
      <c r="N26" s="29"/>
      <c r="O26" s="29"/>
      <c r="P26" s="29"/>
      <c r="Q26" s="30"/>
      <c r="R26" s="30"/>
      <c r="S26" s="29"/>
      <c r="T26" s="29"/>
      <c r="U26" s="29"/>
      <c r="V26" s="29"/>
      <c r="W26" s="29">
        <v>12.0</v>
      </c>
      <c r="X26" s="30">
        <v>12.0</v>
      </c>
      <c r="Y26" s="30">
        <v>12.0</v>
      </c>
      <c r="Z26" s="29">
        <v>12.0</v>
      </c>
      <c r="AA26" s="29">
        <v>12.0</v>
      </c>
      <c r="AB26" s="29">
        <v>12.0</v>
      </c>
      <c r="AC26" s="29">
        <v>12.0</v>
      </c>
      <c r="AD26" s="29">
        <v>12.0</v>
      </c>
      <c r="AE26" s="30">
        <v>12.0</v>
      </c>
      <c r="AF26" s="30">
        <v>12.0</v>
      </c>
      <c r="AG26" s="29">
        <v>12.0</v>
      </c>
      <c r="AH26" s="29">
        <v>12.0</v>
      </c>
      <c r="AI26" s="29"/>
      <c r="AJ26" s="29"/>
      <c r="AK26" s="29">
        <v>12.0</v>
      </c>
      <c r="AL26" s="31">
        <f t="shared" si="4"/>
        <v>13</v>
      </c>
      <c r="AM26" s="51">
        <f t="shared" si="5"/>
        <v>156</v>
      </c>
    </row>
    <row r="27" ht="14.25" customHeight="1">
      <c r="A27" s="24">
        <v>16.0</v>
      </c>
      <c r="B27" s="35" t="s">
        <v>194</v>
      </c>
      <c r="C27" s="27">
        <v>1.0</v>
      </c>
      <c r="D27" s="36" t="s">
        <v>76</v>
      </c>
      <c r="E27" s="27" t="s">
        <v>73</v>
      </c>
      <c r="F27" s="27">
        <v>12.0</v>
      </c>
      <c r="G27" s="28" t="s">
        <v>26</v>
      </c>
      <c r="H27" s="29">
        <v>12.0</v>
      </c>
      <c r="I27" s="29">
        <v>12.0</v>
      </c>
      <c r="J27" s="30">
        <v>12.0</v>
      </c>
      <c r="K27" s="30">
        <v>12.0</v>
      </c>
      <c r="L27" s="29">
        <v>12.0</v>
      </c>
      <c r="M27" s="29">
        <v>12.0</v>
      </c>
      <c r="N27" s="29">
        <v>12.0</v>
      </c>
      <c r="O27" s="29"/>
      <c r="P27" s="29">
        <v>12.0</v>
      </c>
      <c r="Q27" s="30">
        <v>12.0</v>
      </c>
      <c r="R27" s="30">
        <v>18.0</v>
      </c>
      <c r="S27" s="29">
        <v>12.0</v>
      </c>
      <c r="T27" s="29">
        <v>12.0</v>
      </c>
      <c r="U27" s="29">
        <v>12.0</v>
      </c>
      <c r="V27" s="29">
        <v>12.0</v>
      </c>
      <c r="W27" s="29"/>
      <c r="X27" s="30">
        <v>12.0</v>
      </c>
      <c r="Y27" s="30">
        <v>12.0</v>
      </c>
      <c r="Z27" s="29">
        <v>12.0</v>
      </c>
      <c r="AA27" s="29">
        <v>12.0</v>
      </c>
      <c r="AB27" s="29">
        <v>12.0</v>
      </c>
      <c r="AC27" s="29">
        <v>12.0</v>
      </c>
      <c r="AD27" s="29"/>
      <c r="AE27" s="30">
        <v>12.0</v>
      </c>
      <c r="AF27" s="30">
        <v>12.0</v>
      </c>
      <c r="AG27" s="29">
        <v>12.0</v>
      </c>
      <c r="AH27" s="29">
        <v>12.0</v>
      </c>
      <c r="AI27" s="29">
        <v>12.0</v>
      </c>
      <c r="AJ27" s="29">
        <v>12.0</v>
      </c>
      <c r="AK27" s="29"/>
      <c r="AL27" s="31">
        <f t="shared" si="4"/>
        <v>26.5</v>
      </c>
      <c r="AM27" s="51">
        <f t="shared" si="5"/>
        <v>318</v>
      </c>
    </row>
    <row r="28" ht="14.25" customHeight="1">
      <c r="A28" s="19"/>
      <c r="B28" s="20" t="s">
        <v>78</v>
      </c>
      <c r="C28" s="21"/>
      <c r="D28" s="77" t="s">
        <v>78</v>
      </c>
      <c r="E28" s="21"/>
      <c r="F28" s="38"/>
      <c r="G28" s="7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3"/>
      <c r="AM28" s="21"/>
    </row>
    <row r="29" ht="14.25" customHeight="1">
      <c r="A29" s="34">
        <v>17.0</v>
      </c>
      <c r="B29" s="35" t="s">
        <v>81</v>
      </c>
      <c r="C29" s="27">
        <v>1.0</v>
      </c>
      <c r="D29" s="37" t="s">
        <v>82</v>
      </c>
      <c r="E29" s="27" t="s">
        <v>191</v>
      </c>
      <c r="F29" s="65">
        <v>24.0</v>
      </c>
      <c r="G29" s="66" t="s">
        <v>85</v>
      </c>
      <c r="H29" s="81"/>
      <c r="I29" s="199"/>
      <c r="J29" s="82">
        <v>24.0</v>
      </c>
      <c r="K29" s="82"/>
      <c r="L29" s="81">
        <v>24.0</v>
      </c>
      <c r="M29" s="81"/>
      <c r="N29" s="81"/>
      <c r="O29" s="81">
        <v>24.0</v>
      </c>
      <c r="P29" s="199"/>
      <c r="Q29" s="82">
        <v>24.0</v>
      </c>
      <c r="R29" s="82"/>
      <c r="S29" s="81">
        <v>24.0</v>
      </c>
      <c r="T29" s="81"/>
      <c r="U29" s="81"/>
      <c r="V29" s="81">
        <v>24.0</v>
      </c>
      <c r="W29" s="199"/>
      <c r="X29" s="82"/>
      <c r="Y29" s="82">
        <v>24.0</v>
      </c>
      <c r="Z29" s="81"/>
      <c r="AA29" s="81">
        <v>24.0</v>
      </c>
      <c r="AB29" s="81"/>
      <c r="AC29" s="81">
        <v>24.0</v>
      </c>
      <c r="AD29" s="199"/>
      <c r="AE29" s="82"/>
      <c r="AF29" s="82">
        <v>24.0</v>
      </c>
      <c r="AG29" s="81"/>
      <c r="AH29" s="81"/>
      <c r="AI29" s="81">
        <v>24.0</v>
      </c>
      <c r="AJ29" s="81"/>
      <c r="AK29" s="81"/>
      <c r="AL29" s="31">
        <f t="shared" ref="AL29:AL33" si="6">AM29/F29</f>
        <v>11</v>
      </c>
      <c r="AM29" s="51">
        <f t="shared" ref="AM29:AM50" si="7">SUM(H29:AK29)</f>
        <v>264</v>
      </c>
    </row>
    <row r="30" ht="14.25" customHeight="1">
      <c r="A30" s="34">
        <v>18.0</v>
      </c>
      <c r="B30" s="35" t="s">
        <v>86</v>
      </c>
      <c r="C30" s="27">
        <v>1.0</v>
      </c>
      <c r="D30" s="90" t="s">
        <v>198</v>
      </c>
      <c r="E30" s="27" t="s">
        <v>193</v>
      </c>
      <c r="F30" s="65">
        <v>24.0</v>
      </c>
      <c r="G30" s="88"/>
      <c r="H30" s="81"/>
      <c r="I30" s="199">
        <v>24.0</v>
      </c>
      <c r="J30" s="92"/>
      <c r="K30" s="82">
        <v>24.0</v>
      </c>
      <c r="L30" s="81"/>
      <c r="M30" s="81"/>
      <c r="N30" s="81"/>
      <c r="O30" s="81"/>
      <c r="P30" s="199"/>
      <c r="Q30" s="92"/>
      <c r="R30" s="82"/>
      <c r="S30" s="81"/>
      <c r="T30" s="81"/>
      <c r="U30" s="81"/>
      <c r="V30" s="81"/>
      <c r="W30" s="199"/>
      <c r="X30" s="82"/>
      <c r="Y30" s="92"/>
      <c r="Z30" s="81"/>
      <c r="AA30" s="81"/>
      <c r="AB30" s="81"/>
      <c r="AC30" s="81"/>
      <c r="AD30" s="199"/>
      <c r="AE30" s="92"/>
      <c r="AF30" s="82"/>
      <c r="AG30" s="81"/>
      <c r="AH30" s="81"/>
      <c r="AI30" s="81"/>
      <c r="AJ30" s="81"/>
      <c r="AK30" s="81"/>
      <c r="AL30" s="31">
        <f t="shared" si="6"/>
        <v>2</v>
      </c>
      <c r="AM30" s="51">
        <f t="shared" si="7"/>
        <v>48</v>
      </c>
      <c r="AN30" s="52" t="s">
        <v>200</v>
      </c>
    </row>
    <row r="31" ht="14.25" customHeight="1">
      <c r="A31" s="34">
        <v>19.0</v>
      </c>
      <c r="B31" s="35" t="s">
        <v>86</v>
      </c>
      <c r="C31" s="65">
        <v>1.0</v>
      </c>
      <c r="D31" s="37" t="s">
        <v>92</v>
      </c>
      <c r="E31" s="27" t="s">
        <v>193</v>
      </c>
      <c r="F31" s="65">
        <v>24.0</v>
      </c>
      <c r="G31" s="88"/>
      <c r="H31" s="81">
        <v>24.0</v>
      </c>
      <c r="I31" s="199"/>
      <c r="J31" s="82"/>
      <c r="K31" s="92"/>
      <c r="L31" s="81"/>
      <c r="M31" s="81">
        <v>24.0</v>
      </c>
      <c r="N31" s="81"/>
      <c r="O31" s="81"/>
      <c r="P31" s="81"/>
      <c r="Q31" s="92"/>
      <c r="R31" s="82">
        <v>24.0</v>
      </c>
      <c r="S31" s="81"/>
      <c r="T31" s="81"/>
      <c r="U31" s="81">
        <v>24.0</v>
      </c>
      <c r="V31" s="81"/>
      <c r="W31" s="199"/>
      <c r="X31" s="82">
        <v>24.0</v>
      </c>
      <c r="Y31" s="82"/>
      <c r="Z31" s="81"/>
      <c r="AA31" s="81"/>
      <c r="AB31" s="81"/>
      <c r="AC31" s="81"/>
      <c r="AD31" s="199">
        <v>24.0</v>
      </c>
      <c r="AE31" s="82"/>
      <c r="AF31" s="92"/>
      <c r="AG31" s="81">
        <v>24.0</v>
      </c>
      <c r="AH31" s="81">
        <v>24.0</v>
      </c>
      <c r="AI31" s="81"/>
      <c r="AJ31" s="81"/>
      <c r="AK31" s="81">
        <v>24.0</v>
      </c>
      <c r="AL31" s="31">
        <f t="shared" si="6"/>
        <v>9</v>
      </c>
      <c r="AM31" s="51">
        <f t="shared" si="7"/>
        <v>216</v>
      </c>
    </row>
    <row r="32" ht="14.25" customHeight="1">
      <c r="A32" s="34">
        <v>20.0</v>
      </c>
      <c r="B32" s="200" t="s">
        <v>86</v>
      </c>
      <c r="C32" s="65">
        <v>1.0</v>
      </c>
      <c r="D32" s="90" t="s">
        <v>179</v>
      </c>
      <c r="E32" s="27" t="s">
        <v>193</v>
      </c>
      <c r="F32" s="65">
        <v>24.0</v>
      </c>
      <c r="G32" s="88"/>
      <c r="H32" s="81"/>
      <c r="I32" s="199"/>
      <c r="J32" s="82"/>
      <c r="K32" s="92"/>
      <c r="L32" s="81"/>
      <c r="M32" s="81"/>
      <c r="N32" s="81"/>
      <c r="O32" s="81"/>
      <c r="P32" s="199"/>
      <c r="Q32" s="92"/>
      <c r="R32" s="92"/>
      <c r="S32" s="81"/>
      <c r="T32" s="81">
        <v>12.0</v>
      </c>
      <c r="U32" s="81"/>
      <c r="V32" s="81"/>
      <c r="W32" s="199"/>
      <c r="X32" s="82"/>
      <c r="Y32" s="82"/>
      <c r="Z32" s="81"/>
      <c r="AA32" s="81"/>
      <c r="AB32" s="81">
        <v>24.0</v>
      </c>
      <c r="AC32" s="81"/>
      <c r="AD32" s="199"/>
      <c r="AE32" s="82"/>
      <c r="AF32" s="92"/>
      <c r="AG32" s="81"/>
      <c r="AH32" s="81"/>
      <c r="AI32" s="81"/>
      <c r="AJ32" s="81"/>
      <c r="AK32" s="81"/>
      <c r="AL32" s="31">
        <f t="shared" si="6"/>
        <v>1.5</v>
      </c>
      <c r="AM32" s="51">
        <f t="shared" si="7"/>
        <v>36</v>
      </c>
    </row>
    <row r="33" ht="14.25" customHeight="1">
      <c r="A33" s="34">
        <v>21.0</v>
      </c>
      <c r="B33" s="35" t="s">
        <v>86</v>
      </c>
      <c r="C33" s="65">
        <v>1.0</v>
      </c>
      <c r="D33" s="90" t="s">
        <v>91</v>
      </c>
      <c r="E33" s="27" t="s">
        <v>193</v>
      </c>
      <c r="F33" s="65">
        <v>24.0</v>
      </c>
      <c r="G33" s="17"/>
      <c r="H33" s="81"/>
      <c r="I33" s="199"/>
      <c r="J33" s="82"/>
      <c r="K33" s="92"/>
      <c r="L33" s="81"/>
      <c r="M33" s="81"/>
      <c r="N33" s="81"/>
      <c r="O33" s="81"/>
      <c r="P33" s="199"/>
      <c r="Q33" s="92"/>
      <c r="R33" s="92"/>
      <c r="S33" s="81"/>
      <c r="T33" s="201">
        <v>24.0</v>
      </c>
      <c r="U33" s="81"/>
      <c r="V33" s="81"/>
      <c r="W33" s="199">
        <v>24.0</v>
      </c>
      <c r="X33" s="82"/>
      <c r="Y33" s="82"/>
      <c r="Z33" s="81">
        <v>24.0</v>
      </c>
      <c r="AA33" s="81"/>
      <c r="AB33" s="81"/>
      <c r="AC33" s="81"/>
      <c r="AD33" s="199"/>
      <c r="AE33" s="82">
        <v>24.0</v>
      </c>
      <c r="AF33" s="92"/>
      <c r="AG33" s="81"/>
      <c r="AH33" s="81"/>
      <c r="AI33" s="81"/>
      <c r="AJ33" s="81">
        <v>24.0</v>
      </c>
      <c r="AK33" s="81"/>
      <c r="AL33" s="31">
        <f t="shared" si="6"/>
        <v>5</v>
      </c>
      <c r="AM33" s="51">
        <f t="shared" si="7"/>
        <v>120</v>
      </c>
    </row>
    <row r="34" ht="14.25" customHeight="1">
      <c r="A34" s="34">
        <v>22.0</v>
      </c>
      <c r="B34" s="35" t="s">
        <v>95</v>
      </c>
      <c r="C34" s="65">
        <v>1.0</v>
      </c>
      <c r="D34" s="90" t="s">
        <v>97</v>
      </c>
      <c r="E34" s="27" t="s">
        <v>102</v>
      </c>
      <c r="F34" s="65"/>
      <c r="G34" s="66" t="s">
        <v>85</v>
      </c>
      <c r="H34" s="29"/>
      <c r="I34" s="29"/>
      <c r="J34" s="30">
        <v>24.0</v>
      </c>
      <c r="K34" s="30"/>
      <c r="L34" s="29"/>
      <c r="M34" s="29">
        <v>24.0</v>
      </c>
      <c r="N34" s="29"/>
      <c r="O34" s="29"/>
      <c r="P34" s="29">
        <v>24.0</v>
      </c>
      <c r="Q34" s="30"/>
      <c r="R34" s="30">
        <v>24.0</v>
      </c>
      <c r="S34" s="29"/>
      <c r="T34" s="29"/>
      <c r="U34" s="29">
        <v>24.0</v>
      </c>
      <c r="V34" s="29"/>
      <c r="W34" s="29"/>
      <c r="X34" s="30">
        <v>17.0</v>
      </c>
      <c r="Y34" s="30"/>
      <c r="Z34" s="29">
        <v>24.0</v>
      </c>
      <c r="AA34" s="29"/>
      <c r="AB34" s="29"/>
      <c r="AC34" s="29">
        <v>17.0</v>
      </c>
      <c r="AD34" s="29">
        <v>17.0</v>
      </c>
      <c r="AE34" s="30">
        <v>17.0</v>
      </c>
      <c r="AF34" s="30">
        <v>17.0</v>
      </c>
      <c r="AG34" s="29">
        <v>17.0</v>
      </c>
      <c r="AH34" s="29"/>
      <c r="AI34" s="29">
        <v>24.0</v>
      </c>
      <c r="AJ34" s="29"/>
      <c r="AK34" s="29">
        <v>17.0</v>
      </c>
      <c r="AL34" s="31">
        <f t="shared" ref="AL34:AL42" si="8">COUNT(H34:AK34)</f>
        <v>14</v>
      </c>
      <c r="AM34" s="51">
        <f t="shared" si="7"/>
        <v>287</v>
      </c>
      <c r="AN34" s="33"/>
    </row>
    <row r="35" ht="14.25" customHeight="1">
      <c r="A35" s="34">
        <v>23.0</v>
      </c>
      <c r="B35" s="35" t="s">
        <v>95</v>
      </c>
      <c r="C35" s="65">
        <v>1.0</v>
      </c>
      <c r="D35" s="90" t="s">
        <v>91</v>
      </c>
      <c r="E35" s="27" t="s">
        <v>102</v>
      </c>
      <c r="F35" s="88"/>
      <c r="G35" s="88"/>
      <c r="H35" s="29"/>
      <c r="I35" s="29">
        <v>24.0</v>
      </c>
      <c r="J35" s="30"/>
      <c r="K35" s="30"/>
      <c r="L35" s="29">
        <v>24.0</v>
      </c>
      <c r="M35" s="29"/>
      <c r="N35" s="29"/>
      <c r="O35" s="29">
        <v>24.0</v>
      </c>
      <c r="P35" s="29"/>
      <c r="Q35" s="30"/>
      <c r="R35" s="30"/>
      <c r="S35" s="29">
        <v>24.0</v>
      </c>
      <c r="T35" s="29"/>
      <c r="U35" s="29">
        <v>17.0</v>
      </c>
      <c r="V35" s="29"/>
      <c r="W35" s="29"/>
      <c r="X35" s="30"/>
      <c r="Y35" s="30"/>
      <c r="Z35" s="29"/>
      <c r="AA35" s="29"/>
      <c r="AB35" s="29"/>
      <c r="AC35" s="29"/>
      <c r="AD35" s="29"/>
      <c r="AE35" s="30"/>
      <c r="AF35" s="30"/>
      <c r="AG35" s="29"/>
      <c r="AH35" s="29"/>
      <c r="AI35" s="29"/>
      <c r="AJ35" s="29"/>
      <c r="AK35" s="29"/>
      <c r="AL35" s="31">
        <f t="shared" si="8"/>
        <v>5</v>
      </c>
      <c r="AM35" s="51">
        <f t="shared" si="7"/>
        <v>113</v>
      </c>
    </row>
    <row r="36" ht="14.25" customHeight="1">
      <c r="A36" s="34">
        <v>24.0</v>
      </c>
      <c r="B36" s="97" t="s">
        <v>95</v>
      </c>
      <c r="C36" s="65">
        <v>1.0</v>
      </c>
      <c r="D36" s="90" t="s">
        <v>197</v>
      </c>
      <c r="E36" s="27" t="s">
        <v>102</v>
      </c>
      <c r="F36" s="88"/>
      <c r="G36" s="88"/>
      <c r="H36" s="29">
        <v>24.0</v>
      </c>
      <c r="I36" s="29"/>
      <c r="J36" s="30"/>
      <c r="K36" s="30">
        <v>24.0</v>
      </c>
      <c r="L36" s="29"/>
      <c r="M36" s="29"/>
      <c r="N36" s="29">
        <v>24.0</v>
      </c>
      <c r="O36" s="29"/>
      <c r="P36" s="29"/>
      <c r="Q36" s="30"/>
      <c r="R36" s="30"/>
      <c r="S36" s="29"/>
      <c r="T36" s="29"/>
      <c r="U36" s="29"/>
      <c r="V36" s="29">
        <v>24.0</v>
      </c>
      <c r="W36" s="29"/>
      <c r="X36" s="30"/>
      <c r="Y36" s="30"/>
      <c r="Z36" s="29"/>
      <c r="AA36" s="29"/>
      <c r="AB36" s="29"/>
      <c r="AC36" s="29"/>
      <c r="AD36" s="29"/>
      <c r="AE36" s="30"/>
      <c r="AF36" s="30"/>
      <c r="AG36" s="29"/>
      <c r="AH36" s="29"/>
      <c r="AI36" s="29"/>
      <c r="AJ36" s="29"/>
      <c r="AK36" s="29"/>
      <c r="AL36" s="31">
        <f t="shared" si="8"/>
        <v>4</v>
      </c>
      <c r="AM36" s="51">
        <f t="shared" si="7"/>
        <v>96</v>
      </c>
    </row>
    <row r="37" ht="14.25" customHeight="1">
      <c r="A37" s="34">
        <v>25.0</v>
      </c>
      <c r="B37" s="36" t="s">
        <v>95</v>
      </c>
      <c r="C37" s="65">
        <v>1.0</v>
      </c>
      <c r="D37" s="90" t="s">
        <v>199</v>
      </c>
      <c r="E37" s="27" t="s">
        <v>102</v>
      </c>
      <c r="F37" s="88"/>
      <c r="G37" s="88"/>
      <c r="H37" s="29"/>
      <c r="I37" s="29"/>
      <c r="J37" s="30">
        <v>17.0</v>
      </c>
      <c r="K37" s="30">
        <v>17.0</v>
      </c>
      <c r="L37" s="29"/>
      <c r="M37" s="29"/>
      <c r="N37" s="29"/>
      <c r="O37" s="29"/>
      <c r="P37" s="29"/>
      <c r="Q37" s="30"/>
      <c r="R37" s="30"/>
      <c r="S37" s="29"/>
      <c r="T37" s="29"/>
      <c r="U37" s="29"/>
      <c r="V37" s="29"/>
      <c r="W37" s="29"/>
      <c r="X37" s="30"/>
      <c r="Y37" s="30"/>
      <c r="Z37" s="29"/>
      <c r="AA37" s="29"/>
      <c r="AB37" s="29"/>
      <c r="AC37" s="29"/>
      <c r="AD37" s="29"/>
      <c r="AE37" s="30"/>
      <c r="AF37" s="30"/>
      <c r="AG37" s="29"/>
      <c r="AH37" s="29"/>
      <c r="AI37" s="29"/>
      <c r="AJ37" s="29"/>
      <c r="AK37" s="29"/>
      <c r="AL37" s="31">
        <f t="shared" si="8"/>
        <v>2</v>
      </c>
      <c r="AM37" s="51">
        <f t="shared" si="7"/>
        <v>34</v>
      </c>
      <c r="AN37" s="89"/>
      <c r="AO37" s="89"/>
      <c r="AP37" s="89"/>
      <c r="AQ37" s="89"/>
      <c r="AR37" s="89"/>
      <c r="AS37" s="89"/>
      <c r="AT37" s="89"/>
      <c r="AU37" s="89"/>
      <c r="AV37" s="89"/>
    </row>
    <row r="38" ht="14.25" customHeight="1">
      <c r="A38" s="34">
        <v>26.0</v>
      </c>
      <c r="B38" s="36" t="s">
        <v>95</v>
      </c>
      <c r="C38" s="65">
        <v>1.0</v>
      </c>
      <c r="D38" s="90" t="s">
        <v>100</v>
      </c>
      <c r="E38" s="27" t="s">
        <v>102</v>
      </c>
      <c r="F38" s="88"/>
      <c r="G38" s="88"/>
      <c r="H38" s="202">
        <v>17.0</v>
      </c>
      <c r="I38" s="29"/>
      <c r="J38" s="30"/>
      <c r="K38" s="30"/>
      <c r="L38" s="202">
        <v>17.0</v>
      </c>
      <c r="M38" s="29"/>
      <c r="N38" s="202">
        <v>17.0</v>
      </c>
      <c r="O38" s="29"/>
      <c r="P38" s="29"/>
      <c r="Q38" s="30">
        <v>24.0</v>
      </c>
      <c r="R38" s="30"/>
      <c r="S38" s="29"/>
      <c r="T38" s="29">
        <v>24.0</v>
      </c>
      <c r="U38" s="29"/>
      <c r="V38" s="29"/>
      <c r="W38" s="29"/>
      <c r="X38" s="30">
        <v>24.0</v>
      </c>
      <c r="Y38" s="30">
        <v>17.0</v>
      </c>
      <c r="Z38" s="29">
        <v>17.0</v>
      </c>
      <c r="AA38" s="29"/>
      <c r="AB38" s="29">
        <v>24.0</v>
      </c>
      <c r="AC38" s="29"/>
      <c r="AD38" s="29">
        <v>24.0</v>
      </c>
      <c r="AE38" s="30"/>
      <c r="AF38" s="30">
        <v>24.0</v>
      </c>
      <c r="AG38" s="29"/>
      <c r="AH38" s="29">
        <v>24.0</v>
      </c>
      <c r="AI38" s="29"/>
      <c r="AJ38" s="29"/>
      <c r="AK38" s="29">
        <v>24.0</v>
      </c>
      <c r="AL38" s="31">
        <f t="shared" si="8"/>
        <v>13</v>
      </c>
      <c r="AM38" s="51">
        <f t="shared" si="7"/>
        <v>277</v>
      </c>
      <c r="AN38" s="203"/>
      <c r="AO38" s="203"/>
      <c r="AP38" s="89"/>
      <c r="AQ38" s="89"/>
      <c r="AR38" s="89"/>
      <c r="AS38" s="89"/>
      <c r="AT38" s="89"/>
      <c r="AU38" s="89"/>
      <c r="AV38" s="89"/>
    </row>
    <row r="39" ht="14.25" customHeight="1">
      <c r="A39" s="24">
        <v>27.0</v>
      </c>
      <c r="B39" s="25" t="s">
        <v>95</v>
      </c>
      <c r="C39" s="108">
        <v>1.0</v>
      </c>
      <c r="D39" s="100" t="s">
        <v>114</v>
      </c>
      <c r="E39" s="26" t="s">
        <v>102</v>
      </c>
      <c r="F39" s="88"/>
      <c r="G39" s="17"/>
      <c r="H39" s="29"/>
      <c r="I39" s="29">
        <v>17.0</v>
      </c>
      <c r="J39" s="30"/>
      <c r="K39" s="30"/>
      <c r="L39" s="29">
        <v>17.0</v>
      </c>
      <c r="M39" s="29"/>
      <c r="N39" s="29"/>
      <c r="O39" s="29"/>
      <c r="P39" s="29"/>
      <c r="Q39" s="30">
        <v>17.0</v>
      </c>
      <c r="R39" s="30">
        <v>17.0</v>
      </c>
      <c r="S39" s="29">
        <v>17.0</v>
      </c>
      <c r="T39" s="29"/>
      <c r="U39" s="29"/>
      <c r="V39" s="104"/>
      <c r="W39" s="29">
        <v>24.0</v>
      </c>
      <c r="X39" s="30"/>
      <c r="Y39" s="30">
        <v>24.0</v>
      </c>
      <c r="Z39" s="29"/>
      <c r="AA39" s="29">
        <v>24.0</v>
      </c>
      <c r="AB39" s="29"/>
      <c r="AC39" s="29">
        <v>24.0</v>
      </c>
      <c r="AD39" s="29"/>
      <c r="AE39" s="30">
        <v>24.0</v>
      </c>
      <c r="AF39" s="30"/>
      <c r="AG39" s="29">
        <v>24.0</v>
      </c>
      <c r="AH39" s="29"/>
      <c r="AI39" s="29"/>
      <c r="AJ39" s="29"/>
      <c r="AK39" s="29"/>
      <c r="AL39" s="111">
        <f t="shared" si="8"/>
        <v>11</v>
      </c>
      <c r="AM39" s="113">
        <f t="shared" si="7"/>
        <v>229</v>
      </c>
      <c r="AN39" s="206" t="s">
        <v>202</v>
      </c>
      <c r="AO39" s="148"/>
      <c r="AP39" s="115"/>
      <c r="AQ39" s="115"/>
      <c r="AR39" s="115"/>
      <c r="AS39" s="115"/>
      <c r="AT39" s="115"/>
      <c r="AU39" s="115"/>
      <c r="AV39" s="115"/>
    </row>
    <row r="40" ht="14.25" customHeight="1">
      <c r="A40" s="24"/>
      <c r="B40" s="25" t="s">
        <v>203</v>
      </c>
      <c r="C40" s="108">
        <v>1.0</v>
      </c>
      <c r="D40" s="100" t="s">
        <v>114</v>
      </c>
      <c r="E40" s="26" t="s">
        <v>102</v>
      </c>
      <c r="F40" s="27"/>
      <c r="G40" s="207"/>
      <c r="H40" s="29">
        <v>17.0</v>
      </c>
      <c r="I40" s="29"/>
      <c r="J40" s="30">
        <v>17.0</v>
      </c>
      <c r="K40" s="30">
        <v>17.0</v>
      </c>
      <c r="L40" s="29"/>
      <c r="M40" s="29"/>
      <c r="N40" s="29">
        <v>17.0</v>
      </c>
      <c r="O40" s="29"/>
      <c r="P40" s="29"/>
      <c r="Q40" s="30"/>
      <c r="R40" s="30"/>
      <c r="S40" s="29"/>
      <c r="T40" s="29"/>
      <c r="U40" s="29"/>
      <c r="V40" s="29">
        <v>17.0</v>
      </c>
      <c r="W40" s="29"/>
      <c r="X40" s="30"/>
      <c r="Y40" s="30"/>
      <c r="Z40" s="29"/>
      <c r="AA40" s="29"/>
      <c r="AB40" s="29"/>
      <c r="AC40" s="29"/>
      <c r="AD40" s="29"/>
      <c r="AE40" s="30"/>
      <c r="AF40" s="30"/>
      <c r="AG40" s="29"/>
      <c r="AH40" s="29"/>
      <c r="AI40" s="29"/>
      <c r="AJ40" s="29"/>
      <c r="AK40" s="29"/>
      <c r="AL40" s="111">
        <f t="shared" si="8"/>
        <v>5</v>
      </c>
      <c r="AM40" s="113">
        <f t="shared" si="7"/>
        <v>85</v>
      </c>
      <c r="AN40" s="206" t="s">
        <v>204</v>
      </c>
      <c r="AO40" s="148"/>
      <c r="AP40" s="115"/>
      <c r="AQ40" s="115"/>
      <c r="AR40" s="115"/>
      <c r="AS40" s="115"/>
      <c r="AT40" s="115"/>
      <c r="AU40" s="115"/>
      <c r="AV40" s="115"/>
    </row>
    <row r="41" ht="14.25" customHeight="1">
      <c r="A41" s="34">
        <v>28.0</v>
      </c>
      <c r="B41" s="64" t="s">
        <v>104</v>
      </c>
      <c r="C41" s="101">
        <v>1.0</v>
      </c>
      <c r="D41" s="102" t="s">
        <v>63</v>
      </c>
      <c r="E41" s="101" t="s">
        <v>105</v>
      </c>
      <c r="F41" s="97"/>
      <c r="G41" s="103">
        <v>0.4</v>
      </c>
      <c r="H41" s="104"/>
      <c r="I41" s="104"/>
      <c r="J41" s="105"/>
      <c r="K41" s="105"/>
      <c r="L41" s="104"/>
      <c r="M41" s="104"/>
      <c r="N41" s="104"/>
      <c r="O41" s="104"/>
      <c r="P41" s="104"/>
      <c r="Q41" s="105"/>
      <c r="R41" s="105"/>
      <c r="S41" s="104"/>
      <c r="T41" s="104"/>
      <c r="U41" s="104">
        <v>17.0</v>
      </c>
      <c r="V41" s="104">
        <v>17.0</v>
      </c>
      <c r="W41" s="104"/>
      <c r="X41" s="105">
        <v>17.0</v>
      </c>
      <c r="Y41" s="105">
        <v>17.0</v>
      </c>
      <c r="Z41" s="104">
        <v>17.0</v>
      </c>
      <c r="AA41" s="104">
        <v>17.0</v>
      </c>
      <c r="AB41" s="104"/>
      <c r="AC41" s="104"/>
      <c r="AD41" s="104"/>
      <c r="AE41" s="105"/>
      <c r="AF41" s="105">
        <v>17.0</v>
      </c>
      <c r="AG41" s="104"/>
      <c r="AH41" s="104">
        <v>17.0</v>
      </c>
      <c r="AI41" s="104"/>
      <c r="AJ41" s="104">
        <v>17.0</v>
      </c>
      <c r="AK41" s="104">
        <v>17.0</v>
      </c>
      <c r="AL41" s="31">
        <f t="shared" si="8"/>
        <v>10</v>
      </c>
      <c r="AM41" s="51">
        <f t="shared" si="7"/>
        <v>170</v>
      </c>
      <c r="AN41" s="203"/>
      <c r="AO41" s="203"/>
    </row>
    <row r="42" ht="14.25" customHeight="1">
      <c r="A42" s="34">
        <v>29.0</v>
      </c>
      <c r="B42" s="137" t="s">
        <v>184</v>
      </c>
      <c r="C42" s="129">
        <v>1.0</v>
      </c>
      <c r="D42" s="102" t="s">
        <v>63</v>
      </c>
      <c r="E42" s="121" t="s">
        <v>105</v>
      </c>
      <c r="F42" s="97"/>
      <c r="G42" s="103">
        <v>0.4</v>
      </c>
      <c r="H42" s="104"/>
      <c r="I42" s="104"/>
      <c r="J42" s="105"/>
      <c r="K42" s="105"/>
      <c r="L42" s="104"/>
      <c r="M42" s="104"/>
      <c r="N42" s="104"/>
      <c r="O42" s="104"/>
      <c r="P42" s="104"/>
      <c r="Q42" s="105"/>
      <c r="R42" s="105"/>
      <c r="S42" s="104"/>
      <c r="T42" s="104"/>
      <c r="U42" s="104">
        <v>17.0</v>
      </c>
      <c r="V42" s="104"/>
      <c r="W42" s="104"/>
      <c r="X42" s="105">
        <v>17.0</v>
      </c>
      <c r="Y42" s="105">
        <v>17.0</v>
      </c>
      <c r="Z42" s="104">
        <v>17.0</v>
      </c>
      <c r="AA42" s="104">
        <v>17.0</v>
      </c>
      <c r="AB42" s="104">
        <v>17.0</v>
      </c>
      <c r="AC42" s="104"/>
      <c r="AD42" s="104"/>
      <c r="AE42" s="105"/>
      <c r="AF42" s="105">
        <v>17.0</v>
      </c>
      <c r="AG42" s="104"/>
      <c r="AH42" s="104"/>
      <c r="AI42" s="104"/>
      <c r="AJ42" s="104"/>
      <c r="AK42" s="104"/>
      <c r="AL42" s="31">
        <f t="shared" si="8"/>
        <v>7</v>
      </c>
      <c r="AM42" s="51">
        <f t="shared" si="7"/>
        <v>119</v>
      </c>
    </row>
    <row r="43" ht="17.25" customHeight="1">
      <c r="A43" s="34">
        <v>30.0</v>
      </c>
      <c r="B43" s="36" t="s">
        <v>109</v>
      </c>
      <c r="C43" s="65">
        <v>1.0</v>
      </c>
      <c r="D43" s="117" t="s">
        <v>131</v>
      </c>
      <c r="E43" s="27" t="s">
        <v>111</v>
      </c>
      <c r="F43" s="65">
        <v>12.0</v>
      </c>
      <c r="G43" s="118" t="s">
        <v>26</v>
      </c>
      <c r="H43" s="29">
        <v>12.0</v>
      </c>
      <c r="I43" s="29">
        <v>12.0</v>
      </c>
      <c r="J43" s="30">
        <v>12.0</v>
      </c>
      <c r="K43" s="30">
        <v>12.0</v>
      </c>
      <c r="L43" s="29">
        <v>12.0</v>
      </c>
      <c r="M43" s="29">
        <v>12.0</v>
      </c>
      <c r="N43" s="29">
        <v>12.0</v>
      </c>
      <c r="O43" s="29">
        <v>12.0</v>
      </c>
      <c r="P43" s="29">
        <v>12.0</v>
      </c>
      <c r="Q43" s="30">
        <v>12.0</v>
      </c>
      <c r="R43" s="30">
        <v>18.0</v>
      </c>
      <c r="S43" s="29">
        <v>12.0</v>
      </c>
      <c r="T43" s="29">
        <v>12.0</v>
      </c>
      <c r="U43" s="29">
        <v>12.0</v>
      </c>
      <c r="V43" s="29">
        <v>12.0</v>
      </c>
      <c r="W43" s="29">
        <v>12.0</v>
      </c>
      <c r="X43" s="30">
        <v>12.0</v>
      </c>
      <c r="Y43" s="30">
        <v>12.0</v>
      </c>
      <c r="Z43" s="29">
        <v>12.0</v>
      </c>
      <c r="AA43" s="29">
        <v>12.0</v>
      </c>
      <c r="AB43" s="208">
        <v>6.0</v>
      </c>
      <c r="AC43" s="29">
        <v>12.0</v>
      </c>
      <c r="AD43" s="29">
        <v>12.0</v>
      </c>
      <c r="AE43" s="30">
        <v>12.0</v>
      </c>
      <c r="AF43" s="30">
        <v>12.0</v>
      </c>
      <c r="AG43" s="29">
        <v>12.0</v>
      </c>
      <c r="AH43" s="208">
        <v>6.0</v>
      </c>
      <c r="AI43" s="29">
        <v>12.0</v>
      </c>
      <c r="AJ43" s="29">
        <v>12.0</v>
      </c>
      <c r="AK43" s="29">
        <v>12.0</v>
      </c>
      <c r="AL43" s="31">
        <v>29.5</v>
      </c>
      <c r="AM43" s="51">
        <f t="shared" si="7"/>
        <v>354</v>
      </c>
    </row>
    <row r="44" ht="17.25" customHeight="1">
      <c r="A44" s="34">
        <v>31.0</v>
      </c>
      <c r="B44" s="35" t="s">
        <v>135</v>
      </c>
      <c r="C44" s="65">
        <v>1.0</v>
      </c>
      <c r="D44" s="90" t="s">
        <v>113</v>
      </c>
      <c r="E44" s="27" t="s">
        <v>111</v>
      </c>
      <c r="F44" s="65">
        <v>12.0</v>
      </c>
      <c r="G44" s="118" t="s">
        <v>26</v>
      </c>
      <c r="H44" s="29">
        <v>12.0</v>
      </c>
      <c r="I44" s="29"/>
      <c r="J44" s="30">
        <v>12.0</v>
      </c>
      <c r="K44" s="30">
        <v>12.0</v>
      </c>
      <c r="L44" s="29">
        <v>12.0</v>
      </c>
      <c r="M44" s="29">
        <v>12.0</v>
      </c>
      <c r="N44" s="29"/>
      <c r="O44" s="29">
        <v>12.0</v>
      </c>
      <c r="P44" s="29">
        <v>12.0</v>
      </c>
      <c r="Q44" s="30">
        <v>12.0</v>
      </c>
      <c r="R44" s="30"/>
      <c r="S44" s="29">
        <v>12.0</v>
      </c>
      <c r="T44" s="29">
        <v>12.0</v>
      </c>
      <c r="U44" s="29"/>
      <c r="V44" s="29"/>
      <c r="W44" s="29">
        <v>12.0</v>
      </c>
      <c r="X44" s="30">
        <v>12.0</v>
      </c>
      <c r="Y44" s="30">
        <v>12.0</v>
      </c>
      <c r="Z44" s="29">
        <v>12.0</v>
      </c>
      <c r="AA44" s="29">
        <v>12.0</v>
      </c>
      <c r="AB44" s="29"/>
      <c r="AC44" s="29">
        <v>12.0</v>
      </c>
      <c r="AD44" s="29">
        <v>12.0</v>
      </c>
      <c r="AE44" s="30">
        <v>12.0</v>
      </c>
      <c r="AF44" s="30">
        <v>12.0</v>
      </c>
      <c r="AG44" s="29"/>
      <c r="AH44" s="29">
        <v>12.0</v>
      </c>
      <c r="AI44" s="29">
        <v>12.0</v>
      </c>
      <c r="AJ44" s="29"/>
      <c r="AK44" s="29">
        <v>12.0</v>
      </c>
      <c r="AL44" s="31">
        <f t="shared" ref="AL44:AL50" si="9">COUNT(H44:AK44)</f>
        <v>22</v>
      </c>
      <c r="AM44" s="51">
        <f t="shared" si="7"/>
        <v>264</v>
      </c>
    </row>
    <row r="45" ht="20.25" customHeight="1">
      <c r="A45" s="34">
        <v>32.0</v>
      </c>
      <c r="B45" s="35" t="s">
        <v>135</v>
      </c>
      <c r="C45" s="65">
        <v>1.0</v>
      </c>
      <c r="D45" s="90" t="s">
        <v>187</v>
      </c>
      <c r="E45" s="27" t="s">
        <v>73</v>
      </c>
      <c r="F45" s="27">
        <v>12.0</v>
      </c>
      <c r="G45" s="123" t="s">
        <v>26</v>
      </c>
      <c r="H45" s="29">
        <v>12.0</v>
      </c>
      <c r="I45" s="29"/>
      <c r="J45" s="30"/>
      <c r="K45" s="30">
        <v>12.0</v>
      </c>
      <c r="L45" s="29">
        <v>12.0</v>
      </c>
      <c r="M45" s="29">
        <v>12.0</v>
      </c>
      <c r="N45" s="29"/>
      <c r="O45" s="29">
        <v>12.0</v>
      </c>
      <c r="P45" s="29">
        <v>12.0</v>
      </c>
      <c r="Q45" s="30">
        <v>12.0</v>
      </c>
      <c r="R45" s="30"/>
      <c r="S45" s="29">
        <v>12.0</v>
      </c>
      <c r="T45" s="29">
        <v>12.0</v>
      </c>
      <c r="U45" s="29">
        <v>12.0</v>
      </c>
      <c r="V45" s="29"/>
      <c r="W45" s="29">
        <v>12.0</v>
      </c>
      <c r="X45" s="30">
        <v>12.0</v>
      </c>
      <c r="Y45" s="30">
        <v>12.0</v>
      </c>
      <c r="Z45" s="29">
        <v>12.0</v>
      </c>
      <c r="AA45" s="29"/>
      <c r="AB45" s="29"/>
      <c r="AC45" s="29">
        <v>12.0</v>
      </c>
      <c r="AD45" s="29">
        <v>12.0</v>
      </c>
      <c r="AE45" s="30">
        <v>12.0</v>
      </c>
      <c r="AF45" s="30">
        <v>12.0</v>
      </c>
      <c r="AG45" s="29"/>
      <c r="AH45" s="29">
        <v>12.0</v>
      </c>
      <c r="AI45" s="29"/>
      <c r="AJ45" s="29">
        <v>12.0</v>
      </c>
      <c r="AK45" s="29">
        <v>12.0</v>
      </c>
      <c r="AL45" s="31">
        <f t="shared" si="9"/>
        <v>21</v>
      </c>
      <c r="AM45" s="51">
        <f t="shared" si="7"/>
        <v>252</v>
      </c>
      <c r="AN45" s="89"/>
      <c r="AO45" s="89"/>
      <c r="AP45" s="89"/>
      <c r="AQ45" s="89"/>
      <c r="AR45" s="89"/>
      <c r="AS45" s="89"/>
      <c r="AT45" s="89"/>
      <c r="AU45" s="89"/>
      <c r="AV45" s="89"/>
    </row>
    <row r="46" ht="23.25" customHeight="1">
      <c r="A46" s="124">
        <v>33.0</v>
      </c>
      <c r="B46" s="128" t="s">
        <v>142</v>
      </c>
      <c r="C46" s="129">
        <v>1.0</v>
      </c>
      <c r="D46" s="130" t="s">
        <v>201</v>
      </c>
      <c r="E46" s="129" t="s">
        <v>125</v>
      </c>
      <c r="F46" s="121">
        <v>12.0</v>
      </c>
      <c r="G46" s="131"/>
      <c r="H46" s="29"/>
      <c r="I46" s="72">
        <v>12.0</v>
      </c>
      <c r="J46" s="72">
        <v>12.0</v>
      </c>
      <c r="K46" s="72">
        <v>12.0</v>
      </c>
      <c r="L46" s="72">
        <v>12.0</v>
      </c>
      <c r="M46" s="72">
        <v>12.0</v>
      </c>
      <c r="N46" s="72">
        <v>24.0</v>
      </c>
      <c r="O46" s="72">
        <v>12.0</v>
      </c>
      <c r="P46" s="72">
        <v>12.0</v>
      </c>
      <c r="Q46" s="72">
        <v>12.0</v>
      </c>
      <c r="R46" s="72">
        <v>12.0</v>
      </c>
      <c r="S46" s="29">
        <v>12.0</v>
      </c>
      <c r="T46" s="29"/>
      <c r="U46" s="29"/>
      <c r="V46" s="29"/>
      <c r="W46" s="29"/>
      <c r="X46" s="30"/>
      <c r="Y46" s="30"/>
      <c r="Z46" s="29"/>
      <c r="AA46" s="29"/>
      <c r="AB46" s="29"/>
      <c r="AC46" s="29"/>
      <c r="AD46" s="29"/>
      <c r="AE46" s="30"/>
      <c r="AF46" s="30"/>
      <c r="AG46" s="29"/>
      <c r="AH46" s="29"/>
      <c r="AI46" s="29"/>
      <c r="AJ46" s="29"/>
      <c r="AK46" s="29"/>
      <c r="AL46" s="31">
        <f t="shared" si="9"/>
        <v>11</v>
      </c>
      <c r="AM46" s="51">
        <f t="shared" si="7"/>
        <v>144</v>
      </c>
      <c r="AO46" s="89"/>
      <c r="AP46" s="89"/>
      <c r="AQ46" s="89"/>
      <c r="AR46" s="89"/>
      <c r="AS46" s="89"/>
      <c r="AT46" s="89"/>
      <c r="AU46" s="89"/>
      <c r="AV46" s="89"/>
    </row>
    <row r="47" ht="19.5" customHeight="1">
      <c r="A47" s="17"/>
      <c r="B47" s="17"/>
      <c r="C47" s="17"/>
      <c r="D47" s="17"/>
      <c r="E47" s="121" t="s">
        <v>127</v>
      </c>
      <c r="F47" s="121">
        <v>12.0</v>
      </c>
      <c r="G47" s="131"/>
      <c r="H47" s="29"/>
      <c r="I47" s="29"/>
      <c r="J47" s="30"/>
      <c r="K47" s="30"/>
      <c r="L47" s="29"/>
      <c r="M47" s="29"/>
      <c r="N47" s="29"/>
      <c r="O47" s="29"/>
      <c r="P47" s="29"/>
      <c r="Q47" s="30"/>
      <c r="R47" s="30"/>
      <c r="S47" s="29"/>
      <c r="T47" s="29"/>
      <c r="U47" s="29"/>
      <c r="V47" s="29"/>
      <c r="W47" s="29"/>
      <c r="X47" s="30"/>
      <c r="Y47" s="30"/>
      <c r="Z47" s="29"/>
      <c r="AA47" s="29"/>
      <c r="AB47" s="29"/>
      <c r="AC47" s="29"/>
      <c r="AD47" s="29"/>
      <c r="AE47" s="30"/>
      <c r="AF47" s="30"/>
      <c r="AG47" s="29"/>
      <c r="AH47" s="29"/>
      <c r="AI47" s="29"/>
      <c r="AJ47" s="29"/>
      <c r="AK47" s="29"/>
      <c r="AL47" s="31">
        <f t="shared" si="9"/>
        <v>0</v>
      </c>
      <c r="AM47" s="51">
        <f t="shared" si="7"/>
        <v>0</v>
      </c>
      <c r="AO47" s="89"/>
      <c r="AP47" s="89"/>
      <c r="AQ47" s="89"/>
      <c r="AR47" s="89"/>
      <c r="AS47" s="89"/>
      <c r="AT47" s="89"/>
      <c r="AU47" s="89"/>
      <c r="AV47" s="89"/>
    </row>
    <row r="48" ht="19.5" customHeight="1">
      <c r="A48" s="34">
        <v>34.0</v>
      </c>
      <c r="B48" s="35" t="s">
        <v>144</v>
      </c>
      <c r="C48" s="135">
        <v>1.0</v>
      </c>
      <c r="D48" s="35" t="s">
        <v>132</v>
      </c>
      <c r="E48" s="27" t="s">
        <v>133</v>
      </c>
      <c r="F48" s="135">
        <v>12.0</v>
      </c>
      <c r="G48" s="205"/>
      <c r="H48" s="29"/>
      <c r="I48" s="29"/>
      <c r="J48" s="30"/>
      <c r="K48" s="30"/>
      <c r="L48" s="29"/>
      <c r="M48" s="29"/>
      <c r="N48" s="29"/>
      <c r="O48" s="29"/>
      <c r="P48" s="29"/>
      <c r="Q48" s="30"/>
      <c r="R48" s="30"/>
      <c r="S48" s="29"/>
      <c r="T48" s="29"/>
      <c r="U48" s="29"/>
      <c r="V48" s="29">
        <v>12.0</v>
      </c>
      <c r="W48" s="29">
        <v>12.0</v>
      </c>
      <c r="X48" s="30">
        <v>12.0</v>
      </c>
      <c r="Y48" s="30">
        <v>12.0</v>
      </c>
      <c r="Z48" s="29">
        <v>12.0</v>
      </c>
      <c r="AA48" s="29">
        <v>12.0</v>
      </c>
      <c r="AB48" s="29">
        <v>12.0</v>
      </c>
      <c r="AC48" s="29">
        <v>12.0</v>
      </c>
      <c r="AD48" s="29">
        <v>12.0</v>
      </c>
      <c r="AE48" s="30">
        <v>12.0</v>
      </c>
      <c r="AF48" s="30">
        <v>12.0</v>
      </c>
      <c r="AG48" s="29">
        <v>12.0</v>
      </c>
      <c r="AH48" s="29">
        <v>12.0</v>
      </c>
      <c r="AI48" s="29">
        <v>12.0</v>
      </c>
      <c r="AJ48" s="29">
        <v>12.0</v>
      </c>
      <c r="AK48" s="29">
        <v>12.0</v>
      </c>
      <c r="AL48" s="31">
        <f t="shared" si="9"/>
        <v>16</v>
      </c>
      <c r="AM48" s="51">
        <f t="shared" si="7"/>
        <v>192</v>
      </c>
      <c r="AO48" s="89"/>
      <c r="AP48" s="89"/>
      <c r="AQ48" s="89"/>
      <c r="AR48" s="89"/>
      <c r="AS48" s="89"/>
      <c r="AT48" s="89"/>
      <c r="AU48" s="89"/>
      <c r="AV48" s="89"/>
    </row>
    <row r="49" ht="18.75" customHeight="1">
      <c r="A49" s="34">
        <v>35.0</v>
      </c>
      <c r="B49" s="35" t="s">
        <v>144</v>
      </c>
      <c r="C49" s="27">
        <v>1.0</v>
      </c>
      <c r="D49" s="35" t="s">
        <v>132</v>
      </c>
      <c r="E49" s="27" t="s">
        <v>133</v>
      </c>
      <c r="F49" s="27">
        <v>12.0</v>
      </c>
      <c r="G49" s="123" t="s">
        <v>26</v>
      </c>
      <c r="H49" s="29"/>
      <c r="I49" s="29"/>
      <c r="J49" s="30"/>
      <c r="K49" s="30"/>
      <c r="L49" s="29"/>
      <c r="M49" s="29"/>
      <c r="N49" s="29"/>
      <c r="O49" s="29"/>
      <c r="P49" s="29"/>
      <c r="Q49" s="30"/>
      <c r="R49" s="30"/>
      <c r="S49" s="29">
        <v>12.0</v>
      </c>
      <c r="T49" s="29">
        <v>12.0</v>
      </c>
      <c r="U49" s="29">
        <v>12.0</v>
      </c>
      <c r="V49" s="29"/>
      <c r="W49" s="29"/>
      <c r="X49" s="30">
        <v>12.0</v>
      </c>
      <c r="Y49" s="30">
        <v>12.0</v>
      </c>
      <c r="Z49" s="29"/>
      <c r="AA49" s="29"/>
      <c r="AB49" s="29"/>
      <c r="AC49" s="29"/>
      <c r="AD49" s="29"/>
      <c r="AE49" s="30"/>
      <c r="AF49" s="30">
        <v>12.0</v>
      </c>
      <c r="AG49" s="29">
        <v>12.0</v>
      </c>
      <c r="AH49" s="29"/>
      <c r="AI49" s="29"/>
      <c r="AJ49" s="29"/>
      <c r="AK49" s="29">
        <v>12.0</v>
      </c>
      <c r="AL49" s="31">
        <f t="shared" si="9"/>
        <v>8</v>
      </c>
      <c r="AM49" s="51">
        <f t="shared" si="7"/>
        <v>96</v>
      </c>
    </row>
    <row r="50" ht="19.5" customHeight="1">
      <c r="A50" s="34">
        <v>36.0</v>
      </c>
      <c r="B50" s="35" t="s">
        <v>136</v>
      </c>
      <c r="C50" s="27">
        <v>1.0</v>
      </c>
      <c r="D50" s="117" t="s">
        <v>137</v>
      </c>
      <c r="E50" s="26" t="s">
        <v>138</v>
      </c>
      <c r="F50" s="26">
        <v>11.0</v>
      </c>
      <c r="G50" s="28" t="s">
        <v>26</v>
      </c>
      <c r="H50" s="29"/>
      <c r="I50" s="29">
        <v>11.0</v>
      </c>
      <c r="J50" s="30">
        <v>11.0</v>
      </c>
      <c r="K50" s="30">
        <v>11.0</v>
      </c>
      <c r="L50" s="29">
        <v>11.0</v>
      </c>
      <c r="M50" s="29">
        <v>11.0</v>
      </c>
      <c r="N50" s="29">
        <v>11.0</v>
      </c>
      <c r="O50" s="29"/>
      <c r="P50" s="29">
        <v>11.0</v>
      </c>
      <c r="Q50" s="30">
        <v>11.0</v>
      </c>
      <c r="R50" s="30">
        <v>11.0</v>
      </c>
      <c r="S50" s="99"/>
      <c r="T50" s="99"/>
      <c r="U50" s="99"/>
      <c r="V50" s="99"/>
      <c r="W50" s="29">
        <v>11.0</v>
      </c>
      <c r="X50" s="30">
        <v>11.0</v>
      </c>
      <c r="Y50" s="30">
        <v>11.0</v>
      </c>
      <c r="Z50" s="29">
        <v>11.0</v>
      </c>
      <c r="AA50" s="29">
        <v>11.0</v>
      </c>
      <c r="AB50" s="29">
        <v>11.0</v>
      </c>
      <c r="AC50" s="29">
        <v>11.0</v>
      </c>
      <c r="AD50" s="29"/>
      <c r="AE50" s="30">
        <v>11.0</v>
      </c>
      <c r="AF50" s="30">
        <v>11.0</v>
      </c>
      <c r="AG50" s="29">
        <v>11.0</v>
      </c>
      <c r="AH50" s="29">
        <v>11.0</v>
      </c>
      <c r="AI50" s="29">
        <v>11.0</v>
      </c>
      <c r="AJ50" s="29">
        <v>11.0</v>
      </c>
      <c r="AK50" s="29">
        <v>11.0</v>
      </c>
      <c r="AL50" s="31">
        <f t="shared" si="9"/>
        <v>23</v>
      </c>
      <c r="AM50" s="51">
        <f t="shared" si="7"/>
        <v>253</v>
      </c>
    </row>
    <row r="51" ht="14.25" customHeight="1">
      <c r="A51" s="21"/>
      <c r="B51" s="20" t="s">
        <v>140</v>
      </c>
      <c r="C51" s="21"/>
      <c r="D51" s="20" t="s">
        <v>140</v>
      </c>
      <c r="E51" s="21"/>
      <c r="F51" s="21"/>
      <c r="G51" s="21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3"/>
      <c r="AM51" s="45"/>
    </row>
    <row r="52" ht="14.25" customHeight="1">
      <c r="A52" s="34">
        <v>37.0</v>
      </c>
      <c r="B52" s="35" t="s">
        <v>140</v>
      </c>
      <c r="C52" s="27">
        <v>1.0</v>
      </c>
      <c r="D52" s="117" t="s">
        <v>153</v>
      </c>
      <c r="E52" s="139" t="s">
        <v>51</v>
      </c>
      <c r="F52" s="139">
        <v>24.0</v>
      </c>
      <c r="G52" s="28" t="s">
        <v>85</v>
      </c>
      <c r="H52" s="29"/>
      <c r="I52" s="29"/>
      <c r="J52" s="30">
        <v>24.0</v>
      </c>
      <c r="K52" s="30"/>
      <c r="L52" s="29"/>
      <c r="M52" s="29">
        <v>24.0</v>
      </c>
      <c r="N52" s="29"/>
      <c r="O52" s="29"/>
      <c r="P52" s="29">
        <v>24.0</v>
      </c>
      <c r="Q52" s="30"/>
      <c r="R52" s="30"/>
      <c r="S52" s="29">
        <v>24.0</v>
      </c>
      <c r="T52" s="29"/>
      <c r="U52" s="29"/>
      <c r="V52" s="29">
        <v>24.0</v>
      </c>
      <c r="W52" s="29"/>
      <c r="X52" s="30"/>
      <c r="Y52" s="30">
        <v>24.0</v>
      </c>
      <c r="Z52" s="29"/>
      <c r="AA52" s="29"/>
      <c r="AB52" s="29">
        <v>24.0</v>
      </c>
      <c r="AC52" s="29"/>
      <c r="AD52" s="29"/>
      <c r="AE52" s="30">
        <v>24.0</v>
      </c>
      <c r="AF52" s="30"/>
      <c r="AG52" s="29"/>
      <c r="AH52" s="29">
        <v>24.0</v>
      </c>
      <c r="AI52" s="29"/>
      <c r="AJ52" s="29"/>
      <c r="AK52" s="29">
        <v>24.0</v>
      </c>
      <c r="AL52" s="31">
        <f t="shared" ref="AL52:AL54" si="10">COUNTA(H52:AK52)</f>
        <v>10</v>
      </c>
      <c r="AM52" s="51">
        <f t="shared" ref="AM52:AM54" si="11">SUM(H52:AK52)</f>
        <v>240</v>
      </c>
    </row>
    <row r="53" ht="14.25" customHeight="1">
      <c r="A53" s="24">
        <v>38.0</v>
      </c>
      <c r="B53" s="35" t="s">
        <v>140</v>
      </c>
      <c r="C53" s="27">
        <v>1.0</v>
      </c>
      <c r="D53" s="117" t="s">
        <v>137</v>
      </c>
      <c r="E53" s="139" t="s">
        <v>51</v>
      </c>
      <c r="F53" s="139">
        <v>24.0</v>
      </c>
      <c r="G53" s="28" t="s">
        <v>85</v>
      </c>
      <c r="H53" s="29"/>
      <c r="I53" s="29">
        <v>24.0</v>
      </c>
      <c r="J53" s="30"/>
      <c r="K53" s="30"/>
      <c r="L53" s="29">
        <v>24.0</v>
      </c>
      <c r="M53" s="29"/>
      <c r="N53" s="29"/>
      <c r="O53" s="29">
        <v>24.0</v>
      </c>
      <c r="P53" s="29"/>
      <c r="Q53" s="30"/>
      <c r="R53" s="30">
        <v>24.0</v>
      </c>
      <c r="S53" s="29"/>
      <c r="T53" s="29"/>
      <c r="U53" s="29"/>
      <c r="V53" s="29"/>
      <c r="W53" s="29"/>
      <c r="X53" s="30">
        <v>24.0</v>
      </c>
      <c r="Y53" s="30"/>
      <c r="Z53" s="29"/>
      <c r="AA53" s="29">
        <v>24.0</v>
      </c>
      <c r="AB53" s="29"/>
      <c r="AC53" s="29"/>
      <c r="AD53" s="29">
        <v>24.0</v>
      </c>
      <c r="AE53" s="30"/>
      <c r="AF53" s="30"/>
      <c r="AG53" s="29">
        <v>24.0</v>
      </c>
      <c r="AH53" s="29"/>
      <c r="AI53" s="29"/>
      <c r="AJ53" s="29">
        <v>24.0</v>
      </c>
      <c r="AK53" s="29"/>
      <c r="AL53" s="31">
        <f t="shared" si="10"/>
        <v>9</v>
      </c>
      <c r="AM53" s="51">
        <f t="shared" si="11"/>
        <v>216</v>
      </c>
      <c r="AN53" s="52" t="s">
        <v>206</v>
      </c>
    </row>
    <row r="54" ht="14.25" customHeight="1">
      <c r="A54" s="24">
        <v>39.0</v>
      </c>
      <c r="B54" s="35" t="s">
        <v>140</v>
      </c>
      <c r="C54" s="27">
        <v>1.0</v>
      </c>
      <c r="D54" s="117" t="s">
        <v>150</v>
      </c>
      <c r="E54" s="139" t="s">
        <v>51</v>
      </c>
      <c r="F54" s="139">
        <v>24.0</v>
      </c>
      <c r="G54" s="28" t="s">
        <v>85</v>
      </c>
      <c r="H54" s="29">
        <v>24.0</v>
      </c>
      <c r="I54" s="29"/>
      <c r="J54" s="30"/>
      <c r="K54" s="30">
        <v>24.0</v>
      </c>
      <c r="L54" s="29"/>
      <c r="M54" s="29"/>
      <c r="N54" s="29">
        <v>24.0</v>
      </c>
      <c r="O54" s="29"/>
      <c r="P54" s="29"/>
      <c r="Q54" s="30">
        <v>24.0</v>
      </c>
      <c r="R54" s="30"/>
      <c r="S54" s="29"/>
      <c r="T54" s="29">
        <v>24.0</v>
      </c>
      <c r="U54" s="29"/>
      <c r="V54" s="29"/>
      <c r="W54" s="29">
        <v>24.0</v>
      </c>
      <c r="X54" s="30"/>
      <c r="Y54" s="30"/>
      <c r="Z54" s="29">
        <v>24.0</v>
      </c>
      <c r="AA54" s="29"/>
      <c r="AB54" s="29"/>
      <c r="AC54" s="29">
        <v>24.0</v>
      </c>
      <c r="AD54" s="29"/>
      <c r="AE54" s="30"/>
      <c r="AF54" s="30">
        <v>24.0</v>
      </c>
      <c r="AG54" s="29"/>
      <c r="AH54" s="29"/>
      <c r="AI54" s="29">
        <v>24.0</v>
      </c>
      <c r="AJ54" s="29"/>
      <c r="AK54" s="29"/>
      <c r="AL54" s="31">
        <f t="shared" si="10"/>
        <v>10</v>
      </c>
      <c r="AM54" s="51">
        <f t="shared" si="11"/>
        <v>240</v>
      </c>
    </row>
    <row r="55" ht="14.25" customHeight="1">
      <c r="A55" s="142"/>
      <c r="B55" s="143" t="s">
        <v>151</v>
      </c>
      <c r="C55" s="144">
        <v>33.0</v>
      </c>
      <c r="D55" s="143" t="s">
        <v>152</v>
      </c>
      <c r="E55" s="144"/>
      <c r="F55" s="144"/>
      <c r="G55" s="144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40"/>
      <c r="AM55" s="45"/>
    </row>
    <row r="56" ht="14.25" customHeight="1">
      <c r="A56" s="142"/>
      <c r="B56" s="146" t="s">
        <v>154</v>
      </c>
      <c r="C56" s="147"/>
      <c r="D56" s="147"/>
      <c r="E56" s="147"/>
      <c r="F56" s="147"/>
      <c r="G56" s="148"/>
      <c r="H56" s="145" t="s">
        <v>155</v>
      </c>
      <c r="I56" s="145" t="s">
        <v>155</v>
      </c>
      <c r="J56" s="145" t="s">
        <v>155</v>
      </c>
      <c r="K56" s="145" t="s">
        <v>155</v>
      </c>
      <c r="L56" s="145" t="s">
        <v>155</v>
      </c>
      <c r="M56" s="145" t="s">
        <v>155</v>
      </c>
      <c r="N56" s="145" t="s">
        <v>155</v>
      </c>
      <c r="O56" s="145" t="s">
        <v>155</v>
      </c>
      <c r="P56" s="145" t="s">
        <v>155</v>
      </c>
      <c r="Q56" s="145" t="s">
        <v>155</v>
      </c>
      <c r="R56" s="145" t="s">
        <v>155</v>
      </c>
      <c r="S56" s="145" t="s">
        <v>155</v>
      </c>
      <c r="T56" s="145" t="s">
        <v>155</v>
      </c>
      <c r="U56" s="145" t="s">
        <v>155</v>
      </c>
      <c r="V56" s="145" t="s">
        <v>155</v>
      </c>
      <c r="W56" s="145" t="s">
        <v>155</v>
      </c>
      <c r="X56" s="145" t="s">
        <v>155</v>
      </c>
      <c r="Y56" s="145" t="s">
        <v>155</v>
      </c>
      <c r="Z56" s="145" t="s">
        <v>155</v>
      </c>
      <c r="AA56" s="145" t="s">
        <v>155</v>
      </c>
      <c r="AB56" s="145" t="s">
        <v>155</v>
      </c>
      <c r="AC56" s="145"/>
      <c r="AD56" s="145"/>
      <c r="AE56" s="145" t="s">
        <v>155</v>
      </c>
      <c r="AF56" s="145" t="s">
        <v>155</v>
      </c>
      <c r="AG56" s="145" t="s">
        <v>155</v>
      </c>
      <c r="AH56" s="145" t="s">
        <v>155</v>
      </c>
      <c r="AI56" s="145"/>
      <c r="AJ56" s="145"/>
      <c r="AK56" s="145"/>
      <c r="AL56" s="40"/>
      <c r="AM56" s="45"/>
    </row>
    <row r="57" ht="14.25" customHeight="1">
      <c r="A57" s="142"/>
      <c r="B57" s="146" t="s">
        <v>156</v>
      </c>
      <c r="C57" s="147"/>
      <c r="D57" s="147"/>
      <c r="E57" s="147"/>
      <c r="F57" s="147"/>
      <c r="G57" s="148"/>
      <c r="H57" s="145">
        <f t="shared" ref="H57:AB57" si="12">COUNTA(#REF!,#REF!,#REF!,#REF!,#REF!)</f>
        <v>5</v>
      </c>
      <c r="I57" s="145">
        <f t="shared" si="12"/>
        <v>5</v>
      </c>
      <c r="J57" s="145">
        <f t="shared" si="12"/>
        <v>5</v>
      </c>
      <c r="K57" s="145">
        <f t="shared" si="12"/>
        <v>5</v>
      </c>
      <c r="L57" s="145">
        <f t="shared" si="12"/>
        <v>5</v>
      </c>
      <c r="M57" s="145">
        <f t="shared" si="12"/>
        <v>5</v>
      </c>
      <c r="N57" s="145">
        <f t="shared" si="12"/>
        <v>5</v>
      </c>
      <c r="O57" s="145">
        <f t="shared" si="12"/>
        <v>5</v>
      </c>
      <c r="P57" s="145">
        <f t="shared" si="12"/>
        <v>5</v>
      </c>
      <c r="Q57" s="145">
        <f t="shared" si="12"/>
        <v>5</v>
      </c>
      <c r="R57" s="145">
        <f t="shared" si="12"/>
        <v>5</v>
      </c>
      <c r="S57" s="145">
        <f t="shared" si="12"/>
        <v>5</v>
      </c>
      <c r="T57" s="145">
        <f t="shared" si="12"/>
        <v>5</v>
      </c>
      <c r="U57" s="145">
        <f t="shared" si="12"/>
        <v>5</v>
      </c>
      <c r="V57" s="145">
        <f t="shared" si="12"/>
        <v>5</v>
      </c>
      <c r="W57" s="145">
        <f t="shared" si="12"/>
        <v>5</v>
      </c>
      <c r="X57" s="145">
        <f t="shared" si="12"/>
        <v>5</v>
      </c>
      <c r="Y57" s="145">
        <f t="shared" si="12"/>
        <v>5</v>
      </c>
      <c r="Z57" s="145">
        <f t="shared" si="12"/>
        <v>5</v>
      </c>
      <c r="AA57" s="145">
        <f t="shared" si="12"/>
        <v>5</v>
      </c>
      <c r="AB57" s="145">
        <f t="shared" si="12"/>
        <v>5</v>
      </c>
      <c r="AC57" s="145"/>
      <c r="AD57" s="145"/>
      <c r="AE57" s="145">
        <f t="shared" ref="AE57:AH57" si="13">COUNTA(#REF!,#REF!,#REF!,#REF!,#REF!)</f>
        <v>5</v>
      </c>
      <c r="AF57" s="145">
        <f t="shared" si="13"/>
        <v>5</v>
      </c>
      <c r="AG57" s="145">
        <f t="shared" si="13"/>
        <v>5</v>
      </c>
      <c r="AH57" s="145">
        <f t="shared" si="13"/>
        <v>5</v>
      </c>
      <c r="AI57" s="145"/>
      <c r="AJ57" s="145"/>
      <c r="AK57" s="145"/>
      <c r="AL57" s="40"/>
      <c r="AM57" s="45"/>
    </row>
    <row r="58" ht="14.25" customHeight="1">
      <c r="A58" s="142"/>
      <c r="B58" s="146" t="s">
        <v>157</v>
      </c>
      <c r="C58" s="147"/>
      <c r="D58" s="147"/>
      <c r="E58" s="147"/>
      <c r="F58" s="147"/>
      <c r="G58" s="148"/>
      <c r="H58" s="145">
        <f t="shared" ref="H58:AB58" si="14">COUNTA(#REF!,#REF!)</f>
        <v>2</v>
      </c>
      <c r="I58" s="145">
        <f t="shared" si="14"/>
        <v>2</v>
      </c>
      <c r="J58" s="145">
        <f t="shared" si="14"/>
        <v>2</v>
      </c>
      <c r="K58" s="145">
        <f t="shared" si="14"/>
        <v>2</v>
      </c>
      <c r="L58" s="145">
        <f t="shared" si="14"/>
        <v>2</v>
      </c>
      <c r="M58" s="145">
        <f t="shared" si="14"/>
        <v>2</v>
      </c>
      <c r="N58" s="145">
        <f t="shared" si="14"/>
        <v>2</v>
      </c>
      <c r="O58" s="145">
        <f t="shared" si="14"/>
        <v>2</v>
      </c>
      <c r="P58" s="145">
        <f t="shared" si="14"/>
        <v>2</v>
      </c>
      <c r="Q58" s="145">
        <f t="shared" si="14"/>
        <v>2</v>
      </c>
      <c r="R58" s="145">
        <f t="shared" si="14"/>
        <v>2</v>
      </c>
      <c r="S58" s="145">
        <f t="shared" si="14"/>
        <v>2</v>
      </c>
      <c r="T58" s="145">
        <f t="shared" si="14"/>
        <v>2</v>
      </c>
      <c r="U58" s="145">
        <f t="shared" si="14"/>
        <v>2</v>
      </c>
      <c r="V58" s="145">
        <f t="shared" si="14"/>
        <v>2</v>
      </c>
      <c r="W58" s="145">
        <f t="shared" si="14"/>
        <v>2</v>
      </c>
      <c r="X58" s="145">
        <f t="shared" si="14"/>
        <v>2</v>
      </c>
      <c r="Y58" s="145">
        <f t="shared" si="14"/>
        <v>2</v>
      </c>
      <c r="Z58" s="145">
        <f t="shared" si="14"/>
        <v>2</v>
      </c>
      <c r="AA58" s="145">
        <f t="shared" si="14"/>
        <v>2</v>
      </c>
      <c r="AB58" s="145">
        <f t="shared" si="14"/>
        <v>2</v>
      </c>
      <c r="AC58" s="145"/>
      <c r="AD58" s="145"/>
      <c r="AE58" s="145">
        <f t="shared" ref="AE58:AH58" si="15">COUNTA(#REF!,#REF!)</f>
        <v>2</v>
      </c>
      <c r="AF58" s="145">
        <f t="shared" si="15"/>
        <v>2</v>
      </c>
      <c r="AG58" s="145">
        <f t="shared" si="15"/>
        <v>2</v>
      </c>
      <c r="AH58" s="145">
        <f t="shared" si="15"/>
        <v>2</v>
      </c>
      <c r="AI58" s="145"/>
      <c r="AJ58" s="145"/>
      <c r="AK58" s="145"/>
      <c r="AL58" s="40"/>
      <c r="AM58" s="45"/>
    </row>
    <row r="59" ht="14.25" customHeight="1">
      <c r="A59" s="2"/>
      <c r="B59" s="3"/>
      <c r="C59" s="2"/>
      <c r="D59" s="2"/>
      <c r="E59" s="2"/>
      <c r="F59" s="2"/>
      <c r="G59" s="4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1"/>
      <c r="AM59" s="11"/>
    </row>
    <row r="60" ht="14.25" customHeight="1">
      <c r="A60" s="152"/>
      <c r="B60" s="153"/>
      <c r="C60" s="154"/>
      <c r="D60" s="155" t="s">
        <v>159</v>
      </c>
      <c r="E60" s="155"/>
      <c r="F60" s="155"/>
      <c r="G60" s="156"/>
      <c r="H60" s="49">
        <f t="shared" ref="H60:AB60" si="16">COUNTA(H10,H11:H19,#REF!,H29:H30,H51,H28:H49,H36)</f>
        <v>10</v>
      </c>
      <c r="I60" s="49">
        <f t="shared" si="16"/>
        <v>12</v>
      </c>
      <c r="J60" s="49">
        <f t="shared" si="16"/>
        <v>14</v>
      </c>
      <c r="K60" s="49">
        <f t="shared" si="16"/>
        <v>12</v>
      </c>
      <c r="L60" s="49">
        <f t="shared" si="16"/>
        <v>11</v>
      </c>
      <c r="M60" s="49">
        <f t="shared" si="16"/>
        <v>12</v>
      </c>
      <c r="N60" s="49">
        <f t="shared" si="16"/>
        <v>12</v>
      </c>
      <c r="O60" s="49">
        <f t="shared" si="16"/>
        <v>13</v>
      </c>
      <c r="P60" s="49">
        <f t="shared" si="16"/>
        <v>11</v>
      </c>
      <c r="Q60" s="49">
        <f t="shared" si="16"/>
        <v>14</v>
      </c>
      <c r="R60" s="49">
        <f t="shared" si="16"/>
        <v>6</v>
      </c>
      <c r="S60" s="49">
        <f t="shared" si="16"/>
        <v>11</v>
      </c>
      <c r="T60" s="49">
        <f t="shared" si="16"/>
        <v>13</v>
      </c>
      <c r="U60" s="49">
        <f t="shared" si="16"/>
        <v>14</v>
      </c>
      <c r="V60" s="49">
        <f t="shared" si="16"/>
        <v>14</v>
      </c>
      <c r="W60" s="49">
        <f t="shared" si="16"/>
        <v>11</v>
      </c>
      <c r="X60" s="49">
        <f t="shared" si="16"/>
        <v>16</v>
      </c>
      <c r="Y60" s="49">
        <f t="shared" si="16"/>
        <v>14</v>
      </c>
      <c r="Z60" s="49">
        <f t="shared" si="16"/>
        <v>11</v>
      </c>
      <c r="AA60" s="49">
        <f t="shared" si="16"/>
        <v>14</v>
      </c>
      <c r="AB60" s="49">
        <f t="shared" si="16"/>
        <v>11</v>
      </c>
      <c r="AC60" s="49"/>
      <c r="AD60" s="49"/>
      <c r="AE60" s="49">
        <f t="shared" ref="AE60:AH60" si="17">COUNTA(AE10,AE11:AE19,#REF!,AE29:AE30,AE51,AE28:AE49,AE36)</f>
        <v>13</v>
      </c>
      <c r="AF60" s="49">
        <f t="shared" si="17"/>
        <v>13</v>
      </c>
      <c r="AG60" s="49">
        <f t="shared" si="17"/>
        <v>7</v>
      </c>
      <c r="AH60" s="49">
        <f t="shared" si="17"/>
        <v>13</v>
      </c>
      <c r="AI60" s="49"/>
      <c r="AJ60" s="49"/>
      <c r="AK60" s="49"/>
      <c r="AL60" s="157">
        <f t="shared" ref="AL60:AL63" si="20">SUM(H60:AH60)</f>
        <v>302</v>
      </c>
      <c r="AM60" s="158">
        <v>250.0</v>
      </c>
    </row>
    <row r="61" ht="14.25" customHeight="1">
      <c r="A61" s="159"/>
      <c r="B61" s="160"/>
      <c r="C61" s="161"/>
      <c r="D61" s="162" t="s">
        <v>160</v>
      </c>
      <c r="E61" s="162"/>
      <c r="F61" s="162"/>
      <c r="G61" s="163"/>
      <c r="H61" s="164">
        <f t="shared" ref="H61:AB61" si="18">COUNTA(H10,#REF!,#REF!,H19,H28:H49,H29:H51)</f>
        <v>16</v>
      </c>
      <c r="I61" s="164">
        <f t="shared" si="18"/>
        <v>14</v>
      </c>
      <c r="J61" s="164">
        <f t="shared" si="18"/>
        <v>18</v>
      </c>
      <c r="K61" s="164">
        <f t="shared" si="18"/>
        <v>19</v>
      </c>
      <c r="L61" s="164">
        <f t="shared" si="18"/>
        <v>19</v>
      </c>
      <c r="M61" s="164">
        <f t="shared" si="18"/>
        <v>16</v>
      </c>
      <c r="N61" s="164">
        <f t="shared" si="18"/>
        <v>14</v>
      </c>
      <c r="O61" s="164">
        <f t="shared" si="18"/>
        <v>15</v>
      </c>
      <c r="P61" s="164">
        <f t="shared" si="18"/>
        <v>14</v>
      </c>
      <c r="Q61" s="164">
        <f t="shared" si="18"/>
        <v>18</v>
      </c>
      <c r="R61" s="164">
        <f t="shared" si="18"/>
        <v>13</v>
      </c>
      <c r="S61" s="164">
        <f t="shared" si="18"/>
        <v>18</v>
      </c>
      <c r="T61" s="164">
        <f t="shared" si="18"/>
        <v>17</v>
      </c>
      <c r="U61" s="164">
        <f t="shared" si="18"/>
        <v>19</v>
      </c>
      <c r="V61" s="164">
        <f t="shared" si="18"/>
        <v>15</v>
      </c>
      <c r="W61" s="164">
        <f t="shared" si="18"/>
        <v>16</v>
      </c>
      <c r="X61" s="164">
        <f t="shared" si="18"/>
        <v>24</v>
      </c>
      <c r="Y61" s="164">
        <f t="shared" si="18"/>
        <v>23</v>
      </c>
      <c r="Z61" s="164">
        <f t="shared" si="18"/>
        <v>21</v>
      </c>
      <c r="AA61" s="164">
        <f t="shared" si="18"/>
        <v>18</v>
      </c>
      <c r="AB61" s="164">
        <f t="shared" si="18"/>
        <v>14</v>
      </c>
      <c r="AC61" s="164"/>
      <c r="AD61" s="164"/>
      <c r="AE61" s="164">
        <f t="shared" ref="AE61:AH61" si="19">COUNTA(AE10,#REF!,#REF!,AE19,AE28:AE49,AE29:AE51)</f>
        <v>18</v>
      </c>
      <c r="AF61" s="164">
        <f t="shared" si="19"/>
        <v>23</v>
      </c>
      <c r="AG61" s="164">
        <f t="shared" si="19"/>
        <v>15</v>
      </c>
      <c r="AH61" s="164">
        <f t="shared" si="19"/>
        <v>18</v>
      </c>
      <c r="AI61" s="164"/>
      <c r="AJ61" s="164"/>
      <c r="AK61" s="164"/>
      <c r="AL61" s="165">
        <f t="shared" si="20"/>
        <v>435</v>
      </c>
      <c r="AM61" s="158"/>
    </row>
    <row r="62" ht="14.25" customHeight="1">
      <c r="A62" s="166"/>
      <c r="B62" s="167"/>
      <c r="C62" s="168"/>
      <c r="D62" s="169" t="s">
        <v>161</v>
      </c>
      <c r="E62" s="169"/>
      <c r="F62" s="169"/>
      <c r="G62" s="170"/>
      <c r="H62" s="171">
        <f t="shared" ref="H62:AB62" si="21">COUNTA(H28:H49,H36,H51:H52)</f>
        <v>8</v>
      </c>
      <c r="I62" s="171">
        <f t="shared" si="21"/>
        <v>5</v>
      </c>
      <c r="J62" s="171">
        <f t="shared" si="21"/>
        <v>8</v>
      </c>
      <c r="K62" s="171">
        <f t="shared" si="21"/>
        <v>9</v>
      </c>
      <c r="L62" s="171">
        <f t="shared" si="21"/>
        <v>8</v>
      </c>
      <c r="M62" s="171">
        <f t="shared" si="21"/>
        <v>7</v>
      </c>
      <c r="N62" s="171">
        <f t="shared" si="21"/>
        <v>6</v>
      </c>
      <c r="O62" s="171">
        <f t="shared" si="21"/>
        <v>6</v>
      </c>
      <c r="P62" s="171">
        <f t="shared" si="21"/>
        <v>6</v>
      </c>
      <c r="Q62" s="171">
        <f t="shared" si="21"/>
        <v>7</v>
      </c>
      <c r="R62" s="171">
        <f t="shared" si="21"/>
        <v>5</v>
      </c>
      <c r="S62" s="171">
        <f t="shared" si="21"/>
        <v>9</v>
      </c>
      <c r="T62" s="171">
        <f t="shared" si="21"/>
        <v>7</v>
      </c>
      <c r="U62" s="171">
        <f t="shared" si="21"/>
        <v>8</v>
      </c>
      <c r="V62" s="171">
        <f t="shared" si="21"/>
        <v>8</v>
      </c>
      <c r="W62" s="171">
        <f t="shared" si="21"/>
        <v>6</v>
      </c>
      <c r="X62" s="171">
        <f t="shared" si="21"/>
        <v>10</v>
      </c>
      <c r="Y62" s="171">
        <f t="shared" si="21"/>
        <v>11</v>
      </c>
      <c r="Z62" s="171">
        <f t="shared" si="21"/>
        <v>9</v>
      </c>
      <c r="AA62" s="171">
        <f t="shared" si="21"/>
        <v>7</v>
      </c>
      <c r="AB62" s="171">
        <f t="shared" si="21"/>
        <v>6</v>
      </c>
      <c r="AC62" s="171"/>
      <c r="AD62" s="171"/>
      <c r="AE62" s="171">
        <f t="shared" ref="AE62:AH62" si="22">COUNTA(AE28:AE49,AE36,AE51:AE52)</f>
        <v>8</v>
      </c>
      <c r="AF62" s="171">
        <f t="shared" si="22"/>
        <v>10</v>
      </c>
      <c r="AG62" s="171">
        <f t="shared" si="22"/>
        <v>6</v>
      </c>
      <c r="AH62" s="171">
        <f t="shared" si="22"/>
        <v>8</v>
      </c>
      <c r="AI62" s="171"/>
      <c r="AJ62" s="171"/>
      <c r="AK62" s="171"/>
      <c r="AL62" s="172">
        <f t="shared" si="20"/>
        <v>188</v>
      </c>
      <c r="AM62" s="173">
        <f>AM60*AL64</f>
        <v>251000</v>
      </c>
    </row>
    <row r="63" ht="14.25" customHeight="1">
      <c r="A63" s="174"/>
      <c r="B63" s="175"/>
      <c r="C63" s="176"/>
      <c r="D63" s="177" t="s">
        <v>162</v>
      </c>
      <c r="E63" s="177"/>
      <c r="F63" s="177"/>
      <c r="G63" s="178"/>
      <c r="H63" s="179">
        <f t="shared" ref="H63:AB63" si="23">COUNTA(#REF!,#REF!,H36,#REF!)</f>
        <v>4</v>
      </c>
      <c r="I63" s="179">
        <f t="shared" si="23"/>
        <v>3</v>
      </c>
      <c r="J63" s="179">
        <f t="shared" si="23"/>
        <v>3</v>
      </c>
      <c r="K63" s="179">
        <f t="shared" si="23"/>
        <v>4</v>
      </c>
      <c r="L63" s="179">
        <f t="shared" si="23"/>
        <v>3</v>
      </c>
      <c r="M63" s="179">
        <f t="shared" si="23"/>
        <v>3</v>
      </c>
      <c r="N63" s="179">
        <f t="shared" si="23"/>
        <v>4</v>
      </c>
      <c r="O63" s="179">
        <f t="shared" si="23"/>
        <v>3</v>
      </c>
      <c r="P63" s="179">
        <f t="shared" si="23"/>
        <v>3</v>
      </c>
      <c r="Q63" s="179">
        <f t="shared" si="23"/>
        <v>3</v>
      </c>
      <c r="R63" s="179">
        <f t="shared" si="23"/>
        <v>3</v>
      </c>
      <c r="S63" s="179">
        <f t="shared" si="23"/>
        <v>3</v>
      </c>
      <c r="T63" s="179">
        <f t="shared" si="23"/>
        <v>3</v>
      </c>
      <c r="U63" s="179">
        <f t="shared" si="23"/>
        <v>3</v>
      </c>
      <c r="V63" s="179">
        <f t="shared" si="23"/>
        <v>4</v>
      </c>
      <c r="W63" s="179">
        <f t="shared" si="23"/>
        <v>3</v>
      </c>
      <c r="X63" s="179">
        <f t="shared" si="23"/>
        <v>3</v>
      </c>
      <c r="Y63" s="179">
        <f t="shared" si="23"/>
        <v>3</v>
      </c>
      <c r="Z63" s="179">
        <f t="shared" si="23"/>
        <v>3</v>
      </c>
      <c r="AA63" s="179">
        <f t="shared" si="23"/>
        <v>3</v>
      </c>
      <c r="AB63" s="179">
        <f t="shared" si="23"/>
        <v>3</v>
      </c>
      <c r="AC63" s="179"/>
      <c r="AD63" s="179"/>
      <c r="AE63" s="179">
        <f t="shared" ref="AE63:AH63" si="24">COUNTA(#REF!,#REF!,AE36,#REF!)</f>
        <v>3</v>
      </c>
      <c r="AF63" s="179">
        <f t="shared" si="24"/>
        <v>3</v>
      </c>
      <c r="AG63" s="179">
        <f t="shared" si="24"/>
        <v>3</v>
      </c>
      <c r="AH63" s="179">
        <f t="shared" si="24"/>
        <v>3</v>
      </c>
      <c r="AI63" s="179"/>
      <c r="AJ63" s="179"/>
      <c r="AK63" s="179"/>
      <c r="AL63" s="179">
        <f t="shared" si="20"/>
        <v>79</v>
      </c>
      <c r="AM63" s="180"/>
    </row>
    <row r="64" ht="14.25" customHeight="1">
      <c r="A64" s="146" t="s">
        <v>163</v>
      </c>
      <c r="B64" s="147"/>
      <c r="C64" s="147"/>
      <c r="D64" s="147"/>
      <c r="E64" s="147"/>
      <c r="F64" s="147"/>
      <c r="G64" s="148"/>
      <c r="H64" s="145">
        <f t="shared" ref="H64:AB64" si="25">SUM(H60:H63)</f>
        <v>38</v>
      </c>
      <c r="I64" s="145">
        <f t="shared" si="25"/>
        <v>34</v>
      </c>
      <c r="J64" s="145">
        <f t="shared" si="25"/>
        <v>43</v>
      </c>
      <c r="K64" s="145">
        <f t="shared" si="25"/>
        <v>44</v>
      </c>
      <c r="L64" s="145">
        <f t="shared" si="25"/>
        <v>41</v>
      </c>
      <c r="M64" s="145">
        <f t="shared" si="25"/>
        <v>38</v>
      </c>
      <c r="N64" s="145">
        <f t="shared" si="25"/>
        <v>36</v>
      </c>
      <c r="O64" s="145">
        <f t="shared" si="25"/>
        <v>37</v>
      </c>
      <c r="P64" s="145">
        <f t="shared" si="25"/>
        <v>34</v>
      </c>
      <c r="Q64" s="145">
        <f t="shared" si="25"/>
        <v>42</v>
      </c>
      <c r="R64" s="145">
        <f t="shared" si="25"/>
        <v>27</v>
      </c>
      <c r="S64" s="145">
        <f t="shared" si="25"/>
        <v>41</v>
      </c>
      <c r="T64" s="145">
        <f t="shared" si="25"/>
        <v>40</v>
      </c>
      <c r="U64" s="145">
        <f t="shared" si="25"/>
        <v>44</v>
      </c>
      <c r="V64" s="145">
        <f t="shared" si="25"/>
        <v>41</v>
      </c>
      <c r="W64" s="145">
        <f t="shared" si="25"/>
        <v>36</v>
      </c>
      <c r="X64" s="145">
        <f t="shared" si="25"/>
        <v>53</v>
      </c>
      <c r="Y64" s="145">
        <f t="shared" si="25"/>
        <v>51</v>
      </c>
      <c r="Z64" s="145">
        <f t="shared" si="25"/>
        <v>44</v>
      </c>
      <c r="AA64" s="145">
        <f t="shared" si="25"/>
        <v>42</v>
      </c>
      <c r="AB64" s="145">
        <f t="shared" si="25"/>
        <v>34</v>
      </c>
      <c r="AC64" s="145"/>
      <c r="AD64" s="145"/>
      <c r="AE64" s="145">
        <f t="shared" ref="AE64:AH64" si="26">SUM(AE60:AE63)</f>
        <v>42</v>
      </c>
      <c r="AF64" s="145">
        <f t="shared" si="26"/>
        <v>49</v>
      </c>
      <c r="AG64" s="145">
        <f t="shared" si="26"/>
        <v>31</v>
      </c>
      <c r="AH64" s="145">
        <f t="shared" si="26"/>
        <v>42</v>
      </c>
      <c r="AI64" s="145"/>
      <c r="AJ64" s="145"/>
      <c r="AK64" s="145"/>
      <c r="AL64" s="145">
        <f>SUM(AL60:AL63)</f>
        <v>1004</v>
      </c>
      <c r="AM64" s="181"/>
    </row>
    <row r="65" ht="14.25" customHeight="1">
      <c r="A65" s="2"/>
      <c r="B65" s="182" t="s">
        <v>164</v>
      </c>
      <c r="C65" s="182"/>
      <c r="D65" s="182"/>
      <c r="E65" s="182"/>
      <c r="F65" s="182"/>
      <c r="G65" s="4"/>
      <c r="H65" s="4"/>
      <c r="I65" s="4"/>
      <c r="J65" s="4"/>
      <c r="K65" s="4"/>
      <c r="L65" s="4"/>
      <c r="M65" s="4"/>
      <c r="N65" s="4"/>
      <c r="O65" s="4"/>
      <c r="P65" s="5"/>
      <c r="Q65" s="5"/>
      <c r="R65" s="4"/>
      <c r="S65" s="4"/>
      <c r="T65" s="4"/>
      <c r="U65" s="4"/>
      <c r="V65" s="5"/>
      <c r="W65" s="5"/>
      <c r="X65" s="5"/>
      <c r="Y65" s="4"/>
      <c r="Z65" s="4"/>
      <c r="AA65" s="4"/>
      <c r="AB65" s="4"/>
      <c r="AC65" s="4"/>
      <c r="AD65" s="4"/>
      <c r="AE65" s="5"/>
      <c r="AF65" s="5"/>
      <c r="AG65" s="5"/>
      <c r="AH65" s="5"/>
      <c r="AI65" s="5"/>
      <c r="AJ65" s="5"/>
      <c r="AK65" s="5"/>
      <c r="AL65" s="2"/>
      <c r="AM65" s="183"/>
    </row>
    <row r="66" ht="14.25" customHeight="1">
      <c r="A66" s="2"/>
      <c r="B66" s="182" t="s">
        <v>165</v>
      </c>
      <c r="C66" s="2"/>
      <c r="D66" s="2"/>
      <c r="E66" s="2"/>
      <c r="F66" s="2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11"/>
      <c r="AM66" s="2"/>
    </row>
    <row r="67" ht="14.25" customHeight="1">
      <c r="A67" s="2"/>
      <c r="B67" s="182" t="s">
        <v>166</v>
      </c>
      <c r="C67" s="184"/>
      <c r="D67" s="184"/>
      <c r="E67" s="2"/>
      <c r="F67" s="2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11"/>
      <c r="AM67" s="2"/>
    </row>
    <row r="68" ht="14.25" customHeight="1">
      <c r="A68" s="2"/>
      <c r="B68" s="182"/>
      <c r="C68" s="184"/>
      <c r="D68" s="184"/>
      <c r="E68" s="4" t="s">
        <v>167</v>
      </c>
      <c r="H68" s="5"/>
      <c r="I68" s="5"/>
      <c r="J68" s="5"/>
      <c r="K68" s="5"/>
      <c r="L68" s="5" t="s">
        <v>168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11"/>
      <c r="AM68" s="2"/>
    </row>
    <row r="69" ht="14.25" customHeight="1">
      <c r="A69" s="2"/>
      <c r="B69" s="3"/>
      <c r="C69" s="2"/>
      <c r="D69" s="2"/>
      <c r="E69" s="2"/>
      <c r="F69" s="2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11"/>
      <c r="AM69" s="11"/>
    </row>
    <row r="70" ht="14.25" customHeight="1">
      <c r="A70" s="2"/>
      <c r="B70" s="3"/>
      <c r="C70" s="2"/>
      <c r="D70" s="2"/>
      <c r="E70" s="4" t="s">
        <v>169</v>
      </c>
      <c r="H70" s="5"/>
      <c r="I70" s="5"/>
      <c r="J70" s="5"/>
      <c r="K70" s="5"/>
      <c r="L70" s="5"/>
      <c r="M70" s="5"/>
      <c r="N70" s="5"/>
      <c r="O70" s="5" t="s">
        <v>170</v>
      </c>
      <c r="P70" s="5"/>
      <c r="Q70" s="5"/>
      <c r="R70" s="5" t="s">
        <v>171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11"/>
      <c r="AM70" s="11"/>
    </row>
    <row r="71" ht="14.25" customHeight="1">
      <c r="A71" s="2"/>
      <c r="B71" s="3"/>
      <c r="C71" s="2"/>
      <c r="D71" s="2"/>
      <c r="E71" s="2"/>
      <c r="F71" s="2"/>
      <c r="G71" s="185"/>
      <c r="H71" s="5"/>
      <c r="I71" s="5"/>
      <c r="J71" s="5"/>
      <c r="K71" s="5"/>
      <c r="L71" s="5"/>
      <c r="M71" s="5"/>
      <c r="N71" s="5"/>
      <c r="O71" s="5"/>
      <c r="P71" s="5"/>
      <c r="Q71" s="5"/>
      <c r="R71" s="4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11"/>
      <c r="AM71" s="11"/>
    </row>
    <row r="72" ht="30.75" customHeight="1">
      <c r="A72" s="2"/>
      <c r="B72" s="3"/>
      <c r="C72" s="2"/>
      <c r="D72" s="2"/>
      <c r="E72" s="185" t="s">
        <v>172</v>
      </c>
      <c r="H72" s="5"/>
      <c r="I72" s="5"/>
      <c r="J72" s="5"/>
      <c r="K72" s="5"/>
      <c r="L72" s="5"/>
      <c r="M72" s="5"/>
      <c r="N72" s="5"/>
      <c r="O72" s="5" t="s">
        <v>170</v>
      </c>
      <c r="P72" s="5"/>
      <c r="Q72" s="5"/>
      <c r="R72" s="5" t="s">
        <v>171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11"/>
      <c r="AM72" s="11"/>
    </row>
    <row r="73" ht="14.25" customHeight="1">
      <c r="A73" s="11"/>
      <c r="B73" s="3"/>
      <c r="C73" s="2"/>
      <c r="D73" s="186"/>
      <c r="E73" s="2"/>
      <c r="F73" s="2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11"/>
      <c r="AM73" s="11"/>
    </row>
    <row r="74" ht="14.25" customHeight="1">
      <c r="G74" s="187"/>
    </row>
    <row r="75" ht="14.25" customHeight="1">
      <c r="G75" s="187"/>
    </row>
    <row r="76" ht="14.25" customHeight="1">
      <c r="G76" s="187"/>
    </row>
    <row r="77" ht="14.25" customHeight="1">
      <c r="G77" s="187"/>
    </row>
    <row r="78" ht="15.75" customHeight="1">
      <c r="G78" s="187"/>
    </row>
    <row r="79" ht="14.25" customHeight="1">
      <c r="G79" s="187"/>
    </row>
    <row r="80" ht="14.25" customHeight="1">
      <c r="G80" s="187"/>
    </row>
    <row r="81" ht="14.25" customHeight="1">
      <c r="G81" s="187"/>
    </row>
    <row r="82" ht="14.25" customHeight="1">
      <c r="G82" s="187"/>
    </row>
    <row r="83" ht="14.25" customHeight="1">
      <c r="G83" s="187"/>
    </row>
    <row r="84" ht="14.25" customHeight="1">
      <c r="G84" s="187"/>
    </row>
    <row r="85" ht="14.25" customHeight="1">
      <c r="G85" s="187"/>
    </row>
    <row r="86" ht="14.25" customHeight="1">
      <c r="G86" s="187"/>
    </row>
    <row r="87" ht="14.25" customHeight="1">
      <c r="G87" s="187"/>
    </row>
    <row r="88" ht="14.25" customHeight="1">
      <c r="G88" s="187"/>
    </row>
    <row r="89" ht="14.25" customHeight="1">
      <c r="G89" s="187"/>
    </row>
    <row r="90" ht="14.25" customHeight="1">
      <c r="G90" s="187"/>
    </row>
    <row r="91" ht="14.25" customHeight="1">
      <c r="G91" s="187"/>
    </row>
    <row r="92" ht="14.25" customHeight="1">
      <c r="G92" s="187"/>
    </row>
    <row r="93" ht="14.25" customHeight="1">
      <c r="G93" s="187"/>
    </row>
    <row r="94" ht="14.25" customHeight="1">
      <c r="G94" s="187"/>
    </row>
    <row r="95" ht="14.25" customHeight="1">
      <c r="G95" s="187"/>
    </row>
    <row r="96" ht="14.25" customHeight="1">
      <c r="G96" s="187"/>
    </row>
    <row r="97" ht="14.25" customHeight="1">
      <c r="G97" s="187"/>
    </row>
    <row r="98" ht="14.25" customHeight="1">
      <c r="G98" s="187"/>
    </row>
    <row r="99" ht="14.25" customHeight="1">
      <c r="G99" s="187"/>
    </row>
    <row r="100" ht="14.25" customHeight="1">
      <c r="G100" s="187"/>
    </row>
    <row r="101" ht="14.25" customHeight="1">
      <c r="G101" s="187"/>
    </row>
    <row r="102" ht="14.25" customHeight="1">
      <c r="G102" s="187"/>
    </row>
    <row r="103" ht="14.25" customHeight="1">
      <c r="G103" s="187"/>
    </row>
    <row r="104" ht="14.25" customHeight="1">
      <c r="G104" s="187"/>
    </row>
    <row r="105" ht="14.25" customHeight="1">
      <c r="G105" s="187"/>
    </row>
    <row r="106" ht="14.25" customHeight="1">
      <c r="G106" s="187"/>
    </row>
    <row r="107" ht="14.25" customHeight="1">
      <c r="G107" s="187"/>
    </row>
    <row r="108" ht="14.25" customHeight="1">
      <c r="G108" s="187"/>
    </row>
    <row r="109" ht="14.25" customHeight="1">
      <c r="G109" s="187"/>
    </row>
    <row r="110" ht="14.25" customHeight="1">
      <c r="G110" s="187"/>
    </row>
    <row r="111" ht="14.25" customHeight="1">
      <c r="G111" s="187"/>
    </row>
    <row r="112" ht="14.25" customHeight="1">
      <c r="G112" s="187"/>
    </row>
    <row r="113" ht="14.25" customHeight="1">
      <c r="G113" s="187"/>
    </row>
    <row r="114" ht="14.25" customHeight="1">
      <c r="G114" s="187"/>
    </row>
    <row r="115" ht="14.25" customHeight="1">
      <c r="G115" s="187"/>
    </row>
    <row r="116" ht="14.25" customHeight="1">
      <c r="G116" s="187"/>
    </row>
    <row r="117" ht="14.25" customHeight="1">
      <c r="G117" s="187"/>
    </row>
    <row r="118" ht="14.25" customHeight="1">
      <c r="G118" s="187"/>
    </row>
    <row r="119" ht="14.25" customHeight="1">
      <c r="G119" s="187"/>
    </row>
    <row r="120" ht="14.25" customHeight="1">
      <c r="G120" s="187"/>
    </row>
    <row r="121" ht="14.25" customHeight="1">
      <c r="G121" s="187"/>
    </row>
    <row r="122" ht="14.25" customHeight="1">
      <c r="G122" s="187"/>
    </row>
    <row r="123" ht="14.25" customHeight="1">
      <c r="G123" s="187"/>
    </row>
    <row r="124" ht="14.25" customHeight="1">
      <c r="G124" s="187"/>
    </row>
    <row r="125" ht="14.25" customHeight="1">
      <c r="G125" s="187"/>
    </row>
    <row r="126" ht="14.25" customHeight="1">
      <c r="G126" s="187"/>
    </row>
    <row r="127" ht="14.25" customHeight="1">
      <c r="G127" s="187"/>
    </row>
    <row r="128" ht="14.25" customHeight="1">
      <c r="G128" s="187"/>
    </row>
    <row r="129" ht="14.25" customHeight="1">
      <c r="G129" s="187"/>
    </row>
    <row r="130" ht="14.25" customHeight="1">
      <c r="G130" s="187"/>
    </row>
    <row r="131" ht="14.25" customHeight="1">
      <c r="G131" s="187"/>
    </row>
    <row r="132" ht="14.25" customHeight="1">
      <c r="G132" s="187"/>
    </row>
    <row r="133" ht="14.25" customHeight="1">
      <c r="G133" s="187"/>
    </row>
    <row r="134" ht="14.25" customHeight="1">
      <c r="G134" s="187"/>
    </row>
    <row r="135" ht="14.25" customHeight="1">
      <c r="G135" s="187"/>
    </row>
    <row r="136" ht="14.25" customHeight="1">
      <c r="G136" s="187"/>
    </row>
    <row r="137" ht="14.25" customHeight="1">
      <c r="G137" s="187"/>
    </row>
    <row r="138" ht="14.25" customHeight="1">
      <c r="G138" s="187"/>
    </row>
    <row r="139" ht="14.25" customHeight="1">
      <c r="G139" s="187"/>
    </row>
    <row r="140" ht="14.25" customHeight="1">
      <c r="G140" s="187"/>
    </row>
    <row r="141" ht="14.25" customHeight="1">
      <c r="G141" s="187"/>
    </row>
    <row r="142" ht="14.25" customHeight="1">
      <c r="G142" s="187"/>
    </row>
    <row r="143" ht="14.25" customHeight="1">
      <c r="G143" s="187"/>
    </row>
    <row r="144" ht="14.25" customHeight="1">
      <c r="G144" s="187"/>
    </row>
    <row r="145" ht="14.25" customHeight="1">
      <c r="G145" s="187"/>
    </row>
    <row r="146" ht="14.25" customHeight="1">
      <c r="G146" s="187"/>
    </row>
    <row r="147" ht="14.25" customHeight="1">
      <c r="G147" s="187"/>
    </row>
    <row r="148" ht="14.25" customHeight="1">
      <c r="G148" s="187"/>
    </row>
    <row r="149" ht="14.25" customHeight="1">
      <c r="G149" s="187"/>
    </row>
    <row r="150" ht="14.25" customHeight="1">
      <c r="G150" s="187"/>
    </row>
    <row r="151" ht="14.25" customHeight="1">
      <c r="G151" s="187"/>
    </row>
    <row r="152" ht="14.25" customHeight="1">
      <c r="G152" s="187"/>
    </row>
    <row r="153" ht="14.25" customHeight="1">
      <c r="G153" s="187"/>
    </row>
    <row r="154" ht="14.25" customHeight="1">
      <c r="G154" s="187"/>
    </row>
    <row r="155" ht="14.25" customHeight="1">
      <c r="G155" s="187"/>
    </row>
    <row r="156" ht="14.25" customHeight="1">
      <c r="G156" s="187"/>
    </row>
    <row r="157" ht="14.25" customHeight="1">
      <c r="G157" s="187"/>
    </row>
    <row r="158" ht="14.25" customHeight="1">
      <c r="G158" s="187"/>
    </row>
    <row r="159" ht="14.25" customHeight="1">
      <c r="G159" s="187"/>
    </row>
    <row r="160" ht="14.25" customHeight="1">
      <c r="G160" s="187"/>
    </row>
    <row r="161" ht="14.25" customHeight="1">
      <c r="G161" s="187"/>
    </row>
    <row r="162" ht="14.25" customHeight="1">
      <c r="G162" s="187"/>
    </row>
    <row r="163" ht="14.25" customHeight="1">
      <c r="G163" s="187"/>
    </row>
    <row r="164" ht="14.25" customHeight="1">
      <c r="G164" s="187"/>
    </row>
    <row r="165" ht="14.25" customHeight="1">
      <c r="G165" s="187"/>
    </row>
    <row r="166" ht="14.25" customHeight="1">
      <c r="G166" s="187"/>
    </row>
    <row r="167" ht="14.25" customHeight="1">
      <c r="G167" s="187"/>
    </row>
    <row r="168" ht="14.25" customHeight="1">
      <c r="G168" s="187"/>
    </row>
    <row r="169" ht="14.25" customHeight="1">
      <c r="G169" s="187"/>
    </row>
    <row r="170" ht="14.25" customHeight="1">
      <c r="G170" s="187"/>
    </row>
    <row r="171" ht="14.25" customHeight="1">
      <c r="G171" s="187"/>
    </row>
    <row r="172" ht="14.25" customHeight="1">
      <c r="G172" s="187"/>
    </row>
    <row r="173" ht="14.25" customHeight="1">
      <c r="G173" s="187"/>
    </row>
    <row r="174" ht="14.25" customHeight="1">
      <c r="G174" s="187"/>
    </row>
    <row r="175" ht="14.25" customHeight="1">
      <c r="G175" s="187"/>
    </row>
    <row r="176" ht="14.25" customHeight="1">
      <c r="G176" s="187"/>
    </row>
    <row r="177" ht="14.25" customHeight="1">
      <c r="G177" s="187"/>
    </row>
    <row r="178" ht="14.25" customHeight="1">
      <c r="G178" s="187"/>
    </row>
    <row r="179" ht="14.25" customHeight="1">
      <c r="G179" s="187"/>
    </row>
    <row r="180" ht="14.25" customHeight="1">
      <c r="G180" s="187"/>
    </row>
    <row r="181" ht="14.25" customHeight="1">
      <c r="G181" s="187"/>
    </row>
    <row r="182" ht="14.25" customHeight="1">
      <c r="G182" s="187"/>
    </row>
    <row r="183" ht="14.25" customHeight="1">
      <c r="G183" s="187"/>
    </row>
    <row r="184" ht="14.25" customHeight="1">
      <c r="G184" s="187"/>
    </row>
    <row r="185" ht="14.25" customHeight="1">
      <c r="G185" s="187"/>
    </row>
    <row r="186" ht="14.25" customHeight="1">
      <c r="G186" s="187"/>
    </row>
    <row r="187" ht="14.25" customHeight="1">
      <c r="G187" s="187"/>
    </row>
    <row r="188" ht="14.25" customHeight="1">
      <c r="G188" s="187"/>
    </row>
    <row r="189" ht="14.25" customHeight="1">
      <c r="G189" s="187"/>
    </row>
    <row r="190" ht="14.25" customHeight="1">
      <c r="G190" s="187"/>
    </row>
    <row r="191" ht="14.25" customHeight="1">
      <c r="G191" s="187"/>
    </row>
    <row r="192" ht="14.25" customHeight="1">
      <c r="G192" s="187"/>
    </row>
    <row r="193" ht="14.25" customHeight="1">
      <c r="G193" s="187"/>
    </row>
    <row r="194" ht="14.25" customHeight="1">
      <c r="G194" s="187"/>
    </row>
    <row r="195" ht="14.25" customHeight="1">
      <c r="G195" s="187"/>
    </row>
    <row r="196" ht="14.25" customHeight="1">
      <c r="G196" s="187"/>
    </row>
    <row r="197" ht="14.25" customHeight="1">
      <c r="G197" s="187"/>
    </row>
    <row r="198" ht="14.25" customHeight="1">
      <c r="G198" s="187"/>
    </row>
    <row r="199" ht="14.25" customHeight="1">
      <c r="G199" s="187"/>
    </row>
    <row r="200" ht="14.25" customHeight="1">
      <c r="G200" s="187"/>
    </row>
    <row r="201" ht="14.25" customHeight="1">
      <c r="G201" s="187"/>
    </row>
    <row r="202" ht="14.25" customHeight="1">
      <c r="G202" s="187"/>
    </row>
    <row r="203" ht="14.25" customHeight="1">
      <c r="G203" s="187"/>
    </row>
    <row r="204" ht="14.25" customHeight="1">
      <c r="G204" s="187"/>
    </row>
    <row r="205" ht="14.25" customHeight="1">
      <c r="G205" s="187"/>
    </row>
    <row r="206" ht="14.25" customHeight="1">
      <c r="G206" s="187"/>
    </row>
    <row r="207" ht="14.25" customHeight="1">
      <c r="G207" s="187"/>
    </row>
    <row r="208" ht="14.25" customHeight="1">
      <c r="G208" s="187"/>
    </row>
    <row r="209" ht="14.25" customHeight="1">
      <c r="G209" s="187"/>
    </row>
    <row r="210" ht="14.25" customHeight="1">
      <c r="G210" s="187"/>
    </row>
    <row r="211" ht="14.25" customHeight="1">
      <c r="G211" s="187"/>
    </row>
    <row r="212" ht="14.25" customHeight="1">
      <c r="G212" s="187"/>
    </row>
    <row r="213" ht="14.25" customHeight="1">
      <c r="G213" s="187"/>
    </row>
    <row r="214" ht="14.25" customHeight="1">
      <c r="G214" s="187"/>
    </row>
    <row r="215" ht="14.25" customHeight="1">
      <c r="G215" s="187"/>
    </row>
    <row r="216" ht="14.25" customHeight="1">
      <c r="G216" s="187"/>
    </row>
    <row r="217" ht="14.25" customHeight="1">
      <c r="G217" s="187"/>
    </row>
    <row r="218" ht="14.25" customHeight="1">
      <c r="G218" s="187"/>
    </row>
    <row r="219" ht="14.25" customHeight="1">
      <c r="G219" s="187"/>
    </row>
    <row r="220" ht="14.25" customHeight="1">
      <c r="G220" s="187"/>
    </row>
    <row r="221" ht="14.25" customHeight="1">
      <c r="G221" s="187"/>
    </row>
    <row r="222" ht="14.25" customHeight="1">
      <c r="G222" s="187"/>
    </row>
    <row r="223" ht="14.25" customHeight="1">
      <c r="G223" s="187"/>
    </row>
    <row r="224" ht="14.25" customHeight="1">
      <c r="G224" s="187"/>
    </row>
    <row r="225" ht="14.25" customHeight="1">
      <c r="G225" s="187"/>
    </row>
    <row r="226" ht="14.25" customHeight="1">
      <c r="G226" s="187"/>
    </row>
    <row r="227" ht="14.25" customHeight="1">
      <c r="G227" s="187"/>
    </row>
    <row r="228" ht="14.25" customHeight="1">
      <c r="G228" s="187"/>
    </row>
    <row r="229" ht="14.25" customHeight="1">
      <c r="G229" s="187"/>
    </row>
    <row r="230" ht="14.25" customHeight="1">
      <c r="G230" s="187"/>
    </row>
    <row r="231" ht="14.25" customHeight="1">
      <c r="G231" s="187"/>
    </row>
    <row r="232" ht="14.25" customHeight="1">
      <c r="G232" s="187"/>
    </row>
    <row r="233" ht="14.25" customHeight="1">
      <c r="G233" s="187"/>
    </row>
    <row r="234" ht="14.25" customHeight="1">
      <c r="G234" s="187"/>
    </row>
    <row r="235" ht="14.25" customHeight="1">
      <c r="G235" s="187"/>
    </row>
    <row r="236" ht="14.25" customHeight="1">
      <c r="G236" s="187"/>
    </row>
    <row r="237" ht="14.25" customHeight="1">
      <c r="G237" s="187"/>
    </row>
    <row r="238" ht="14.25" customHeight="1">
      <c r="G238" s="187"/>
    </row>
    <row r="239" ht="14.25" customHeight="1">
      <c r="G239" s="187"/>
    </row>
    <row r="240" ht="14.25" customHeight="1">
      <c r="G240" s="187"/>
    </row>
    <row r="241" ht="14.25" customHeight="1">
      <c r="G241" s="187"/>
    </row>
    <row r="242" ht="14.25" customHeight="1">
      <c r="G242" s="187"/>
    </row>
    <row r="243" ht="14.25" customHeight="1">
      <c r="G243" s="187"/>
    </row>
    <row r="244" ht="14.25" customHeight="1">
      <c r="G244" s="187"/>
    </row>
    <row r="245" ht="14.25" customHeight="1">
      <c r="G245" s="187"/>
    </row>
    <row r="246" ht="14.25" customHeight="1">
      <c r="G246" s="187"/>
    </row>
    <row r="247" ht="14.25" customHeight="1">
      <c r="G247" s="187"/>
    </row>
    <row r="248" ht="14.25" customHeight="1">
      <c r="G248" s="187"/>
    </row>
    <row r="249" ht="14.25" customHeight="1">
      <c r="G249" s="187"/>
    </row>
    <row r="250" ht="14.25" customHeight="1">
      <c r="G250" s="187"/>
    </row>
    <row r="251" ht="14.25" customHeight="1">
      <c r="G251" s="187"/>
    </row>
    <row r="252" ht="14.25" customHeight="1">
      <c r="G252" s="187"/>
    </row>
    <row r="253" ht="14.25" customHeight="1">
      <c r="G253" s="187"/>
    </row>
    <row r="254" ht="14.25" customHeight="1">
      <c r="G254" s="187"/>
    </row>
    <row r="255" ht="14.25" customHeight="1">
      <c r="G255" s="187"/>
    </row>
    <row r="256" ht="14.25" customHeight="1">
      <c r="G256" s="187"/>
    </row>
    <row r="257" ht="14.25" customHeight="1">
      <c r="G257" s="187"/>
    </row>
    <row r="258" ht="14.25" customHeight="1">
      <c r="G258" s="187"/>
    </row>
    <row r="259" ht="14.25" customHeight="1">
      <c r="G259" s="187"/>
    </row>
    <row r="260" ht="14.25" customHeight="1">
      <c r="G260" s="187"/>
    </row>
    <row r="261" ht="14.25" customHeight="1">
      <c r="G261" s="187"/>
    </row>
    <row r="262" ht="14.25" customHeight="1">
      <c r="G262" s="187"/>
    </row>
    <row r="263" ht="14.25" customHeight="1">
      <c r="G263" s="187"/>
    </row>
    <row r="264" ht="14.25" customHeight="1">
      <c r="G264" s="187"/>
    </row>
    <row r="265" ht="14.25" customHeight="1">
      <c r="G265" s="187"/>
    </row>
    <row r="266" ht="14.25" customHeight="1">
      <c r="G266" s="187"/>
    </row>
    <row r="267" ht="14.25" customHeight="1">
      <c r="G267" s="187"/>
    </row>
    <row r="268" ht="14.25" customHeight="1">
      <c r="G268" s="187"/>
    </row>
    <row r="269" ht="14.25" customHeight="1">
      <c r="G269" s="187"/>
    </row>
    <row r="270" ht="14.25" customHeight="1">
      <c r="G270" s="187"/>
    </row>
    <row r="271" ht="14.25" customHeight="1">
      <c r="G271" s="187"/>
    </row>
    <row r="272" ht="14.25" customHeight="1">
      <c r="G272" s="187"/>
    </row>
    <row r="273" ht="14.25" customHeight="1">
      <c r="G273" s="187"/>
    </row>
    <row r="274" ht="14.25" customHeight="1">
      <c r="G274" s="187"/>
    </row>
    <row r="275" ht="14.25" customHeight="1">
      <c r="G275" s="187"/>
    </row>
    <row r="276" ht="14.25" customHeight="1">
      <c r="G276" s="187"/>
    </row>
    <row r="277" ht="14.25" customHeight="1">
      <c r="G277" s="187"/>
    </row>
    <row r="278" ht="14.25" customHeight="1">
      <c r="G278" s="187"/>
    </row>
    <row r="279" ht="14.25" customHeight="1">
      <c r="G279" s="187"/>
    </row>
    <row r="280" ht="14.25" customHeight="1">
      <c r="G280" s="187"/>
    </row>
    <row r="281" ht="14.25" customHeight="1">
      <c r="G281" s="187"/>
    </row>
    <row r="282" ht="14.25" customHeight="1">
      <c r="G282" s="187"/>
    </row>
    <row r="283" ht="14.25" customHeight="1">
      <c r="G283" s="187"/>
    </row>
    <row r="284" ht="14.25" customHeight="1">
      <c r="G284" s="187"/>
    </row>
    <row r="285" ht="14.25" customHeight="1">
      <c r="G285" s="187"/>
    </row>
    <row r="286" ht="14.25" customHeight="1">
      <c r="G286" s="187"/>
    </row>
    <row r="287" ht="14.25" customHeight="1">
      <c r="G287" s="187"/>
    </row>
    <row r="288" ht="14.25" customHeight="1">
      <c r="G288" s="187"/>
    </row>
    <row r="289" ht="14.25" customHeight="1">
      <c r="G289" s="187"/>
    </row>
    <row r="290" ht="14.25" customHeight="1">
      <c r="G290" s="187"/>
    </row>
    <row r="291" ht="14.25" customHeight="1">
      <c r="G291" s="187"/>
    </row>
    <row r="292" ht="14.25" customHeight="1">
      <c r="G292" s="187"/>
    </row>
    <row r="293" ht="14.25" customHeight="1">
      <c r="G293" s="187"/>
    </row>
    <row r="294" ht="14.25" customHeight="1">
      <c r="G294" s="187"/>
    </row>
    <row r="295" ht="14.25" customHeight="1">
      <c r="G295" s="187"/>
    </row>
    <row r="296" ht="14.25" customHeight="1">
      <c r="G296" s="187"/>
    </row>
    <row r="297" ht="14.25" customHeight="1">
      <c r="G297" s="187"/>
    </row>
    <row r="298" ht="14.25" customHeight="1">
      <c r="G298" s="187"/>
    </row>
    <row r="299" ht="14.25" customHeight="1">
      <c r="G299" s="187"/>
    </row>
    <row r="300" ht="14.25" customHeight="1">
      <c r="G300" s="187"/>
    </row>
    <row r="301" ht="14.25" customHeight="1">
      <c r="G301" s="187"/>
    </row>
    <row r="302" ht="14.25" customHeight="1">
      <c r="G302" s="187"/>
    </row>
    <row r="303" ht="14.25" customHeight="1">
      <c r="G303" s="187"/>
    </row>
    <row r="304" ht="14.25" customHeight="1">
      <c r="G304" s="187"/>
    </row>
    <row r="305" ht="14.25" customHeight="1">
      <c r="G305" s="187"/>
    </row>
    <row r="306" ht="14.25" customHeight="1">
      <c r="G306" s="187"/>
    </row>
    <row r="307" ht="14.25" customHeight="1">
      <c r="G307" s="187"/>
    </row>
    <row r="308" ht="14.25" customHeight="1">
      <c r="G308" s="187"/>
    </row>
    <row r="309" ht="14.25" customHeight="1">
      <c r="G309" s="187"/>
    </row>
    <row r="310" ht="14.25" customHeight="1">
      <c r="G310" s="187"/>
    </row>
    <row r="311" ht="14.25" customHeight="1">
      <c r="G311" s="187"/>
    </row>
    <row r="312" ht="14.25" customHeight="1">
      <c r="G312" s="187"/>
    </row>
    <row r="313" ht="14.25" customHeight="1">
      <c r="G313" s="187"/>
    </row>
    <row r="314" ht="14.25" customHeight="1">
      <c r="G314" s="187"/>
    </row>
    <row r="315" ht="14.25" customHeight="1">
      <c r="G315" s="187"/>
    </row>
    <row r="316" ht="14.25" customHeight="1">
      <c r="G316" s="187"/>
    </row>
    <row r="317" ht="14.25" customHeight="1">
      <c r="G317" s="187"/>
    </row>
    <row r="318" ht="14.25" customHeight="1">
      <c r="G318" s="187"/>
    </row>
    <row r="319" ht="14.25" customHeight="1">
      <c r="G319" s="187"/>
    </row>
    <row r="320" ht="14.25" customHeight="1">
      <c r="G320" s="187"/>
    </row>
    <row r="321" ht="14.25" customHeight="1">
      <c r="G321" s="187"/>
    </row>
    <row r="322" ht="14.25" customHeight="1">
      <c r="G322" s="187"/>
    </row>
    <row r="323" ht="14.25" customHeight="1">
      <c r="G323" s="187"/>
    </row>
    <row r="324" ht="14.25" customHeight="1">
      <c r="G324" s="187"/>
    </row>
    <row r="325" ht="14.25" customHeight="1">
      <c r="G325" s="187"/>
    </row>
    <row r="326" ht="14.25" customHeight="1">
      <c r="G326" s="187"/>
    </row>
    <row r="327" ht="14.25" customHeight="1">
      <c r="G327" s="187"/>
    </row>
    <row r="328" ht="14.25" customHeight="1">
      <c r="G328" s="187"/>
    </row>
    <row r="329" ht="14.25" customHeight="1">
      <c r="G329" s="187"/>
    </row>
    <row r="330" ht="14.25" customHeight="1">
      <c r="G330" s="187"/>
    </row>
    <row r="331" ht="14.25" customHeight="1">
      <c r="G331" s="187"/>
    </row>
    <row r="332" ht="14.25" customHeight="1">
      <c r="G332" s="187"/>
    </row>
    <row r="333" ht="14.25" customHeight="1">
      <c r="G333" s="187"/>
    </row>
    <row r="334" ht="14.25" customHeight="1">
      <c r="G334" s="187"/>
    </row>
    <row r="335" ht="14.25" customHeight="1">
      <c r="G335" s="187"/>
    </row>
    <row r="336" ht="14.25" customHeight="1">
      <c r="G336" s="187"/>
    </row>
    <row r="337" ht="14.25" customHeight="1">
      <c r="G337" s="187"/>
    </row>
    <row r="338" ht="14.25" customHeight="1">
      <c r="G338" s="187"/>
    </row>
    <row r="339" ht="14.25" customHeight="1">
      <c r="G339" s="187"/>
    </row>
    <row r="340" ht="14.25" customHeight="1">
      <c r="G340" s="187"/>
    </row>
    <row r="341" ht="14.25" customHeight="1">
      <c r="G341" s="187"/>
    </row>
    <row r="342" ht="14.25" customHeight="1">
      <c r="G342" s="187"/>
    </row>
    <row r="343" ht="14.25" customHeight="1">
      <c r="G343" s="187"/>
    </row>
    <row r="344" ht="14.25" customHeight="1">
      <c r="G344" s="187"/>
    </row>
    <row r="345" ht="14.25" customHeight="1">
      <c r="G345" s="187"/>
    </row>
    <row r="346" ht="14.25" customHeight="1">
      <c r="G346" s="187"/>
    </row>
    <row r="347" ht="14.25" customHeight="1">
      <c r="G347" s="187"/>
    </row>
    <row r="348" ht="14.25" customHeight="1">
      <c r="G348" s="187"/>
    </row>
    <row r="349" ht="14.25" customHeight="1">
      <c r="G349" s="187"/>
    </row>
    <row r="350" ht="14.25" customHeight="1">
      <c r="G350" s="187"/>
    </row>
    <row r="351" ht="14.25" customHeight="1">
      <c r="G351" s="187"/>
    </row>
    <row r="352" ht="14.25" customHeight="1">
      <c r="G352" s="187"/>
    </row>
    <row r="353" ht="14.25" customHeight="1">
      <c r="G353" s="187"/>
    </row>
    <row r="354" ht="14.25" customHeight="1">
      <c r="G354" s="187"/>
    </row>
    <row r="355" ht="14.25" customHeight="1">
      <c r="G355" s="187"/>
    </row>
    <row r="356" ht="14.25" customHeight="1">
      <c r="G356" s="187"/>
    </row>
    <row r="357" ht="14.25" customHeight="1">
      <c r="G357" s="187"/>
    </row>
    <row r="358" ht="14.25" customHeight="1">
      <c r="G358" s="187"/>
    </row>
    <row r="359" ht="14.25" customHeight="1">
      <c r="G359" s="187"/>
    </row>
    <row r="360" ht="14.25" customHeight="1">
      <c r="G360" s="187"/>
    </row>
    <row r="361" ht="14.25" customHeight="1">
      <c r="G361" s="187"/>
    </row>
    <row r="362" ht="14.25" customHeight="1">
      <c r="G362" s="187"/>
    </row>
    <row r="363" ht="14.25" customHeight="1">
      <c r="G363" s="187"/>
    </row>
    <row r="364" ht="14.25" customHeight="1">
      <c r="G364" s="187"/>
    </row>
    <row r="365" ht="14.25" customHeight="1">
      <c r="G365" s="187"/>
    </row>
    <row r="366" ht="14.25" customHeight="1">
      <c r="G366" s="187"/>
    </row>
    <row r="367" ht="14.25" customHeight="1">
      <c r="G367" s="187"/>
    </row>
    <row r="368" ht="14.25" customHeight="1">
      <c r="G368" s="187"/>
    </row>
    <row r="369" ht="14.25" customHeight="1">
      <c r="G369" s="187"/>
    </row>
    <row r="370" ht="14.25" customHeight="1">
      <c r="G370" s="187"/>
    </row>
    <row r="371" ht="14.25" customHeight="1">
      <c r="G371" s="187"/>
    </row>
    <row r="372" ht="14.25" customHeight="1">
      <c r="G372" s="187"/>
    </row>
    <row r="373" ht="14.25" customHeight="1">
      <c r="G373" s="187"/>
    </row>
    <row r="374" ht="14.25" customHeight="1">
      <c r="G374" s="187"/>
    </row>
    <row r="375" ht="14.25" customHeight="1">
      <c r="G375" s="187"/>
    </row>
    <row r="376" ht="14.25" customHeight="1">
      <c r="G376" s="187"/>
    </row>
    <row r="377" ht="14.25" customHeight="1">
      <c r="G377" s="187"/>
    </row>
    <row r="378" ht="14.25" customHeight="1">
      <c r="G378" s="187"/>
    </row>
    <row r="379" ht="14.25" customHeight="1">
      <c r="G379" s="187"/>
    </row>
    <row r="380" ht="14.25" customHeight="1">
      <c r="G380" s="187"/>
    </row>
    <row r="381" ht="14.25" customHeight="1">
      <c r="G381" s="187"/>
    </row>
    <row r="382" ht="14.25" customHeight="1">
      <c r="G382" s="187"/>
    </row>
    <row r="383" ht="14.25" customHeight="1">
      <c r="G383" s="187"/>
    </row>
    <row r="384" ht="14.25" customHeight="1">
      <c r="G384" s="187"/>
    </row>
    <row r="385" ht="14.25" customHeight="1">
      <c r="G385" s="187"/>
    </row>
    <row r="386" ht="14.25" customHeight="1">
      <c r="G386" s="187"/>
    </row>
    <row r="387" ht="14.25" customHeight="1">
      <c r="G387" s="187"/>
    </row>
    <row r="388" ht="14.25" customHeight="1">
      <c r="G388" s="187"/>
    </row>
    <row r="389" ht="14.25" customHeight="1">
      <c r="G389" s="187"/>
    </row>
    <row r="390" ht="14.25" customHeight="1">
      <c r="G390" s="187"/>
    </row>
    <row r="391" ht="14.25" customHeight="1">
      <c r="G391" s="187"/>
    </row>
    <row r="392" ht="14.25" customHeight="1">
      <c r="G392" s="187"/>
    </row>
    <row r="393" ht="14.25" customHeight="1">
      <c r="G393" s="187"/>
    </row>
    <row r="394" ht="14.25" customHeight="1">
      <c r="G394" s="187"/>
    </row>
    <row r="395" ht="14.25" customHeight="1">
      <c r="G395" s="187"/>
    </row>
    <row r="396" ht="14.25" customHeight="1">
      <c r="G396" s="187"/>
    </row>
    <row r="397" ht="14.25" customHeight="1">
      <c r="G397" s="187"/>
    </row>
    <row r="398" ht="14.25" customHeight="1">
      <c r="G398" s="187"/>
    </row>
    <row r="399" ht="14.25" customHeight="1">
      <c r="G399" s="187"/>
    </row>
    <row r="400" ht="14.25" customHeight="1">
      <c r="G400" s="187"/>
    </row>
    <row r="401" ht="14.25" customHeight="1">
      <c r="G401" s="187"/>
    </row>
    <row r="402" ht="14.25" customHeight="1">
      <c r="G402" s="187"/>
    </row>
    <row r="403" ht="14.25" customHeight="1">
      <c r="G403" s="187"/>
    </row>
    <row r="404" ht="14.25" customHeight="1">
      <c r="G404" s="187"/>
    </row>
    <row r="405" ht="14.25" customHeight="1">
      <c r="G405" s="187"/>
    </row>
    <row r="406" ht="14.25" customHeight="1">
      <c r="G406" s="187"/>
    </row>
    <row r="407" ht="14.25" customHeight="1">
      <c r="G407" s="187"/>
    </row>
    <row r="408" ht="14.25" customHeight="1">
      <c r="G408" s="187"/>
    </row>
    <row r="409" ht="14.25" customHeight="1">
      <c r="G409" s="187"/>
    </row>
    <row r="410" ht="14.25" customHeight="1">
      <c r="G410" s="187"/>
    </row>
    <row r="411" ht="14.25" customHeight="1">
      <c r="G411" s="187"/>
    </row>
    <row r="412" ht="14.25" customHeight="1">
      <c r="G412" s="187"/>
    </row>
    <row r="413" ht="14.25" customHeight="1">
      <c r="G413" s="187"/>
    </row>
    <row r="414" ht="14.25" customHeight="1">
      <c r="G414" s="187"/>
    </row>
    <row r="415" ht="14.25" customHeight="1">
      <c r="G415" s="187"/>
    </row>
    <row r="416" ht="14.25" customHeight="1">
      <c r="G416" s="187"/>
    </row>
    <row r="417" ht="14.25" customHeight="1">
      <c r="G417" s="187"/>
    </row>
    <row r="418" ht="14.25" customHeight="1">
      <c r="G418" s="187"/>
    </row>
    <row r="419" ht="14.25" customHeight="1">
      <c r="G419" s="187"/>
    </row>
    <row r="420" ht="14.25" customHeight="1">
      <c r="G420" s="187"/>
    </row>
    <row r="421" ht="14.25" customHeight="1">
      <c r="G421" s="187"/>
    </row>
    <row r="422" ht="14.25" customHeight="1">
      <c r="G422" s="187"/>
    </row>
    <row r="423" ht="14.25" customHeight="1">
      <c r="G423" s="187"/>
    </row>
    <row r="424" ht="14.25" customHeight="1">
      <c r="G424" s="187"/>
    </row>
    <row r="425" ht="14.25" customHeight="1">
      <c r="G425" s="187"/>
    </row>
    <row r="426" ht="14.25" customHeight="1">
      <c r="G426" s="187"/>
    </row>
    <row r="427" ht="14.25" customHeight="1">
      <c r="G427" s="187"/>
    </row>
    <row r="428" ht="14.25" customHeight="1">
      <c r="G428" s="187"/>
    </row>
    <row r="429" ht="14.25" customHeight="1">
      <c r="G429" s="187"/>
    </row>
    <row r="430" ht="14.25" customHeight="1">
      <c r="G430" s="187"/>
    </row>
    <row r="431" ht="14.25" customHeight="1">
      <c r="G431" s="187"/>
    </row>
    <row r="432" ht="14.25" customHeight="1">
      <c r="G432" s="187"/>
    </row>
    <row r="433" ht="14.25" customHeight="1">
      <c r="G433" s="187"/>
    </row>
    <row r="434" ht="14.25" customHeight="1">
      <c r="G434" s="187"/>
    </row>
    <row r="435" ht="14.25" customHeight="1">
      <c r="G435" s="187"/>
    </row>
    <row r="436" ht="14.25" customHeight="1">
      <c r="G436" s="187"/>
    </row>
    <row r="437" ht="14.25" customHeight="1">
      <c r="G437" s="187"/>
    </row>
    <row r="438" ht="14.25" customHeight="1">
      <c r="G438" s="187"/>
    </row>
    <row r="439" ht="14.25" customHeight="1">
      <c r="G439" s="187"/>
    </row>
    <row r="440" ht="14.25" customHeight="1">
      <c r="G440" s="187"/>
    </row>
    <row r="441" ht="14.25" customHeight="1">
      <c r="G441" s="187"/>
    </row>
    <row r="442" ht="14.25" customHeight="1">
      <c r="G442" s="187"/>
    </row>
    <row r="443" ht="14.25" customHeight="1">
      <c r="G443" s="187"/>
    </row>
    <row r="444" ht="14.25" customHeight="1">
      <c r="G444" s="187"/>
    </row>
    <row r="445" ht="14.25" customHeight="1">
      <c r="G445" s="187"/>
    </row>
    <row r="446" ht="14.25" customHeight="1">
      <c r="G446" s="187"/>
    </row>
    <row r="447" ht="14.25" customHeight="1">
      <c r="G447" s="187"/>
    </row>
    <row r="448" ht="14.25" customHeight="1">
      <c r="G448" s="187"/>
    </row>
    <row r="449" ht="14.25" customHeight="1">
      <c r="G449" s="187"/>
    </row>
    <row r="450" ht="14.25" customHeight="1">
      <c r="G450" s="187"/>
    </row>
    <row r="451" ht="14.25" customHeight="1">
      <c r="G451" s="187"/>
    </row>
    <row r="452" ht="14.25" customHeight="1">
      <c r="G452" s="187"/>
    </row>
    <row r="453" ht="14.25" customHeight="1">
      <c r="G453" s="187"/>
    </row>
    <row r="454" ht="14.25" customHeight="1">
      <c r="G454" s="187"/>
    </row>
    <row r="455" ht="14.25" customHeight="1">
      <c r="G455" s="187"/>
    </row>
    <row r="456" ht="14.25" customHeight="1">
      <c r="G456" s="187"/>
    </row>
    <row r="457" ht="14.25" customHeight="1">
      <c r="G457" s="187"/>
    </row>
    <row r="458" ht="14.25" customHeight="1">
      <c r="G458" s="187"/>
    </row>
    <row r="459" ht="14.25" customHeight="1">
      <c r="G459" s="187"/>
    </row>
    <row r="460" ht="14.25" customHeight="1">
      <c r="G460" s="187"/>
    </row>
    <row r="461" ht="14.25" customHeight="1">
      <c r="G461" s="187"/>
    </row>
    <row r="462" ht="14.25" customHeight="1">
      <c r="G462" s="187"/>
    </row>
    <row r="463" ht="14.25" customHeight="1">
      <c r="G463" s="187"/>
    </row>
    <row r="464" ht="14.25" customHeight="1">
      <c r="G464" s="187"/>
    </row>
    <row r="465" ht="14.25" customHeight="1">
      <c r="G465" s="187"/>
    </row>
    <row r="466" ht="14.25" customHeight="1">
      <c r="G466" s="187"/>
    </row>
    <row r="467" ht="14.25" customHeight="1">
      <c r="G467" s="187"/>
    </row>
    <row r="468" ht="14.25" customHeight="1">
      <c r="G468" s="187"/>
    </row>
    <row r="469" ht="14.25" customHeight="1">
      <c r="G469" s="187"/>
    </row>
    <row r="470" ht="14.25" customHeight="1">
      <c r="G470" s="187"/>
    </row>
    <row r="471" ht="14.25" customHeight="1">
      <c r="G471" s="187"/>
    </row>
    <row r="472" ht="14.25" customHeight="1">
      <c r="G472" s="187"/>
    </row>
    <row r="473" ht="14.25" customHeight="1">
      <c r="G473" s="187"/>
    </row>
    <row r="474" ht="14.25" customHeight="1">
      <c r="G474" s="187"/>
    </row>
    <row r="475" ht="14.25" customHeight="1">
      <c r="G475" s="187"/>
    </row>
    <row r="476" ht="14.25" customHeight="1">
      <c r="G476" s="187"/>
    </row>
    <row r="477" ht="14.25" customHeight="1">
      <c r="G477" s="187"/>
    </row>
    <row r="478" ht="14.25" customHeight="1">
      <c r="G478" s="187"/>
    </row>
    <row r="479" ht="14.25" customHeight="1">
      <c r="G479" s="187"/>
    </row>
    <row r="480" ht="14.25" customHeight="1">
      <c r="G480" s="187"/>
    </row>
    <row r="481" ht="14.25" customHeight="1">
      <c r="G481" s="187"/>
    </row>
    <row r="482" ht="14.25" customHeight="1">
      <c r="G482" s="187"/>
    </row>
    <row r="483" ht="14.25" customHeight="1">
      <c r="G483" s="187"/>
    </row>
    <row r="484" ht="14.25" customHeight="1">
      <c r="G484" s="187"/>
    </row>
    <row r="485" ht="14.25" customHeight="1">
      <c r="G485" s="187"/>
    </row>
    <row r="486" ht="14.25" customHeight="1">
      <c r="G486" s="187"/>
    </row>
    <row r="487" ht="14.25" customHeight="1">
      <c r="G487" s="187"/>
    </row>
    <row r="488" ht="14.25" customHeight="1">
      <c r="G488" s="187"/>
    </row>
    <row r="489" ht="14.25" customHeight="1">
      <c r="G489" s="187"/>
    </row>
    <row r="490" ht="14.25" customHeight="1">
      <c r="G490" s="187"/>
    </row>
    <row r="491" ht="14.25" customHeight="1">
      <c r="G491" s="187"/>
    </row>
    <row r="492" ht="14.25" customHeight="1">
      <c r="G492" s="187"/>
    </row>
    <row r="493" ht="14.25" customHeight="1">
      <c r="G493" s="187"/>
    </row>
    <row r="494" ht="14.25" customHeight="1">
      <c r="G494" s="187"/>
    </row>
    <row r="495" ht="14.25" customHeight="1">
      <c r="G495" s="187"/>
    </row>
    <row r="496" ht="14.25" customHeight="1">
      <c r="G496" s="187"/>
    </row>
    <row r="497" ht="14.25" customHeight="1">
      <c r="G497" s="187"/>
    </row>
    <row r="498" ht="14.25" customHeight="1">
      <c r="G498" s="187"/>
    </row>
    <row r="499" ht="14.25" customHeight="1">
      <c r="G499" s="187"/>
    </row>
    <row r="500" ht="14.25" customHeight="1">
      <c r="G500" s="187"/>
    </row>
    <row r="501" ht="14.25" customHeight="1">
      <c r="G501" s="187"/>
    </row>
    <row r="502" ht="14.25" customHeight="1">
      <c r="G502" s="187"/>
    </row>
    <row r="503" ht="14.25" customHeight="1">
      <c r="G503" s="187"/>
    </row>
    <row r="504" ht="14.25" customHeight="1">
      <c r="G504" s="187"/>
    </row>
    <row r="505" ht="14.25" customHeight="1">
      <c r="G505" s="187"/>
    </row>
    <row r="506" ht="14.25" customHeight="1">
      <c r="G506" s="187"/>
    </row>
    <row r="507" ht="14.25" customHeight="1">
      <c r="G507" s="187"/>
    </row>
    <row r="508" ht="14.25" customHeight="1">
      <c r="G508" s="187"/>
    </row>
    <row r="509" ht="14.25" customHeight="1">
      <c r="G509" s="187"/>
    </row>
    <row r="510" ht="14.25" customHeight="1">
      <c r="G510" s="187"/>
    </row>
    <row r="511" ht="14.25" customHeight="1">
      <c r="G511" s="187"/>
    </row>
    <row r="512" ht="14.25" customHeight="1">
      <c r="G512" s="187"/>
    </row>
    <row r="513" ht="14.25" customHeight="1">
      <c r="G513" s="187"/>
    </row>
    <row r="514" ht="14.25" customHeight="1">
      <c r="G514" s="187"/>
    </row>
    <row r="515" ht="14.25" customHeight="1">
      <c r="G515" s="187"/>
    </row>
    <row r="516" ht="14.25" customHeight="1">
      <c r="G516" s="187"/>
    </row>
    <row r="517" ht="14.25" customHeight="1">
      <c r="G517" s="187"/>
    </row>
    <row r="518" ht="14.25" customHeight="1">
      <c r="G518" s="187"/>
    </row>
    <row r="519" ht="14.25" customHeight="1">
      <c r="G519" s="187"/>
    </row>
    <row r="520" ht="14.25" customHeight="1">
      <c r="G520" s="187"/>
    </row>
    <row r="521" ht="14.25" customHeight="1">
      <c r="G521" s="187"/>
    </row>
    <row r="522" ht="14.25" customHeight="1">
      <c r="G522" s="187"/>
    </row>
    <row r="523" ht="14.25" customHeight="1">
      <c r="G523" s="187"/>
    </row>
    <row r="524" ht="14.25" customHeight="1">
      <c r="G524" s="187"/>
    </row>
    <row r="525" ht="14.25" customHeight="1">
      <c r="G525" s="187"/>
    </row>
    <row r="526" ht="14.25" customHeight="1">
      <c r="G526" s="187"/>
    </row>
    <row r="527" ht="14.25" customHeight="1">
      <c r="G527" s="187"/>
    </row>
    <row r="528" ht="14.25" customHeight="1">
      <c r="G528" s="187"/>
    </row>
    <row r="529" ht="14.25" customHeight="1">
      <c r="G529" s="187"/>
    </row>
    <row r="530" ht="14.25" customHeight="1">
      <c r="G530" s="187"/>
    </row>
    <row r="531" ht="14.25" customHeight="1">
      <c r="G531" s="187"/>
    </row>
    <row r="532" ht="14.25" customHeight="1">
      <c r="G532" s="187"/>
    </row>
    <row r="533" ht="14.25" customHeight="1">
      <c r="G533" s="187"/>
    </row>
    <row r="534" ht="14.25" customHeight="1">
      <c r="G534" s="187"/>
    </row>
    <row r="535" ht="14.25" customHeight="1">
      <c r="G535" s="187"/>
    </row>
    <row r="536" ht="14.25" customHeight="1">
      <c r="G536" s="187"/>
    </row>
    <row r="537" ht="14.25" customHeight="1">
      <c r="G537" s="187"/>
    </row>
    <row r="538" ht="14.25" customHeight="1">
      <c r="G538" s="187"/>
    </row>
    <row r="539" ht="14.25" customHeight="1">
      <c r="G539" s="187"/>
    </row>
    <row r="540" ht="14.25" customHeight="1">
      <c r="G540" s="187"/>
    </row>
    <row r="541" ht="14.25" customHeight="1">
      <c r="G541" s="187"/>
    </row>
    <row r="542" ht="14.25" customHeight="1">
      <c r="G542" s="187"/>
    </row>
    <row r="543" ht="14.25" customHeight="1">
      <c r="G543" s="187"/>
    </row>
    <row r="544" ht="14.25" customHeight="1">
      <c r="G544" s="187"/>
    </row>
    <row r="545" ht="14.25" customHeight="1">
      <c r="G545" s="187"/>
    </row>
    <row r="546" ht="14.25" customHeight="1">
      <c r="G546" s="187"/>
    </row>
    <row r="547" ht="14.25" customHeight="1">
      <c r="G547" s="187"/>
    </row>
    <row r="548" ht="14.25" customHeight="1">
      <c r="G548" s="187"/>
    </row>
    <row r="549" ht="14.25" customHeight="1">
      <c r="G549" s="187"/>
    </row>
    <row r="550" ht="14.25" customHeight="1">
      <c r="G550" s="187"/>
    </row>
    <row r="551" ht="14.25" customHeight="1">
      <c r="G551" s="187"/>
    </row>
    <row r="552" ht="14.25" customHeight="1">
      <c r="G552" s="187"/>
    </row>
    <row r="553" ht="14.25" customHeight="1">
      <c r="G553" s="187"/>
    </row>
    <row r="554" ht="14.25" customHeight="1">
      <c r="G554" s="187"/>
    </row>
    <row r="555" ht="14.25" customHeight="1">
      <c r="G555" s="187"/>
    </row>
    <row r="556" ht="14.25" customHeight="1">
      <c r="G556" s="187"/>
    </row>
    <row r="557" ht="14.25" customHeight="1">
      <c r="G557" s="187"/>
    </row>
    <row r="558" ht="14.25" customHeight="1">
      <c r="G558" s="187"/>
    </row>
    <row r="559" ht="14.25" customHeight="1">
      <c r="G559" s="187"/>
    </row>
    <row r="560" ht="14.25" customHeight="1">
      <c r="G560" s="187"/>
    </row>
    <row r="561" ht="14.25" customHeight="1">
      <c r="G561" s="187"/>
    </row>
    <row r="562" ht="14.25" customHeight="1">
      <c r="G562" s="187"/>
    </row>
    <row r="563" ht="14.25" customHeight="1">
      <c r="G563" s="187"/>
    </row>
    <row r="564" ht="14.25" customHeight="1">
      <c r="G564" s="187"/>
    </row>
    <row r="565" ht="14.25" customHeight="1">
      <c r="G565" s="187"/>
    </row>
    <row r="566" ht="14.25" customHeight="1">
      <c r="G566" s="187"/>
    </row>
    <row r="567" ht="14.25" customHeight="1">
      <c r="G567" s="187"/>
    </row>
    <row r="568" ht="14.25" customHeight="1">
      <c r="G568" s="187"/>
    </row>
    <row r="569" ht="14.25" customHeight="1">
      <c r="G569" s="187"/>
    </row>
    <row r="570" ht="14.25" customHeight="1">
      <c r="G570" s="187"/>
    </row>
    <row r="571" ht="14.25" customHeight="1">
      <c r="G571" s="187"/>
    </row>
    <row r="572" ht="14.25" customHeight="1">
      <c r="G572" s="187"/>
    </row>
    <row r="573" ht="14.25" customHeight="1">
      <c r="G573" s="187"/>
    </row>
    <row r="574" ht="14.25" customHeight="1">
      <c r="G574" s="187"/>
    </row>
    <row r="575" ht="14.25" customHeight="1">
      <c r="G575" s="187"/>
    </row>
    <row r="576" ht="14.25" customHeight="1">
      <c r="G576" s="187"/>
    </row>
    <row r="577" ht="14.25" customHeight="1">
      <c r="G577" s="187"/>
    </row>
    <row r="578" ht="14.25" customHeight="1">
      <c r="G578" s="187"/>
    </row>
    <row r="579" ht="14.25" customHeight="1">
      <c r="G579" s="187"/>
    </row>
    <row r="580" ht="14.25" customHeight="1">
      <c r="G580" s="187"/>
    </row>
    <row r="581" ht="14.25" customHeight="1">
      <c r="G581" s="187"/>
    </row>
    <row r="582" ht="14.25" customHeight="1">
      <c r="G582" s="187"/>
    </row>
    <row r="583" ht="14.25" customHeight="1">
      <c r="G583" s="187"/>
    </row>
    <row r="584" ht="14.25" customHeight="1">
      <c r="G584" s="187"/>
    </row>
    <row r="585" ht="14.25" customHeight="1">
      <c r="G585" s="187"/>
    </row>
    <row r="586" ht="14.25" customHeight="1">
      <c r="G586" s="187"/>
    </row>
    <row r="587" ht="14.25" customHeight="1">
      <c r="G587" s="187"/>
    </row>
    <row r="588" ht="14.25" customHeight="1">
      <c r="G588" s="187"/>
    </row>
    <row r="589" ht="14.25" customHeight="1">
      <c r="G589" s="187"/>
    </row>
    <row r="590" ht="14.25" customHeight="1">
      <c r="G590" s="187"/>
    </row>
    <row r="591" ht="14.25" customHeight="1">
      <c r="G591" s="187"/>
    </row>
    <row r="592" ht="14.25" customHeight="1">
      <c r="G592" s="187"/>
    </row>
    <row r="593" ht="14.25" customHeight="1">
      <c r="G593" s="187"/>
    </row>
    <row r="594" ht="14.25" customHeight="1">
      <c r="G594" s="187"/>
    </row>
    <row r="595" ht="14.25" customHeight="1">
      <c r="G595" s="187"/>
    </row>
    <row r="596" ht="14.25" customHeight="1">
      <c r="G596" s="187"/>
    </row>
    <row r="597" ht="14.25" customHeight="1">
      <c r="G597" s="187"/>
    </row>
    <row r="598" ht="14.25" customHeight="1">
      <c r="G598" s="187"/>
    </row>
    <row r="599" ht="14.25" customHeight="1">
      <c r="G599" s="187"/>
    </row>
    <row r="600" ht="14.25" customHeight="1">
      <c r="G600" s="187"/>
    </row>
    <row r="601" ht="14.25" customHeight="1">
      <c r="G601" s="187"/>
    </row>
    <row r="602" ht="14.25" customHeight="1">
      <c r="G602" s="187"/>
    </row>
    <row r="603" ht="14.25" customHeight="1">
      <c r="G603" s="187"/>
    </row>
    <row r="604" ht="14.25" customHeight="1">
      <c r="G604" s="187"/>
    </row>
    <row r="605" ht="14.25" customHeight="1">
      <c r="G605" s="187"/>
    </row>
    <row r="606" ht="14.25" customHeight="1">
      <c r="G606" s="187"/>
    </row>
    <row r="607" ht="14.25" customHeight="1">
      <c r="G607" s="187"/>
    </row>
    <row r="608" ht="14.25" customHeight="1">
      <c r="G608" s="187"/>
    </row>
    <row r="609" ht="14.25" customHeight="1">
      <c r="G609" s="187"/>
    </row>
    <row r="610" ht="14.25" customHeight="1">
      <c r="G610" s="187"/>
    </row>
    <row r="611" ht="14.25" customHeight="1">
      <c r="G611" s="187"/>
    </row>
    <row r="612" ht="14.25" customHeight="1">
      <c r="G612" s="187"/>
    </row>
    <row r="613" ht="14.25" customHeight="1">
      <c r="G613" s="187"/>
    </row>
    <row r="614" ht="14.25" customHeight="1">
      <c r="G614" s="187"/>
    </row>
    <row r="615" ht="14.25" customHeight="1">
      <c r="G615" s="187"/>
    </row>
    <row r="616" ht="14.25" customHeight="1">
      <c r="G616" s="187"/>
    </row>
    <row r="617" ht="14.25" customHeight="1">
      <c r="G617" s="187"/>
    </row>
    <row r="618" ht="14.25" customHeight="1">
      <c r="G618" s="187"/>
    </row>
    <row r="619" ht="14.25" customHeight="1">
      <c r="G619" s="187"/>
    </row>
    <row r="620" ht="14.25" customHeight="1">
      <c r="G620" s="187"/>
    </row>
    <row r="621" ht="14.25" customHeight="1">
      <c r="G621" s="187"/>
    </row>
    <row r="622" ht="14.25" customHeight="1">
      <c r="G622" s="187"/>
    </row>
    <row r="623" ht="14.25" customHeight="1">
      <c r="G623" s="187"/>
    </row>
    <row r="624" ht="14.25" customHeight="1">
      <c r="G624" s="187"/>
    </row>
    <row r="625" ht="14.25" customHeight="1">
      <c r="G625" s="187"/>
    </row>
    <row r="626" ht="14.25" customHeight="1">
      <c r="G626" s="187"/>
    </row>
    <row r="627" ht="14.25" customHeight="1">
      <c r="G627" s="187"/>
    </row>
    <row r="628" ht="14.25" customHeight="1">
      <c r="G628" s="187"/>
    </row>
    <row r="629" ht="14.25" customHeight="1">
      <c r="G629" s="187"/>
    </row>
    <row r="630" ht="14.25" customHeight="1">
      <c r="G630" s="187"/>
    </row>
    <row r="631" ht="14.25" customHeight="1">
      <c r="G631" s="187"/>
    </row>
    <row r="632" ht="14.25" customHeight="1">
      <c r="G632" s="187"/>
    </row>
    <row r="633" ht="14.25" customHeight="1">
      <c r="G633" s="187"/>
    </row>
    <row r="634" ht="14.25" customHeight="1">
      <c r="G634" s="187"/>
    </row>
    <row r="635" ht="14.25" customHeight="1">
      <c r="G635" s="187"/>
    </row>
    <row r="636" ht="14.25" customHeight="1">
      <c r="G636" s="187"/>
    </row>
    <row r="637" ht="14.25" customHeight="1">
      <c r="G637" s="187"/>
    </row>
    <row r="638" ht="14.25" customHeight="1">
      <c r="G638" s="187"/>
    </row>
    <row r="639" ht="14.25" customHeight="1">
      <c r="G639" s="187"/>
    </row>
    <row r="640" ht="14.25" customHeight="1">
      <c r="G640" s="187"/>
    </row>
    <row r="641" ht="14.25" customHeight="1">
      <c r="G641" s="187"/>
    </row>
    <row r="642" ht="14.25" customHeight="1">
      <c r="G642" s="187"/>
    </row>
    <row r="643" ht="14.25" customHeight="1">
      <c r="G643" s="187"/>
    </row>
    <row r="644" ht="14.25" customHeight="1">
      <c r="G644" s="187"/>
    </row>
    <row r="645" ht="14.25" customHeight="1">
      <c r="G645" s="187"/>
    </row>
    <row r="646" ht="14.25" customHeight="1">
      <c r="G646" s="187"/>
    </row>
    <row r="647" ht="14.25" customHeight="1">
      <c r="G647" s="187"/>
    </row>
    <row r="648" ht="14.25" customHeight="1">
      <c r="G648" s="187"/>
    </row>
    <row r="649" ht="14.25" customHeight="1">
      <c r="G649" s="187"/>
    </row>
    <row r="650" ht="14.25" customHeight="1">
      <c r="G650" s="187"/>
    </row>
    <row r="651" ht="14.25" customHeight="1">
      <c r="G651" s="187"/>
    </row>
    <row r="652" ht="14.25" customHeight="1">
      <c r="G652" s="187"/>
    </row>
    <row r="653" ht="14.25" customHeight="1">
      <c r="G653" s="187"/>
    </row>
    <row r="654" ht="14.25" customHeight="1">
      <c r="G654" s="187"/>
    </row>
    <row r="655" ht="14.25" customHeight="1">
      <c r="G655" s="187"/>
    </row>
    <row r="656" ht="14.25" customHeight="1">
      <c r="G656" s="187"/>
    </row>
    <row r="657" ht="14.25" customHeight="1">
      <c r="G657" s="187"/>
    </row>
    <row r="658" ht="14.25" customHeight="1">
      <c r="G658" s="187"/>
    </row>
    <row r="659" ht="14.25" customHeight="1">
      <c r="G659" s="187"/>
    </row>
    <row r="660" ht="14.25" customHeight="1">
      <c r="G660" s="187"/>
    </row>
    <row r="661" ht="14.25" customHeight="1">
      <c r="G661" s="187"/>
    </row>
    <row r="662" ht="14.25" customHeight="1">
      <c r="G662" s="187"/>
    </row>
    <row r="663" ht="14.25" customHeight="1">
      <c r="G663" s="187"/>
    </row>
    <row r="664" ht="14.25" customHeight="1">
      <c r="G664" s="187"/>
    </row>
    <row r="665" ht="14.25" customHeight="1">
      <c r="G665" s="187"/>
    </row>
    <row r="666" ht="14.25" customHeight="1">
      <c r="G666" s="187"/>
    </row>
    <row r="667" ht="14.25" customHeight="1">
      <c r="G667" s="187"/>
    </row>
    <row r="668" ht="14.25" customHeight="1">
      <c r="G668" s="187"/>
    </row>
    <row r="669" ht="14.25" customHeight="1">
      <c r="G669" s="187"/>
    </row>
    <row r="670" ht="14.25" customHeight="1">
      <c r="G670" s="187"/>
    </row>
    <row r="671" ht="14.25" customHeight="1">
      <c r="G671" s="187"/>
    </row>
    <row r="672" ht="14.25" customHeight="1">
      <c r="G672" s="187"/>
    </row>
    <row r="673" ht="14.25" customHeight="1">
      <c r="G673" s="187"/>
    </row>
    <row r="674" ht="14.25" customHeight="1">
      <c r="G674" s="187"/>
    </row>
    <row r="675" ht="14.25" customHeight="1">
      <c r="G675" s="187"/>
    </row>
    <row r="676" ht="14.25" customHeight="1">
      <c r="G676" s="187"/>
    </row>
    <row r="677" ht="14.25" customHeight="1">
      <c r="G677" s="187"/>
    </row>
    <row r="678" ht="14.25" customHeight="1">
      <c r="G678" s="187"/>
    </row>
    <row r="679" ht="14.25" customHeight="1">
      <c r="G679" s="187"/>
    </row>
    <row r="680" ht="14.25" customHeight="1">
      <c r="G680" s="187"/>
    </row>
    <row r="681" ht="14.25" customHeight="1">
      <c r="G681" s="187"/>
    </row>
    <row r="682" ht="14.25" customHeight="1">
      <c r="G682" s="187"/>
    </row>
    <row r="683" ht="14.25" customHeight="1">
      <c r="G683" s="187"/>
    </row>
    <row r="684" ht="14.25" customHeight="1">
      <c r="G684" s="187"/>
    </row>
    <row r="685" ht="14.25" customHeight="1">
      <c r="G685" s="187"/>
    </row>
    <row r="686" ht="14.25" customHeight="1">
      <c r="G686" s="187"/>
    </row>
    <row r="687" ht="14.25" customHeight="1">
      <c r="G687" s="187"/>
    </row>
    <row r="688" ht="14.25" customHeight="1">
      <c r="G688" s="187"/>
    </row>
    <row r="689" ht="14.25" customHeight="1">
      <c r="G689" s="187"/>
    </row>
    <row r="690" ht="14.25" customHeight="1">
      <c r="G690" s="187"/>
    </row>
    <row r="691" ht="14.25" customHeight="1">
      <c r="G691" s="187"/>
    </row>
    <row r="692" ht="14.25" customHeight="1">
      <c r="G692" s="187"/>
    </row>
    <row r="693" ht="14.25" customHeight="1">
      <c r="G693" s="187"/>
    </row>
    <row r="694" ht="14.25" customHeight="1">
      <c r="G694" s="187"/>
    </row>
    <row r="695" ht="14.25" customHeight="1">
      <c r="G695" s="187"/>
    </row>
    <row r="696" ht="14.25" customHeight="1">
      <c r="G696" s="187"/>
    </row>
    <row r="697" ht="14.25" customHeight="1">
      <c r="G697" s="187"/>
    </row>
    <row r="698" ht="14.25" customHeight="1">
      <c r="G698" s="187"/>
    </row>
    <row r="699" ht="14.25" customHeight="1">
      <c r="G699" s="187"/>
    </row>
    <row r="700" ht="14.25" customHeight="1">
      <c r="G700" s="187"/>
    </row>
    <row r="701" ht="14.25" customHeight="1">
      <c r="G701" s="187"/>
    </row>
    <row r="702" ht="14.25" customHeight="1">
      <c r="G702" s="187"/>
    </row>
    <row r="703" ht="14.25" customHeight="1">
      <c r="G703" s="187"/>
    </row>
    <row r="704" ht="14.25" customHeight="1">
      <c r="G704" s="187"/>
    </row>
    <row r="705" ht="14.25" customHeight="1">
      <c r="G705" s="187"/>
    </row>
    <row r="706" ht="14.25" customHeight="1">
      <c r="G706" s="187"/>
    </row>
    <row r="707" ht="14.25" customHeight="1">
      <c r="G707" s="187"/>
    </row>
    <row r="708" ht="14.25" customHeight="1">
      <c r="G708" s="187"/>
    </row>
    <row r="709" ht="14.25" customHeight="1">
      <c r="G709" s="187"/>
    </row>
    <row r="710" ht="14.25" customHeight="1">
      <c r="G710" s="187"/>
    </row>
    <row r="711" ht="14.25" customHeight="1">
      <c r="G711" s="187"/>
    </row>
    <row r="712" ht="14.25" customHeight="1">
      <c r="G712" s="187"/>
    </row>
    <row r="713" ht="14.25" customHeight="1">
      <c r="G713" s="187"/>
    </row>
    <row r="714" ht="14.25" customHeight="1">
      <c r="G714" s="187"/>
    </row>
    <row r="715" ht="14.25" customHeight="1">
      <c r="G715" s="187"/>
    </row>
    <row r="716" ht="14.25" customHeight="1">
      <c r="G716" s="187"/>
    </row>
    <row r="717" ht="14.25" customHeight="1">
      <c r="G717" s="187"/>
    </row>
    <row r="718" ht="14.25" customHeight="1">
      <c r="G718" s="187"/>
    </row>
    <row r="719" ht="14.25" customHeight="1">
      <c r="G719" s="187"/>
    </row>
    <row r="720" ht="14.25" customHeight="1">
      <c r="G720" s="187"/>
    </row>
    <row r="721" ht="14.25" customHeight="1">
      <c r="G721" s="187"/>
    </row>
    <row r="722" ht="14.25" customHeight="1">
      <c r="G722" s="187"/>
    </row>
    <row r="723" ht="14.25" customHeight="1">
      <c r="G723" s="187"/>
    </row>
    <row r="724" ht="14.25" customHeight="1">
      <c r="G724" s="187"/>
    </row>
    <row r="725" ht="14.25" customHeight="1">
      <c r="G725" s="187"/>
    </row>
    <row r="726" ht="14.25" customHeight="1">
      <c r="G726" s="187"/>
    </row>
    <row r="727" ht="14.25" customHeight="1">
      <c r="G727" s="187"/>
    </row>
    <row r="728" ht="14.25" customHeight="1">
      <c r="G728" s="187"/>
    </row>
    <row r="729" ht="14.25" customHeight="1">
      <c r="G729" s="187"/>
    </row>
    <row r="730" ht="14.25" customHeight="1">
      <c r="G730" s="187"/>
    </row>
    <row r="731" ht="14.25" customHeight="1">
      <c r="G731" s="187"/>
    </row>
    <row r="732" ht="14.25" customHeight="1">
      <c r="G732" s="187"/>
    </row>
    <row r="733" ht="14.25" customHeight="1">
      <c r="G733" s="187"/>
    </row>
    <row r="734" ht="14.25" customHeight="1">
      <c r="G734" s="187"/>
    </row>
    <row r="735" ht="14.25" customHeight="1">
      <c r="G735" s="187"/>
    </row>
    <row r="736" ht="14.25" customHeight="1">
      <c r="G736" s="187"/>
    </row>
    <row r="737" ht="14.25" customHeight="1">
      <c r="G737" s="187"/>
    </row>
    <row r="738" ht="14.25" customHeight="1">
      <c r="G738" s="187"/>
    </row>
    <row r="739" ht="14.25" customHeight="1">
      <c r="G739" s="187"/>
    </row>
    <row r="740" ht="14.25" customHeight="1">
      <c r="G740" s="187"/>
    </row>
    <row r="741" ht="14.25" customHeight="1">
      <c r="G741" s="187"/>
    </row>
    <row r="742" ht="14.25" customHeight="1">
      <c r="G742" s="187"/>
    </row>
    <row r="743" ht="14.25" customHeight="1">
      <c r="G743" s="187"/>
    </row>
    <row r="744" ht="14.25" customHeight="1">
      <c r="G744" s="187"/>
    </row>
    <row r="745" ht="14.25" customHeight="1">
      <c r="G745" s="187"/>
    </row>
    <row r="746" ht="14.25" customHeight="1">
      <c r="G746" s="187"/>
    </row>
    <row r="747" ht="14.25" customHeight="1">
      <c r="G747" s="187"/>
    </row>
    <row r="748" ht="14.25" customHeight="1">
      <c r="G748" s="187"/>
    </row>
    <row r="749" ht="14.25" customHeight="1">
      <c r="G749" s="187"/>
    </row>
    <row r="750" ht="14.25" customHeight="1">
      <c r="G750" s="187"/>
    </row>
    <row r="751" ht="14.25" customHeight="1">
      <c r="G751" s="187"/>
    </row>
    <row r="752" ht="14.25" customHeight="1">
      <c r="G752" s="187"/>
    </row>
    <row r="753" ht="14.25" customHeight="1">
      <c r="G753" s="187"/>
    </row>
    <row r="754" ht="14.25" customHeight="1">
      <c r="G754" s="187"/>
    </row>
    <row r="755" ht="14.25" customHeight="1">
      <c r="G755" s="187"/>
    </row>
    <row r="756" ht="14.25" customHeight="1">
      <c r="G756" s="187"/>
    </row>
    <row r="757" ht="14.25" customHeight="1">
      <c r="G757" s="187"/>
    </row>
    <row r="758" ht="14.25" customHeight="1">
      <c r="G758" s="187"/>
    </row>
    <row r="759" ht="14.25" customHeight="1">
      <c r="G759" s="187"/>
    </row>
    <row r="760" ht="14.25" customHeight="1">
      <c r="G760" s="187"/>
    </row>
    <row r="761" ht="14.25" customHeight="1">
      <c r="G761" s="187"/>
    </row>
    <row r="762" ht="14.25" customHeight="1">
      <c r="G762" s="187"/>
    </row>
    <row r="763" ht="14.25" customHeight="1">
      <c r="G763" s="187"/>
    </row>
    <row r="764" ht="14.25" customHeight="1">
      <c r="G764" s="187"/>
    </row>
    <row r="765" ht="14.25" customHeight="1">
      <c r="G765" s="187"/>
    </row>
    <row r="766" ht="14.25" customHeight="1">
      <c r="G766" s="187"/>
    </row>
    <row r="767" ht="14.25" customHeight="1">
      <c r="G767" s="187"/>
    </row>
    <row r="768" ht="14.25" customHeight="1">
      <c r="G768" s="187"/>
    </row>
    <row r="769" ht="14.25" customHeight="1">
      <c r="G769" s="187"/>
    </row>
    <row r="770" ht="14.25" customHeight="1">
      <c r="G770" s="187"/>
    </row>
    <row r="771" ht="14.25" customHeight="1">
      <c r="G771" s="187"/>
    </row>
    <row r="772" ht="14.25" customHeight="1">
      <c r="G772" s="187"/>
    </row>
    <row r="773" ht="14.25" customHeight="1">
      <c r="G773" s="187"/>
    </row>
    <row r="774" ht="14.25" customHeight="1">
      <c r="G774" s="187"/>
    </row>
    <row r="775" ht="14.25" customHeight="1">
      <c r="G775" s="187"/>
    </row>
    <row r="776" ht="14.25" customHeight="1">
      <c r="G776" s="187"/>
    </row>
    <row r="777" ht="14.25" customHeight="1">
      <c r="G777" s="187"/>
    </row>
    <row r="778" ht="14.25" customHeight="1">
      <c r="G778" s="187"/>
    </row>
    <row r="779" ht="14.25" customHeight="1">
      <c r="G779" s="187"/>
    </row>
    <row r="780" ht="14.25" customHeight="1">
      <c r="G780" s="187"/>
    </row>
    <row r="781" ht="14.25" customHeight="1">
      <c r="G781" s="187"/>
    </row>
    <row r="782" ht="14.25" customHeight="1">
      <c r="G782" s="187"/>
    </row>
    <row r="783" ht="14.25" customHeight="1">
      <c r="G783" s="187"/>
    </row>
    <row r="784" ht="14.25" customHeight="1">
      <c r="G784" s="187"/>
    </row>
    <row r="785" ht="14.25" customHeight="1">
      <c r="G785" s="187"/>
    </row>
    <row r="786" ht="14.25" customHeight="1">
      <c r="G786" s="187"/>
    </row>
    <row r="787" ht="14.25" customHeight="1">
      <c r="G787" s="187"/>
    </row>
    <row r="788" ht="14.25" customHeight="1">
      <c r="G788" s="187"/>
    </row>
    <row r="789" ht="14.25" customHeight="1">
      <c r="G789" s="187"/>
    </row>
    <row r="790" ht="14.25" customHeight="1">
      <c r="G790" s="187"/>
    </row>
    <row r="791" ht="14.25" customHeight="1">
      <c r="G791" s="187"/>
    </row>
    <row r="792" ht="14.25" customHeight="1">
      <c r="G792" s="187"/>
    </row>
    <row r="793" ht="14.25" customHeight="1">
      <c r="G793" s="187"/>
    </row>
    <row r="794" ht="14.25" customHeight="1">
      <c r="G794" s="187"/>
    </row>
    <row r="795" ht="14.25" customHeight="1">
      <c r="G795" s="187"/>
    </row>
    <row r="796" ht="14.25" customHeight="1">
      <c r="G796" s="187"/>
    </row>
    <row r="797" ht="14.25" customHeight="1">
      <c r="G797" s="187"/>
    </row>
    <row r="798" ht="14.25" customHeight="1">
      <c r="G798" s="187"/>
    </row>
    <row r="799" ht="14.25" customHeight="1">
      <c r="G799" s="187"/>
    </row>
    <row r="800" ht="14.25" customHeight="1">
      <c r="G800" s="187"/>
    </row>
    <row r="801" ht="14.25" customHeight="1">
      <c r="G801" s="187"/>
    </row>
    <row r="802" ht="14.25" customHeight="1">
      <c r="G802" s="187"/>
    </row>
    <row r="803" ht="14.25" customHeight="1">
      <c r="G803" s="187"/>
    </row>
    <row r="804" ht="14.25" customHeight="1">
      <c r="G804" s="187"/>
    </row>
    <row r="805" ht="14.25" customHeight="1">
      <c r="G805" s="187"/>
    </row>
    <row r="806" ht="14.25" customHeight="1">
      <c r="G806" s="187"/>
    </row>
    <row r="807" ht="14.25" customHeight="1">
      <c r="G807" s="187"/>
    </row>
    <row r="808" ht="14.25" customHeight="1">
      <c r="G808" s="187"/>
    </row>
    <row r="809" ht="14.25" customHeight="1">
      <c r="G809" s="187"/>
    </row>
    <row r="810" ht="14.25" customHeight="1">
      <c r="G810" s="187"/>
    </row>
    <row r="811" ht="14.25" customHeight="1">
      <c r="G811" s="187"/>
    </row>
    <row r="812" ht="14.25" customHeight="1">
      <c r="G812" s="187"/>
    </row>
    <row r="813" ht="14.25" customHeight="1">
      <c r="G813" s="187"/>
    </row>
    <row r="814" ht="14.25" customHeight="1">
      <c r="G814" s="187"/>
    </row>
    <row r="815" ht="14.25" customHeight="1">
      <c r="G815" s="187"/>
    </row>
    <row r="816" ht="14.25" customHeight="1">
      <c r="G816" s="187"/>
    </row>
    <row r="817" ht="14.25" customHeight="1">
      <c r="G817" s="187"/>
    </row>
    <row r="818" ht="14.25" customHeight="1">
      <c r="G818" s="187"/>
    </row>
    <row r="819" ht="14.25" customHeight="1">
      <c r="G819" s="187"/>
    </row>
    <row r="820" ht="14.25" customHeight="1">
      <c r="G820" s="187"/>
    </row>
    <row r="821" ht="14.25" customHeight="1">
      <c r="G821" s="187"/>
    </row>
    <row r="822" ht="14.25" customHeight="1">
      <c r="G822" s="187"/>
    </row>
    <row r="823" ht="14.25" customHeight="1">
      <c r="G823" s="187"/>
    </row>
    <row r="824" ht="14.25" customHeight="1">
      <c r="G824" s="187"/>
    </row>
    <row r="825" ht="14.25" customHeight="1">
      <c r="G825" s="187"/>
    </row>
    <row r="826" ht="14.25" customHeight="1">
      <c r="G826" s="187"/>
    </row>
    <row r="827" ht="14.25" customHeight="1">
      <c r="G827" s="187"/>
    </row>
    <row r="828" ht="14.25" customHeight="1">
      <c r="G828" s="187"/>
    </row>
    <row r="829" ht="14.25" customHeight="1">
      <c r="G829" s="187"/>
    </row>
    <row r="830" ht="14.25" customHeight="1">
      <c r="G830" s="187"/>
    </row>
    <row r="831" ht="14.25" customHeight="1">
      <c r="G831" s="187"/>
    </row>
    <row r="832" ht="14.25" customHeight="1">
      <c r="G832" s="187"/>
    </row>
    <row r="833" ht="14.25" customHeight="1">
      <c r="G833" s="187"/>
    </row>
    <row r="834" ht="14.25" customHeight="1">
      <c r="G834" s="187"/>
    </row>
    <row r="835" ht="14.25" customHeight="1">
      <c r="G835" s="187"/>
    </row>
    <row r="836" ht="14.25" customHeight="1">
      <c r="G836" s="187"/>
    </row>
    <row r="837" ht="14.25" customHeight="1">
      <c r="G837" s="187"/>
    </row>
    <row r="838" ht="14.25" customHeight="1">
      <c r="G838" s="187"/>
    </row>
    <row r="839" ht="14.25" customHeight="1">
      <c r="G839" s="187"/>
    </row>
    <row r="840" ht="14.25" customHeight="1">
      <c r="G840" s="187"/>
    </row>
    <row r="841" ht="14.25" customHeight="1">
      <c r="G841" s="187"/>
    </row>
    <row r="842" ht="14.25" customHeight="1">
      <c r="G842" s="187"/>
    </row>
    <row r="843" ht="14.25" customHeight="1">
      <c r="G843" s="187"/>
    </row>
    <row r="844" ht="14.25" customHeight="1">
      <c r="G844" s="187"/>
    </row>
    <row r="845" ht="14.25" customHeight="1">
      <c r="G845" s="187"/>
    </row>
    <row r="846" ht="14.25" customHeight="1">
      <c r="G846" s="187"/>
    </row>
    <row r="847" ht="14.25" customHeight="1">
      <c r="G847" s="187"/>
    </row>
    <row r="848" ht="14.25" customHeight="1">
      <c r="G848" s="187"/>
    </row>
    <row r="849" ht="14.25" customHeight="1">
      <c r="G849" s="187"/>
    </row>
    <row r="850" ht="14.25" customHeight="1">
      <c r="G850" s="187"/>
    </row>
    <row r="851" ht="14.25" customHeight="1">
      <c r="G851" s="187"/>
    </row>
    <row r="852" ht="14.25" customHeight="1">
      <c r="G852" s="187"/>
    </row>
    <row r="853" ht="14.25" customHeight="1">
      <c r="G853" s="187"/>
    </row>
    <row r="854" ht="14.25" customHeight="1">
      <c r="G854" s="187"/>
    </row>
    <row r="855" ht="14.25" customHeight="1">
      <c r="G855" s="187"/>
    </row>
    <row r="856" ht="14.25" customHeight="1">
      <c r="G856" s="187"/>
    </row>
    <row r="857" ht="14.25" customHeight="1">
      <c r="G857" s="187"/>
    </row>
    <row r="858" ht="14.25" customHeight="1">
      <c r="G858" s="187"/>
    </row>
    <row r="859" ht="14.25" customHeight="1">
      <c r="G859" s="187"/>
    </row>
    <row r="860" ht="14.25" customHeight="1">
      <c r="G860" s="187"/>
    </row>
    <row r="861" ht="14.25" customHeight="1">
      <c r="G861" s="187"/>
    </row>
    <row r="862" ht="14.25" customHeight="1">
      <c r="G862" s="187"/>
    </row>
    <row r="863" ht="14.25" customHeight="1">
      <c r="G863" s="187"/>
    </row>
    <row r="864" ht="14.25" customHeight="1">
      <c r="G864" s="187"/>
    </row>
    <row r="865" ht="14.25" customHeight="1">
      <c r="G865" s="187"/>
    </row>
    <row r="866" ht="14.25" customHeight="1">
      <c r="G866" s="187"/>
    </row>
    <row r="867" ht="14.25" customHeight="1">
      <c r="G867" s="187"/>
    </row>
    <row r="868" ht="14.25" customHeight="1">
      <c r="G868" s="187"/>
    </row>
    <row r="869" ht="14.25" customHeight="1">
      <c r="G869" s="187"/>
    </row>
    <row r="870" ht="14.25" customHeight="1">
      <c r="G870" s="187"/>
    </row>
    <row r="871" ht="14.25" customHeight="1">
      <c r="G871" s="187"/>
    </row>
    <row r="872" ht="14.25" customHeight="1">
      <c r="G872" s="187"/>
    </row>
    <row r="873" ht="14.25" customHeight="1">
      <c r="G873" s="187"/>
    </row>
    <row r="874" ht="14.25" customHeight="1">
      <c r="G874" s="187"/>
    </row>
    <row r="875" ht="14.25" customHeight="1">
      <c r="G875" s="187"/>
    </row>
    <row r="876" ht="14.25" customHeight="1">
      <c r="G876" s="187"/>
    </row>
    <row r="877" ht="14.25" customHeight="1">
      <c r="G877" s="187"/>
    </row>
    <row r="878" ht="14.25" customHeight="1">
      <c r="G878" s="187"/>
    </row>
    <row r="879" ht="14.25" customHeight="1">
      <c r="G879" s="187"/>
    </row>
    <row r="880" ht="14.25" customHeight="1">
      <c r="G880" s="187"/>
    </row>
    <row r="881" ht="14.25" customHeight="1">
      <c r="G881" s="187"/>
    </row>
    <row r="882" ht="14.25" customHeight="1">
      <c r="G882" s="187"/>
    </row>
    <row r="883" ht="14.25" customHeight="1">
      <c r="G883" s="187"/>
    </row>
    <row r="884" ht="14.25" customHeight="1">
      <c r="G884" s="187"/>
    </row>
    <row r="885" ht="14.25" customHeight="1">
      <c r="G885" s="187"/>
    </row>
    <row r="886" ht="14.25" customHeight="1">
      <c r="G886" s="187"/>
    </row>
    <row r="887" ht="14.25" customHeight="1">
      <c r="G887" s="187"/>
    </row>
    <row r="888" ht="14.25" customHeight="1">
      <c r="G888" s="187"/>
    </row>
    <row r="889" ht="14.25" customHeight="1">
      <c r="G889" s="187"/>
    </row>
    <row r="890" ht="14.25" customHeight="1">
      <c r="G890" s="187"/>
    </row>
    <row r="891" ht="14.25" customHeight="1">
      <c r="G891" s="187"/>
    </row>
    <row r="892" ht="14.25" customHeight="1">
      <c r="G892" s="187"/>
    </row>
    <row r="893" ht="14.25" customHeight="1">
      <c r="G893" s="187"/>
    </row>
    <row r="894" ht="14.25" customHeight="1">
      <c r="G894" s="187"/>
    </row>
    <row r="895" ht="14.25" customHeight="1">
      <c r="G895" s="187"/>
    </row>
    <row r="896" ht="14.25" customHeight="1">
      <c r="G896" s="187"/>
    </row>
    <row r="897" ht="14.25" customHeight="1">
      <c r="G897" s="187"/>
    </row>
    <row r="898" ht="14.25" customHeight="1">
      <c r="G898" s="187"/>
    </row>
    <row r="899" ht="14.25" customHeight="1">
      <c r="G899" s="187"/>
    </row>
    <row r="900" ht="14.25" customHeight="1">
      <c r="G900" s="187"/>
    </row>
    <row r="901" ht="14.25" customHeight="1">
      <c r="G901" s="187"/>
    </row>
    <row r="902" ht="14.25" customHeight="1">
      <c r="G902" s="187"/>
    </row>
    <row r="903" ht="14.25" customHeight="1">
      <c r="G903" s="187"/>
    </row>
    <row r="904" ht="14.25" customHeight="1">
      <c r="G904" s="187"/>
    </row>
    <row r="905" ht="14.25" customHeight="1">
      <c r="G905" s="187"/>
    </row>
    <row r="906" ht="14.25" customHeight="1">
      <c r="G906" s="187"/>
    </row>
    <row r="907" ht="14.25" customHeight="1">
      <c r="G907" s="187"/>
    </row>
    <row r="908" ht="14.25" customHeight="1">
      <c r="G908" s="187"/>
    </row>
    <row r="909" ht="14.25" customHeight="1">
      <c r="G909" s="187"/>
    </row>
    <row r="910" ht="14.25" customHeight="1">
      <c r="G910" s="187"/>
    </row>
    <row r="911" ht="14.25" customHeight="1">
      <c r="G911" s="187"/>
    </row>
    <row r="912" ht="14.25" customHeight="1">
      <c r="G912" s="187"/>
    </row>
    <row r="913" ht="14.25" customHeight="1">
      <c r="G913" s="187"/>
    </row>
    <row r="914" ht="14.25" customHeight="1">
      <c r="G914" s="187"/>
    </row>
    <row r="915" ht="14.25" customHeight="1">
      <c r="G915" s="187"/>
    </row>
    <row r="916" ht="14.25" customHeight="1">
      <c r="G916" s="187"/>
    </row>
    <row r="917" ht="14.25" customHeight="1">
      <c r="G917" s="187"/>
    </row>
    <row r="918" ht="14.25" customHeight="1">
      <c r="G918" s="187"/>
    </row>
    <row r="919" ht="14.25" customHeight="1">
      <c r="G919" s="187"/>
    </row>
    <row r="920" ht="14.25" customHeight="1">
      <c r="G920" s="187"/>
    </row>
    <row r="921" ht="14.25" customHeight="1">
      <c r="G921" s="187"/>
    </row>
    <row r="922" ht="14.25" customHeight="1">
      <c r="G922" s="187"/>
    </row>
    <row r="923" ht="14.25" customHeight="1">
      <c r="G923" s="187"/>
    </row>
    <row r="924" ht="14.25" customHeight="1">
      <c r="G924" s="187"/>
    </row>
    <row r="925" ht="14.25" customHeight="1">
      <c r="G925" s="187"/>
    </row>
    <row r="926" ht="14.25" customHeight="1">
      <c r="G926" s="187"/>
    </row>
    <row r="927" ht="14.25" customHeight="1">
      <c r="G927" s="187"/>
    </row>
    <row r="928" ht="14.25" customHeight="1">
      <c r="G928" s="187"/>
    </row>
    <row r="929" ht="14.25" customHeight="1">
      <c r="G929" s="187"/>
    </row>
    <row r="930" ht="14.25" customHeight="1">
      <c r="G930" s="187"/>
    </row>
    <row r="931" ht="14.25" customHeight="1">
      <c r="G931" s="187"/>
    </row>
    <row r="932" ht="14.25" customHeight="1">
      <c r="G932" s="187"/>
    </row>
    <row r="933" ht="14.25" customHeight="1">
      <c r="G933" s="187"/>
    </row>
    <row r="934" ht="14.25" customHeight="1">
      <c r="G934" s="187"/>
    </row>
    <row r="935" ht="14.25" customHeight="1">
      <c r="G935" s="187"/>
    </row>
    <row r="936" ht="14.25" customHeight="1">
      <c r="G936" s="187"/>
    </row>
    <row r="937" ht="14.25" customHeight="1">
      <c r="G937" s="187"/>
    </row>
    <row r="938" ht="14.25" customHeight="1">
      <c r="G938" s="187"/>
    </row>
    <row r="939" ht="14.25" customHeight="1">
      <c r="G939" s="187"/>
    </row>
    <row r="940" ht="14.25" customHeight="1">
      <c r="G940" s="187"/>
    </row>
    <row r="941" ht="14.25" customHeight="1">
      <c r="G941" s="187"/>
    </row>
    <row r="942" ht="14.25" customHeight="1">
      <c r="G942" s="187"/>
    </row>
    <row r="943" ht="14.25" customHeight="1">
      <c r="G943" s="187"/>
    </row>
    <row r="944" ht="14.25" customHeight="1">
      <c r="G944" s="187"/>
    </row>
    <row r="945" ht="14.25" customHeight="1">
      <c r="G945" s="187"/>
    </row>
    <row r="946" ht="14.25" customHeight="1">
      <c r="G946" s="187"/>
    </row>
    <row r="947" ht="14.25" customHeight="1">
      <c r="G947" s="187"/>
    </row>
    <row r="948" ht="14.25" customHeight="1">
      <c r="G948" s="187"/>
    </row>
    <row r="949" ht="14.25" customHeight="1">
      <c r="G949" s="187"/>
    </row>
    <row r="950" ht="14.25" customHeight="1">
      <c r="G950" s="187"/>
    </row>
    <row r="951" ht="14.25" customHeight="1">
      <c r="G951" s="187"/>
    </row>
    <row r="952" ht="14.25" customHeight="1">
      <c r="G952" s="187"/>
    </row>
    <row r="953" ht="14.25" customHeight="1">
      <c r="G953" s="187"/>
    </row>
    <row r="954" ht="14.25" customHeight="1">
      <c r="G954" s="187"/>
    </row>
    <row r="955" ht="14.25" customHeight="1">
      <c r="G955" s="187"/>
    </row>
    <row r="956" ht="14.25" customHeight="1">
      <c r="G956" s="187"/>
    </row>
    <row r="957" ht="14.25" customHeight="1">
      <c r="G957" s="187"/>
    </row>
    <row r="958" ht="14.25" customHeight="1">
      <c r="G958" s="187"/>
    </row>
    <row r="959" ht="14.25" customHeight="1">
      <c r="G959" s="187"/>
    </row>
    <row r="960" ht="14.25" customHeight="1">
      <c r="G960" s="187"/>
    </row>
    <row r="961" ht="14.25" customHeight="1">
      <c r="G961" s="187"/>
    </row>
    <row r="962" ht="14.25" customHeight="1">
      <c r="G962" s="187"/>
    </row>
    <row r="963" ht="14.25" customHeight="1">
      <c r="G963" s="187"/>
    </row>
    <row r="964" ht="14.25" customHeight="1">
      <c r="G964" s="187"/>
    </row>
    <row r="965" ht="14.25" customHeight="1">
      <c r="G965" s="187"/>
    </row>
    <row r="966" ht="14.25" customHeight="1">
      <c r="G966" s="187"/>
    </row>
    <row r="967" ht="14.25" customHeight="1">
      <c r="G967" s="187"/>
    </row>
    <row r="968" ht="14.25" customHeight="1">
      <c r="G968" s="187"/>
    </row>
    <row r="969" ht="14.25" customHeight="1">
      <c r="G969" s="187"/>
    </row>
    <row r="970" ht="14.25" customHeight="1">
      <c r="G970" s="187"/>
    </row>
    <row r="971" ht="14.25" customHeight="1">
      <c r="G971" s="187"/>
    </row>
    <row r="972" ht="14.25" customHeight="1">
      <c r="G972" s="187"/>
    </row>
    <row r="973" ht="14.25" customHeight="1">
      <c r="G973" s="187"/>
    </row>
    <row r="974" ht="14.25" customHeight="1">
      <c r="G974" s="187"/>
    </row>
    <row r="975" ht="14.25" customHeight="1">
      <c r="G975" s="187"/>
    </row>
    <row r="976" ht="14.25" customHeight="1">
      <c r="G976" s="187"/>
    </row>
    <row r="977" ht="14.25" customHeight="1">
      <c r="G977" s="187"/>
    </row>
    <row r="978" ht="14.25" customHeight="1">
      <c r="G978" s="187"/>
    </row>
    <row r="979" ht="14.25" customHeight="1">
      <c r="G979" s="187"/>
    </row>
    <row r="980" ht="14.25" customHeight="1">
      <c r="G980" s="187"/>
    </row>
    <row r="981" ht="14.25" customHeight="1">
      <c r="G981" s="187"/>
    </row>
    <row r="982" ht="14.25" customHeight="1">
      <c r="G982" s="187"/>
    </row>
    <row r="983" ht="14.25" customHeight="1">
      <c r="G983" s="187"/>
    </row>
    <row r="984" ht="14.25" customHeight="1">
      <c r="G984" s="187"/>
    </row>
    <row r="985" ht="14.25" customHeight="1">
      <c r="G985" s="187"/>
    </row>
    <row r="986" ht="14.25" customHeight="1">
      <c r="G986" s="187"/>
    </row>
    <row r="987" ht="14.25" customHeight="1">
      <c r="G987" s="187"/>
    </row>
    <row r="988" ht="14.25" customHeight="1">
      <c r="G988" s="187"/>
    </row>
    <row r="989" ht="14.25" customHeight="1">
      <c r="G989" s="187"/>
    </row>
    <row r="990" ht="14.25" customHeight="1">
      <c r="G990" s="187"/>
    </row>
    <row r="991" ht="14.25" customHeight="1">
      <c r="G991" s="187"/>
    </row>
    <row r="992" ht="14.25" customHeight="1">
      <c r="G992" s="187"/>
    </row>
    <row r="993" ht="14.25" customHeight="1">
      <c r="G993" s="187"/>
    </row>
    <row r="994" ht="14.25" customHeight="1">
      <c r="G994" s="187"/>
    </row>
    <row r="995" ht="14.25" customHeight="1">
      <c r="G995" s="187"/>
    </row>
    <row r="996" ht="14.25" customHeight="1">
      <c r="G996" s="187"/>
    </row>
    <row r="997" ht="14.25" customHeight="1">
      <c r="G997" s="187"/>
    </row>
    <row r="998" ht="14.25" customHeight="1">
      <c r="G998" s="187"/>
    </row>
    <row r="999" ht="14.25" customHeight="1">
      <c r="G999" s="187"/>
    </row>
    <row r="1000" ht="14.25" customHeight="1">
      <c r="G1000" s="187"/>
    </row>
  </sheetData>
  <mergeCells count="30">
    <mergeCell ref="AL6:AL7"/>
    <mergeCell ref="AM6:AM7"/>
    <mergeCell ref="AN9:AV9"/>
    <mergeCell ref="AN30:AO30"/>
    <mergeCell ref="AN34:AT34"/>
    <mergeCell ref="AN39:AO39"/>
    <mergeCell ref="AN40:AO40"/>
    <mergeCell ref="AN53:AP53"/>
    <mergeCell ref="A5:D5"/>
    <mergeCell ref="B6:B7"/>
    <mergeCell ref="C6:C7"/>
    <mergeCell ref="D6:D7"/>
    <mergeCell ref="E6:E7"/>
    <mergeCell ref="F6:F7"/>
    <mergeCell ref="G6:G7"/>
    <mergeCell ref="B56:G56"/>
    <mergeCell ref="B57:G57"/>
    <mergeCell ref="B58:G58"/>
    <mergeCell ref="A64:G64"/>
    <mergeCell ref="E68:G68"/>
    <mergeCell ref="L68:S68"/>
    <mergeCell ref="E70:G70"/>
    <mergeCell ref="E72:G72"/>
    <mergeCell ref="G29:G33"/>
    <mergeCell ref="F34:F39"/>
    <mergeCell ref="G34:G39"/>
    <mergeCell ref="A46:A47"/>
    <mergeCell ref="B46:B47"/>
    <mergeCell ref="C46:C47"/>
    <mergeCell ref="D46:D47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5.14"/>
    <col customWidth="1" min="8" max="8" width="4.71"/>
    <col customWidth="1" min="9" max="9" width="4.43"/>
    <col customWidth="1" min="10" max="10" width="4.71"/>
    <col customWidth="1" min="11" max="13" width="5.29"/>
    <col customWidth="1" min="14" max="14" width="5.14"/>
    <col customWidth="1" min="15" max="15" width="5.29"/>
    <col customWidth="1" min="16" max="16" width="4.57"/>
    <col customWidth="1" min="17" max="17" width="5.29"/>
    <col customWidth="1" min="18" max="18" width="5.0"/>
    <col customWidth="1" min="19" max="19" width="5.29"/>
    <col customWidth="1" min="20" max="20" width="5.0"/>
    <col customWidth="1" min="21" max="21" width="5.29"/>
    <col customWidth="1" min="22" max="23" width="4.57"/>
    <col customWidth="1" min="24" max="24" width="4.71"/>
    <col customWidth="1" min="25" max="25" width="5.0"/>
    <col customWidth="1" min="26" max="26" width="4.86"/>
    <col customWidth="1" min="27" max="29" width="5.0"/>
    <col customWidth="1" min="30" max="30" width="5.29"/>
    <col customWidth="1" min="31" max="31" width="4.57"/>
    <col customWidth="1" min="32" max="32" width="4.71"/>
    <col customWidth="1" min="33" max="36" width="4.57"/>
    <col customWidth="1" min="37" max="37" width="9.0"/>
    <col customWidth="1" min="38" max="38" width="17.43"/>
    <col customWidth="1" min="39" max="39" width="1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7" t="s">
        <v>3</v>
      </c>
    </row>
    <row r="5" ht="14.25" customHeight="1">
      <c r="A5" s="8" t="s">
        <v>173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10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11"/>
    </row>
    <row r="6" ht="15.7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A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v>22.0</v>
      </c>
      <c r="AC6" s="15">
        <v>23.0</v>
      </c>
      <c r="AD6" s="15">
        <v>24.0</v>
      </c>
      <c r="AE6" s="15">
        <v>25.0</v>
      </c>
      <c r="AF6" s="15">
        <v>26.0</v>
      </c>
      <c r="AG6" s="15">
        <v>27.0</v>
      </c>
      <c r="AH6" s="15">
        <v>28.0</v>
      </c>
      <c r="AI6" s="15">
        <v>29.0</v>
      </c>
      <c r="AJ6" s="15">
        <v>30.0</v>
      </c>
      <c r="AK6" s="13" t="s">
        <v>14</v>
      </c>
      <c r="AL6" s="13" t="s">
        <v>15</v>
      </c>
    </row>
    <row r="7" ht="14.25" customHeight="1">
      <c r="A7" s="16"/>
      <c r="B7" s="17"/>
      <c r="C7" s="17"/>
      <c r="D7" s="17"/>
      <c r="E7" s="17"/>
      <c r="F7" s="17"/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16</v>
      </c>
      <c r="O7" s="18" t="s">
        <v>17</v>
      </c>
      <c r="P7" s="18" t="s">
        <v>18</v>
      </c>
      <c r="Q7" s="18" t="s">
        <v>19</v>
      </c>
      <c r="R7" s="18" t="s">
        <v>20</v>
      </c>
      <c r="S7" s="18" t="s">
        <v>21</v>
      </c>
      <c r="T7" s="18" t="s">
        <v>22</v>
      </c>
      <c r="U7" s="18" t="s">
        <v>16</v>
      </c>
      <c r="V7" s="18" t="s">
        <v>17</v>
      </c>
      <c r="W7" s="18" t="s">
        <v>18</v>
      </c>
      <c r="X7" s="18" t="s">
        <v>19</v>
      </c>
      <c r="Y7" s="18" t="s">
        <v>20</v>
      </c>
      <c r="Z7" s="18" t="s">
        <v>21</v>
      </c>
      <c r="AA7" s="18" t="s">
        <v>22</v>
      </c>
      <c r="AB7" s="18" t="s">
        <v>16</v>
      </c>
      <c r="AC7" s="18" t="s">
        <v>17</v>
      </c>
      <c r="AD7" s="18" t="s">
        <v>18</v>
      </c>
      <c r="AE7" s="18" t="s">
        <v>19</v>
      </c>
      <c r="AF7" s="18" t="s">
        <v>20</v>
      </c>
      <c r="AG7" s="18" t="s">
        <v>21</v>
      </c>
      <c r="AH7" s="18" t="s">
        <v>22</v>
      </c>
      <c r="AI7" s="18" t="s">
        <v>16</v>
      </c>
      <c r="AJ7" s="18" t="s">
        <v>17</v>
      </c>
      <c r="AK7" s="17"/>
      <c r="AL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2"/>
      <c r="AL8" s="23"/>
    </row>
    <row r="9" ht="14.25" customHeight="1">
      <c r="A9" s="24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8" t="s">
        <v>26</v>
      </c>
      <c r="G9" s="209"/>
      <c r="H9" s="209" t="s">
        <v>205</v>
      </c>
      <c r="I9" s="209" t="s">
        <v>205</v>
      </c>
      <c r="J9" s="209" t="s">
        <v>205</v>
      </c>
      <c r="K9" s="209" t="s">
        <v>205</v>
      </c>
      <c r="L9" s="210" t="s">
        <v>205</v>
      </c>
      <c r="M9" s="210" t="s">
        <v>205</v>
      </c>
      <c r="N9" s="209"/>
      <c r="O9" s="209" t="s">
        <v>205</v>
      </c>
      <c r="P9" s="209" t="s">
        <v>205</v>
      </c>
      <c r="Q9" s="209" t="s">
        <v>205</v>
      </c>
      <c r="R9" s="209" t="s">
        <v>205</v>
      </c>
      <c r="S9" s="210" t="s">
        <v>205</v>
      </c>
      <c r="T9" s="210" t="s">
        <v>205</v>
      </c>
      <c r="U9" s="209"/>
      <c r="V9" s="209" t="s">
        <v>205</v>
      </c>
      <c r="W9" s="209" t="s">
        <v>205</v>
      </c>
      <c r="X9" s="209" t="s">
        <v>205</v>
      </c>
      <c r="Y9" s="209" t="s">
        <v>205</v>
      </c>
      <c r="Z9" s="210" t="s">
        <v>205</v>
      </c>
      <c r="AA9" s="210" t="s">
        <v>205</v>
      </c>
      <c r="AB9" s="209"/>
      <c r="AC9" s="209" t="s">
        <v>205</v>
      </c>
      <c r="AD9" s="209" t="s">
        <v>205</v>
      </c>
      <c r="AE9" s="209" t="s">
        <v>205</v>
      </c>
      <c r="AF9" s="209" t="s">
        <v>205</v>
      </c>
      <c r="AG9" s="110">
        <v>12.0</v>
      </c>
      <c r="AH9" s="110"/>
      <c r="AI9" s="24"/>
      <c r="AJ9" s="24">
        <v>12.0</v>
      </c>
      <c r="AK9" s="211">
        <v>25.0</v>
      </c>
      <c r="AL9" s="57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/>
      <c r="H10" s="24">
        <v>12.0</v>
      </c>
      <c r="I10" s="24">
        <v>12.0</v>
      </c>
      <c r="J10" s="24">
        <v>12.0</v>
      </c>
      <c r="K10" s="24">
        <v>12.0</v>
      </c>
      <c r="L10" s="110">
        <v>12.0</v>
      </c>
      <c r="M10" s="110"/>
      <c r="N10" s="24"/>
      <c r="O10" s="24">
        <v>12.0</v>
      </c>
      <c r="P10" s="24">
        <v>12.0</v>
      </c>
      <c r="Q10" s="24">
        <v>12.0</v>
      </c>
      <c r="R10" s="24">
        <v>12.0</v>
      </c>
      <c r="S10" s="110">
        <v>12.0</v>
      </c>
      <c r="T10" s="110"/>
      <c r="U10" s="24"/>
      <c r="V10" s="24">
        <v>12.0</v>
      </c>
      <c r="W10" s="24">
        <v>12.0</v>
      </c>
      <c r="X10" s="24">
        <v>12.0</v>
      </c>
      <c r="Y10" s="24">
        <v>12.0</v>
      </c>
      <c r="Z10" s="110">
        <v>12.0</v>
      </c>
      <c r="AA10" s="110"/>
      <c r="AB10" s="24"/>
      <c r="AC10" s="24">
        <v>12.0</v>
      </c>
      <c r="AD10" s="24">
        <v>12.0</v>
      </c>
      <c r="AE10" s="24">
        <v>12.0</v>
      </c>
      <c r="AF10" s="24">
        <v>12.0</v>
      </c>
      <c r="AG10" s="110">
        <v>12.0</v>
      </c>
      <c r="AH10" s="110"/>
      <c r="AI10" s="24"/>
      <c r="AJ10" s="24">
        <v>12.0</v>
      </c>
      <c r="AK10" s="211">
        <v>22.0</v>
      </c>
      <c r="AL10" s="57">
        <f>SUM(G10:AK10)</f>
        <v>274</v>
      </c>
    </row>
    <row r="11" ht="14.25" customHeight="1">
      <c r="A11" s="24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/>
      <c r="H11" s="24">
        <v>9.0</v>
      </c>
      <c r="I11" s="24">
        <v>9.0</v>
      </c>
      <c r="J11" s="24">
        <v>9.0</v>
      </c>
      <c r="K11" s="24">
        <v>9.0</v>
      </c>
      <c r="L11" s="110">
        <v>9.0</v>
      </c>
      <c r="M11" s="110"/>
      <c r="N11" s="24"/>
      <c r="O11" s="24">
        <v>9.0</v>
      </c>
      <c r="P11" s="24">
        <v>9.0</v>
      </c>
      <c r="Q11" s="24">
        <v>9.0</v>
      </c>
      <c r="R11" s="24">
        <v>9.0</v>
      </c>
      <c r="S11" s="110">
        <v>9.0</v>
      </c>
      <c r="T11" s="110"/>
      <c r="U11" s="24"/>
      <c r="V11" s="24">
        <v>9.0</v>
      </c>
      <c r="W11" s="24">
        <v>9.0</v>
      </c>
      <c r="X11" s="24">
        <v>9.0</v>
      </c>
      <c r="Y11" s="24">
        <v>9.0</v>
      </c>
      <c r="Z11" s="110">
        <v>9.0</v>
      </c>
      <c r="AA11" s="110"/>
      <c r="AB11" s="24"/>
      <c r="AC11" s="24">
        <v>9.0</v>
      </c>
      <c r="AD11" s="24">
        <v>9.0</v>
      </c>
      <c r="AE11" s="24">
        <v>9.0</v>
      </c>
      <c r="AF11" s="24">
        <v>9.0</v>
      </c>
      <c r="AG11" s="110">
        <v>9.0</v>
      </c>
      <c r="AH11" s="110"/>
      <c r="AI11" s="24"/>
      <c r="AJ11" s="24">
        <v>9.0</v>
      </c>
      <c r="AK11" s="211">
        <f t="shared" ref="AK11:AK12" si="2">COUNTA(G11:AJ11)</f>
        <v>21</v>
      </c>
      <c r="AL11" s="57">
        <f t="shared" ref="AL11:AL14" si="3">SUM(G11:AJ11)</f>
        <v>189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8" t="s">
        <v>30</v>
      </c>
      <c r="G12" s="24"/>
      <c r="H12" s="24">
        <v>9.0</v>
      </c>
      <c r="I12" s="24">
        <v>9.0</v>
      </c>
      <c r="J12" s="24">
        <v>9.0</v>
      </c>
      <c r="K12" s="24">
        <v>9.0</v>
      </c>
      <c r="L12" s="110">
        <v>9.0</v>
      </c>
      <c r="M12" s="110"/>
      <c r="N12" s="24"/>
      <c r="O12" s="24">
        <v>9.0</v>
      </c>
      <c r="P12" s="24">
        <v>9.0</v>
      </c>
      <c r="Q12" s="24">
        <v>9.0</v>
      </c>
      <c r="R12" s="24">
        <v>9.0</v>
      </c>
      <c r="S12" s="110">
        <v>9.0</v>
      </c>
      <c r="T12" s="110"/>
      <c r="U12" s="24"/>
      <c r="V12" s="24">
        <v>9.0</v>
      </c>
      <c r="W12" s="24">
        <v>9.0</v>
      </c>
      <c r="X12" s="24">
        <v>9.0</v>
      </c>
      <c r="Y12" s="24">
        <v>9.0</v>
      </c>
      <c r="Z12" s="110">
        <v>9.0</v>
      </c>
      <c r="AA12" s="110"/>
      <c r="AB12" s="24"/>
      <c r="AC12" s="24">
        <v>9.0</v>
      </c>
      <c r="AD12" s="24">
        <v>9.0</v>
      </c>
      <c r="AE12" s="24">
        <v>9.0</v>
      </c>
      <c r="AF12" s="24">
        <v>9.0</v>
      </c>
      <c r="AG12" s="110">
        <v>9.0</v>
      </c>
      <c r="AH12" s="110"/>
      <c r="AI12" s="24"/>
      <c r="AJ12" s="24">
        <v>9.0</v>
      </c>
      <c r="AK12" s="211">
        <f t="shared" si="2"/>
        <v>21</v>
      </c>
      <c r="AL12" s="57">
        <f t="shared" si="3"/>
        <v>189</v>
      </c>
    </row>
    <row r="13" ht="14.25" customHeight="1">
      <c r="A13" s="24">
        <v>5.0</v>
      </c>
      <c r="B13" s="35" t="s">
        <v>36</v>
      </c>
      <c r="C13" s="27">
        <v>1.0</v>
      </c>
      <c r="D13" s="36" t="s">
        <v>180</v>
      </c>
      <c r="E13" s="27" t="s">
        <v>33</v>
      </c>
      <c r="F13" s="28" t="s">
        <v>30</v>
      </c>
      <c r="G13" s="24"/>
      <c r="H13" s="24">
        <v>9.0</v>
      </c>
      <c r="I13" s="24">
        <v>9.0</v>
      </c>
      <c r="J13" s="24">
        <v>9.0</v>
      </c>
      <c r="K13" s="24">
        <v>9.0</v>
      </c>
      <c r="L13" s="110">
        <v>9.0</v>
      </c>
      <c r="M13" s="110"/>
      <c r="N13" s="24"/>
      <c r="O13" s="24">
        <v>9.0</v>
      </c>
      <c r="P13" s="24">
        <v>9.0</v>
      </c>
      <c r="Q13" s="24">
        <v>9.0</v>
      </c>
      <c r="R13" s="24">
        <v>9.0</v>
      </c>
      <c r="S13" s="110">
        <v>9.0</v>
      </c>
      <c r="T13" s="110"/>
      <c r="U13" s="24"/>
      <c r="V13" s="24">
        <v>9.0</v>
      </c>
      <c r="W13" s="24">
        <v>9.0</v>
      </c>
      <c r="X13" s="24">
        <v>9.0</v>
      </c>
      <c r="Y13" s="24">
        <v>9.0</v>
      </c>
      <c r="Z13" s="110">
        <v>9.0</v>
      </c>
      <c r="AA13" s="110"/>
      <c r="AB13" s="24"/>
      <c r="AC13" s="24">
        <v>9.0</v>
      </c>
      <c r="AD13" s="24">
        <v>9.0</v>
      </c>
      <c r="AE13" s="24">
        <v>9.0</v>
      </c>
      <c r="AF13" s="24">
        <v>9.0</v>
      </c>
      <c r="AG13" s="110">
        <v>9.0</v>
      </c>
      <c r="AH13" s="110"/>
      <c r="AI13" s="24"/>
      <c r="AJ13" s="24">
        <v>9.0</v>
      </c>
      <c r="AK13" s="211">
        <v>22.0</v>
      </c>
      <c r="AL13" s="57">
        <f t="shared" si="3"/>
        <v>189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183</v>
      </c>
      <c r="E14" s="27" t="s">
        <v>40</v>
      </c>
      <c r="F14" s="28" t="s">
        <v>30</v>
      </c>
      <c r="G14" s="24">
        <v>12.0</v>
      </c>
      <c r="H14" s="117">
        <v>12.0</v>
      </c>
      <c r="I14" s="117"/>
      <c r="J14" s="24"/>
      <c r="K14" s="24">
        <v>12.0</v>
      </c>
      <c r="L14" s="110">
        <v>12.0</v>
      </c>
      <c r="M14" s="110">
        <v>12.0</v>
      </c>
      <c r="N14" s="24">
        <v>12.0</v>
      </c>
      <c r="O14" s="24">
        <v>12.0</v>
      </c>
      <c r="P14" s="24"/>
      <c r="Q14" s="24"/>
      <c r="R14" s="24">
        <v>12.0</v>
      </c>
      <c r="S14" s="110">
        <v>12.0</v>
      </c>
      <c r="T14" s="110">
        <v>12.0</v>
      </c>
      <c r="U14" s="24">
        <v>12.0</v>
      </c>
      <c r="V14" s="24">
        <v>12.0</v>
      </c>
      <c r="W14" s="24"/>
      <c r="X14" s="24"/>
      <c r="Y14" s="24">
        <v>12.0</v>
      </c>
      <c r="Z14" s="110">
        <v>12.0</v>
      </c>
      <c r="AA14" s="110">
        <v>12.0</v>
      </c>
      <c r="AB14" s="24">
        <v>12.0</v>
      </c>
      <c r="AC14" s="24">
        <v>12.0</v>
      </c>
      <c r="AD14" s="24"/>
      <c r="AE14" s="24"/>
      <c r="AF14" s="24">
        <v>12.0</v>
      </c>
      <c r="AG14" s="110">
        <v>12.0</v>
      </c>
      <c r="AH14" s="110">
        <v>12.0</v>
      </c>
      <c r="AI14" s="24">
        <v>12.0</v>
      </c>
      <c r="AJ14" s="24">
        <v>12.0</v>
      </c>
      <c r="AK14" s="211">
        <f>COUNTA(G14:AJ14)</f>
        <v>22</v>
      </c>
      <c r="AL14" s="57">
        <f t="shared" si="3"/>
        <v>264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"/>
      <c r="AL15" s="45"/>
    </row>
    <row r="16" ht="14.25" customHeight="1">
      <c r="A16" s="24">
        <v>7.0</v>
      </c>
      <c r="B16" s="25" t="s">
        <v>181</v>
      </c>
      <c r="C16" s="26">
        <v>1.0</v>
      </c>
      <c r="D16" s="25" t="s">
        <v>63</v>
      </c>
      <c r="E16" s="26" t="s">
        <v>182</v>
      </c>
      <c r="F16" s="47" t="s">
        <v>65</v>
      </c>
      <c r="G16" s="26"/>
      <c r="H16" s="26"/>
      <c r="I16" s="26"/>
      <c r="J16" s="26"/>
      <c r="K16" s="26"/>
      <c r="L16" s="213"/>
      <c r="M16" s="213"/>
      <c r="N16" s="26"/>
      <c r="O16" s="26"/>
      <c r="P16" s="26"/>
      <c r="Q16" s="26"/>
      <c r="R16" s="26"/>
      <c r="S16" s="213"/>
      <c r="T16" s="213"/>
      <c r="U16" s="26"/>
      <c r="V16" s="26"/>
      <c r="W16" s="26"/>
      <c r="X16" s="26"/>
      <c r="Y16" s="26"/>
      <c r="Z16" s="213"/>
      <c r="AA16" s="213"/>
      <c r="AB16" s="26"/>
      <c r="AC16" s="26"/>
      <c r="AD16" s="26"/>
      <c r="AE16" s="26"/>
      <c r="AF16" s="26"/>
      <c r="AG16" s="214"/>
      <c r="AH16" s="214"/>
      <c r="AI16" s="215"/>
      <c r="AJ16" s="215"/>
      <c r="AK16" s="211">
        <v>26.0</v>
      </c>
      <c r="AL16" s="57">
        <f t="shared" ref="AL16:AL22" si="4">SUM(G16:AJ16)</f>
        <v>0</v>
      </c>
    </row>
    <row r="17" ht="14.25" customHeight="1">
      <c r="A17" s="24">
        <v>8.0</v>
      </c>
      <c r="B17" s="35" t="s">
        <v>53</v>
      </c>
      <c r="C17" s="27">
        <v>1.0</v>
      </c>
      <c r="D17" s="36" t="s">
        <v>54</v>
      </c>
      <c r="E17" s="27" t="s">
        <v>55</v>
      </c>
      <c r="F17" s="47" t="s">
        <v>46</v>
      </c>
      <c r="G17" s="24">
        <v>12.0</v>
      </c>
      <c r="H17" s="24">
        <v>12.0</v>
      </c>
      <c r="I17" s="24">
        <v>12.0</v>
      </c>
      <c r="J17" s="24"/>
      <c r="K17" s="24">
        <v>12.0</v>
      </c>
      <c r="L17" s="110">
        <v>12.0</v>
      </c>
      <c r="M17" s="110">
        <v>12.0</v>
      </c>
      <c r="N17" s="24">
        <v>12.0</v>
      </c>
      <c r="O17" s="24">
        <v>12.0</v>
      </c>
      <c r="P17" s="24">
        <v>12.0</v>
      </c>
      <c r="Q17" s="24"/>
      <c r="R17" s="24">
        <v>12.0</v>
      </c>
      <c r="S17" s="110">
        <v>12.0</v>
      </c>
      <c r="T17" s="110">
        <v>12.0</v>
      </c>
      <c r="U17" s="24">
        <v>12.0</v>
      </c>
      <c r="V17" s="24">
        <v>12.0</v>
      </c>
      <c r="W17" s="24">
        <v>12.0</v>
      </c>
      <c r="X17" s="24"/>
      <c r="Y17" s="24">
        <v>12.0</v>
      </c>
      <c r="Z17" s="110">
        <v>12.0</v>
      </c>
      <c r="AA17" s="110">
        <v>12.0</v>
      </c>
      <c r="AB17" s="24">
        <v>12.0</v>
      </c>
      <c r="AC17" s="24">
        <v>12.0</v>
      </c>
      <c r="AD17" s="24">
        <v>12.0</v>
      </c>
      <c r="AE17" s="24"/>
      <c r="AF17" s="24">
        <v>12.0</v>
      </c>
      <c r="AG17" s="110">
        <v>12.0</v>
      </c>
      <c r="AH17" s="110">
        <v>12.0</v>
      </c>
      <c r="AI17" s="24">
        <v>12.0</v>
      </c>
      <c r="AJ17" s="24">
        <v>12.0</v>
      </c>
      <c r="AK17" s="211">
        <v>27.0</v>
      </c>
      <c r="AL17" s="57">
        <f t="shared" si="4"/>
        <v>312</v>
      </c>
      <c r="AM17" s="73" t="s">
        <v>207</v>
      </c>
    </row>
    <row r="18" ht="14.25" customHeight="1">
      <c r="A18" s="24">
        <v>9.0</v>
      </c>
      <c r="B18" s="35" t="s">
        <v>49</v>
      </c>
      <c r="C18" s="27">
        <v>1.0</v>
      </c>
      <c r="D18" s="36" t="s">
        <v>60</v>
      </c>
      <c r="E18" s="27" t="s">
        <v>51</v>
      </c>
      <c r="F18" s="47" t="s">
        <v>52</v>
      </c>
      <c r="G18" s="24">
        <v>24.0</v>
      </c>
      <c r="H18" s="24"/>
      <c r="I18" s="24">
        <v>24.0</v>
      </c>
      <c r="J18" s="24"/>
      <c r="K18" s="24">
        <v>24.0</v>
      </c>
      <c r="L18" s="110"/>
      <c r="M18" s="110">
        <v>24.0</v>
      </c>
      <c r="N18" s="24"/>
      <c r="O18" s="24">
        <v>24.0</v>
      </c>
      <c r="P18" s="24"/>
      <c r="Q18" s="24">
        <v>24.0</v>
      </c>
      <c r="R18" s="24"/>
      <c r="S18" s="110">
        <v>24.0</v>
      </c>
      <c r="T18" s="110"/>
      <c r="U18" s="24">
        <v>24.0</v>
      </c>
      <c r="V18" s="24"/>
      <c r="W18" s="24">
        <v>24.0</v>
      </c>
      <c r="X18" s="24"/>
      <c r="Y18" s="24">
        <v>24.0</v>
      </c>
      <c r="Z18" s="110"/>
      <c r="AA18" s="110">
        <v>24.0</v>
      </c>
      <c r="AB18" s="24"/>
      <c r="AC18" s="24"/>
      <c r="AD18" s="24"/>
      <c r="AE18" s="24">
        <v>24.0</v>
      </c>
      <c r="AF18" s="24"/>
      <c r="AG18" s="110">
        <v>24.0</v>
      </c>
      <c r="AH18" s="110"/>
      <c r="AI18" s="24">
        <v>24.0</v>
      </c>
      <c r="AJ18" s="24"/>
      <c r="AK18" s="211">
        <v>15.0</v>
      </c>
      <c r="AL18" s="57">
        <f t="shared" si="4"/>
        <v>336</v>
      </c>
      <c r="AM18" s="73" t="s">
        <v>207</v>
      </c>
    </row>
    <row r="19" ht="14.25" customHeight="1">
      <c r="A19" s="24">
        <v>10.0</v>
      </c>
      <c r="B19" s="35" t="s">
        <v>49</v>
      </c>
      <c r="C19" s="27">
        <v>1.0</v>
      </c>
      <c r="D19" s="36" t="s">
        <v>56</v>
      </c>
      <c r="E19" s="27" t="s">
        <v>51</v>
      </c>
      <c r="F19" s="47" t="s">
        <v>52</v>
      </c>
      <c r="G19" s="24"/>
      <c r="H19" s="24">
        <v>24.0</v>
      </c>
      <c r="I19" s="24"/>
      <c r="J19" s="24">
        <v>24.0</v>
      </c>
      <c r="K19" s="24"/>
      <c r="L19" s="110">
        <v>24.0</v>
      </c>
      <c r="M19" s="110"/>
      <c r="N19" s="24">
        <v>24.0</v>
      </c>
      <c r="O19" s="24"/>
      <c r="P19" s="24">
        <v>24.0</v>
      </c>
      <c r="Q19" s="24"/>
      <c r="R19" s="24">
        <v>24.0</v>
      </c>
      <c r="S19" s="110"/>
      <c r="T19" s="110">
        <v>24.0</v>
      </c>
      <c r="U19" s="24"/>
      <c r="V19" s="24">
        <v>24.0</v>
      </c>
      <c r="W19" s="24"/>
      <c r="X19" s="24">
        <v>24.0</v>
      </c>
      <c r="Y19" s="24"/>
      <c r="Z19" s="110">
        <v>24.0</v>
      </c>
      <c r="AA19" s="110"/>
      <c r="AB19" s="24">
        <v>24.0</v>
      </c>
      <c r="AC19" s="24"/>
      <c r="AD19" s="24">
        <v>24.0</v>
      </c>
      <c r="AE19" s="24"/>
      <c r="AF19" s="24">
        <v>24.0</v>
      </c>
      <c r="AG19" s="110"/>
      <c r="AH19" s="110">
        <v>24.0</v>
      </c>
      <c r="AI19" s="24"/>
      <c r="AJ19" s="24">
        <v>24.0</v>
      </c>
      <c r="AK19" s="211">
        <f t="shared" ref="AK19:AK22" si="5">COUNTA(G19:AJ19)</f>
        <v>15</v>
      </c>
      <c r="AL19" s="57">
        <f t="shared" si="4"/>
        <v>360</v>
      </c>
    </row>
    <row r="20" ht="14.25" customHeight="1">
      <c r="A20" s="24">
        <v>11.0</v>
      </c>
      <c r="B20" s="35" t="s">
        <v>62</v>
      </c>
      <c r="C20" s="27">
        <v>1.0</v>
      </c>
      <c r="D20" s="67" t="s">
        <v>63</v>
      </c>
      <c r="E20" s="27" t="s">
        <v>64</v>
      </c>
      <c r="F20" s="47" t="s">
        <v>65</v>
      </c>
      <c r="G20" s="26">
        <v>12.0</v>
      </c>
      <c r="H20" s="26">
        <v>12.0</v>
      </c>
      <c r="I20" s="26">
        <v>12.0</v>
      </c>
      <c r="J20" s="26"/>
      <c r="K20" s="26">
        <v>12.0</v>
      </c>
      <c r="L20" s="213">
        <v>12.0</v>
      </c>
      <c r="M20" s="213"/>
      <c r="N20" s="26">
        <v>12.0</v>
      </c>
      <c r="O20" s="26">
        <v>12.0</v>
      </c>
      <c r="P20" s="26"/>
      <c r="Q20" s="26">
        <v>12.0</v>
      </c>
      <c r="R20" s="26">
        <v>12.0</v>
      </c>
      <c r="S20" s="213">
        <v>12.0</v>
      </c>
      <c r="T20" s="213"/>
      <c r="U20" s="26">
        <v>12.0</v>
      </c>
      <c r="V20" s="26">
        <v>12.0</v>
      </c>
      <c r="W20" s="26"/>
      <c r="X20" s="26">
        <v>12.0</v>
      </c>
      <c r="Y20" s="26">
        <v>12.0</v>
      </c>
      <c r="Z20" s="213">
        <v>12.0</v>
      </c>
      <c r="AA20" s="213"/>
      <c r="AB20" s="26"/>
      <c r="AC20" s="26"/>
      <c r="AD20" s="26">
        <v>12.0</v>
      </c>
      <c r="AE20" s="26">
        <v>12.0</v>
      </c>
      <c r="AF20" s="26"/>
      <c r="AG20" s="214">
        <v>12.0</v>
      </c>
      <c r="AH20" s="214"/>
      <c r="AI20" s="215"/>
      <c r="AJ20" s="215"/>
      <c r="AK20" s="211">
        <f t="shared" si="5"/>
        <v>18</v>
      </c>
      <c r="AL20" s="57">
        <f t="shared" si="4"/>
        <v>216</v>
      </c>
      <c r="AM20" s="73" t="s">
        <v>207</v>
      </c>
    </row>
    <row r="21" ht="14.25" customHeight="1">
      <c r="A21" s="24">
        <v>12.0</v>
      </c>
      <c r="B21" s="35" t="s">
        <v>67</v>
      </c>
      <c r="C21" s="27">
        <v>1.0</v>
      </c>
      <c r="D21" s="36" t="s">
        <v>208</v>
      </c>
      <c r="E21" s="27" t="s">
        <v>70</v>
      </c>
      <c r="F21" s="28" t="s">
        <v>30</v>
      </c>
      <c r="G21" s="24">
        <v>12.0</v>
      </c>
      <c r="H21" s="24"/>
      <c r="I21" s="24"/>
      <c r="J21" s="24">
        <v>12.0</v>
      </c>
      <c r="K21" s="24">
        <v>12.0</v>
      </c>
      <c r="L21" s="110">
        <v>12.0</v>
      </c>
      <c r="M21" s="110">
        <v>12.0</v>
      </c>
      <c r="N21" s="24">
        <v>12.0</v>
      </c>
      <c r="O21" s="24"/>
      <c r="P21" s="24"/>
      <c r="Q21" s="24">
        <v>12.0</v>
      </c>
      <c r="R21" s="24">
        <v>12.0</v>
      </c>
      <c r="S21" s="110">
        <v>12.0</v>
      </c>
      <c r="T21" s="110">
        <v>12.0</v>
      </c>
      <c r="U21" s="24">
        <v>12.0</v>
      </c>
      <c r="V21" s="24"/>
      <c r="W21" s="24"/>
      <c r="X21" s="24">
        <v>12.0</v>
      </c>
      <c r="Y21" s="24">
        <v>12.0</v>
      </c>
      <c r="Z21" s="110">
        <v>12.0</v>
      </c>
      <c r="AA21" s="110">
        <v>12.0</v>
      </c>
      <c r="AB21" s="24">
        <v>12.0</v>
      </c>
      <c r="AC21" s="24"/>
      <c r="AD21" s="24"/>
      <c r="AE21" s="24">
        <v>12.0</v>
      </c>
      <c r="AF21" s="24">
        <v>12.0</v>
      </c>
      <c r="AG21" s="110">
        <v>12.0</v>
      </c>
      <c r="AH21" s="110">
        <v>12.0</v>
      </c>
      <c r="AI21" s="24">
        <v>12.0</v>
      </c>
      <c r="AJ21" s="24"/>
      <c r="AK21" s="211">
        <f t="shared" si="5"/>
        <v>21</v>
      </c>
      <c r="AL21" s="57">
        <f t="shared" si="4"/>
        <v>252</v>
      </c>
      <c r="AM21" s="73" t="s">
        <v>207</v>
      </c>
    </row>
    <row r="22" ht="14.25" customHeight="1">
      <c r="A22" s="24">
        <v>13.0</v>
      </c>
      <c r="B22" s="35" t="s">
        <v>71</v>
      </c>
      <c r="C22" s="27">
        <v>1.0</v>
      </c>
      <c r="D22" s="36" t="s">
        <v>76</v>
      </c>
      <c r="E22" s="27" t="s">
        <v>73</v>
      </c>
      <c r="F22" s="28" t="s">
        <v>26</v>
      </c>
      <c r="G22" s="24">
        <v>12.0</v>
      </c>
      <c r="H22" s="24">
        <v>12.0</v>
      </c>
      <c r="I22" s="24">
        <v>12.0</v>
      </c>
      <c r="J22" s="24">
        <v>12.0</v>
      </c>
      <c r="K22" s="24">
        <v>12.0</v>
      </c>
      <c r="L22" s="110">
        <v>12.0</v>
      </c>
      <c r="M22" s="110"/>
      <c r="N22" s="24">
        <v>12.0</v>
      </c>
      <c r="O22" s="24">
        <v>12.0</v>
      </c>
      <c r="P22" s="24">
        <v>12.0</v>
      </c>
      <c r="Q22" s="24">
        <v>12.0</v>
      </c>
      <c r="R22" s="24">
        <v>12.0</v>
      </c>
      <c r="S22" s="110">
        <v>12.0</v>
      </c>
      <c r="T22" s="110"/>
      <c r="U22" s="24">
        <v>12.0</v>
      </c>
      <c r="V22" s="24">
        <v>12.0</v>
      </c>
      <c r="W22" s="24">
        <v>12.0</v>
      </c>
      <c r="X22" s="24">
        <v>12.0</v>
      </c>
      <c r="Y22" s="24">
        <v>12.0</v>
      </c>
      <c r="Z22" s="110">
        <v>12.0</v>
      </c>
      <c r="AA22" s="110"/>
      <c r="AB22" s="24">
        <v>12.0</v>
      </c>
      <c r="AC22" s="24">
        <v>12.0</v>
      </c>
      <c r="AD22" s="24">
        <v>12.0</v>
      </c>
      <c r="AE22" s="24">
        <v>12.0</v>
      </c>
      <c r="AF22" s="24">
        <v>12.0</v>
      </c>
      <c r="AG22" s="110">
        <v>12.0</v>
      </c>
      <c r="AH22" s="110"/>
      <c r="AI22" s="24">
        <v>12.0</v>
      </c>
      <c r="AJ22" s="24">
        <v>12.0</v>
      </c>
      <c r="AK22" s="211">
        <f t="shared" si="5"/>
        <v>26</v>
      </c>
      <c r="AL22" s="57">
        <f t="shared" si="4"/>
        <v>312</v>
      </c>
      <c r="AM22" s="73" t="s">
        <v>207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78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ht="14.25" customHeight="1">
      <c r="A24" s="34">
        <v>14.0</v>
      </c>
      <c r="B24" s="35" t="s">
        <v>81</v>
      </c>
      <c r="C24" s="27">
        <v>1.0</v>
      </c>
      <c r="D24" s="37" t="s">
        <v>82</v>
      </c>
      <c r="E24" s="27" t="s">
        <v>191</v>
      </c>
      <c r="F24" s="66" t="s">
        <v>85</v>
      </c>
      <c r="G24" s="216">
        <v>24.0</v>
      </c>
      <c r="H24" s="217"/>
      <c r="I24" s="217"/>
      <c r="J24" s="217">
        <v>24.0</v>
      </c>
      <c r="K24" s="216"/>
      <c r="L24" s="218"/>
      <c r="M24" s="218">
        <v>24.0</v>
      </c>
      <c r="N24" s="216"/>
      <c r="O24" s="217"/>
      <c r="P24" s="217">
        <v>24.0</v>
      </c>
      <c r="Q24" s="217"/>
      <c r="R24" s="216"/>
      <c r="S24" s="218">
        <v>24.0</v>
      </c>
      <c r="T24" s="218"/>
      <c r="U24" s="216"/>
      <c r="V24" s="217">
        <v>24.0</v>
      </c>
      <c r="W24" s="217"/>
      <c r="X24" s="217"/>
      <c r="Y24" s="216">
        <v>24.0</v>
      </c>
      <c r="Z24" s="218"/>
      <c r="AA24" s="218"/>
      <c r="AB24" s="216">
        <v>24.0</v>
      </c>
      <c r="AC24" s="217"/>
      <c r="AD24" s="217"/>
      <c r="AE24" s="217">
        <v>24.0</v>
      </c>
      <c r="AF24" s="216"/>
      <c r="AG24" s="218"/>
      <c r="AH24" s="218">
        <v>24.0</v>
      </c>
      <c r="AI24" s="216"/>
      <c r="AJ24" s="216"/>
      <c r="AK24" s="211">
        <f t="shared" ref="AK24:AK37" si="6">COUNTA(G24:AJ24)</f>
        <v>10</v>
      </c>
      <c r="AL24" s="57">
        <f t="shared" ref="AL24:AL37" si="7">SUM(G24:AJ24)</f>
        <v>240</v>
      </c>
      <c r="AM24" s="73" t="s">
        <v>207</v>
      </c>
    </row>
    <row r="25" ht="14.25" customHeight="1">
      <c r="A25" s="34">
        <v>15.0</v>
      </c>
      <c r="B25" s="35" t="s">
        <v>86</v>
      </c>
      <c r="C25" s="27">
        <v>1.0</v>
      </c>
      <c r="D25" s="90" t="s">
        <v>198</v>
      </c>
      <c r="E25" s="27" t="s">
        <v>193</v>
      </c>
      <c r="F25" s="88"/>
      <c r="G25" s="216"/>
      <c r="H25" s="217">
        <v>24.0</v>
      </c>
      <c r="I25" s="219"/>
      <c r="J25" s="219"/>
      <c r="K25" s="216">
        <v>24.0</v>
      </c>
      <c r="L25" s="218"/>
      <c r="M25" s="218"/>
      <c r="N25" s="216">
        <v>24.0</v>
      </c>
      <c r="O25" s="217"/>
      <c r="P25" s="219"/>
      <c r="Q25" s="217">
        <v>24.0</v>
      </c>
      <c r="R25" s="216"/>
      <c r="S25" s="218"/>
      <c r="T25" s="218">
        <v>24.0</v>
      </c>
      <c r="U25" s="216"/>
      <c r="V25" s="217"/>
      <c r="W25" s="217">
        <v>24.0</v>
      </c>
      <c r="X25" s="219"/>
      <c r="Y25" s="216"/>
      <c r="Z25" s="218">
        <v>24.0</v>
      </c>
      <c r="AA25" s="218"/>
      <c r="AB25" s="216"/>
      <c r="AC25" s="217">
        <v>24.0</v>
      </c>
      <c r="AD25" s="219"/>
      <c r="AE25" s="217"/>
      <c r="AF25" s="216">
        <v>24.0</v>
      </c>
      <c r="AG25" s="218"/>
      <c r="AH25" s="218"/>
      <c r="AI25" s="216">
        <v>24.0</v>
      </c>
      <c r="AJ25" s="216"/>
      <c r="AK25" s="211">
        <f t="shared" si="6"/>
        <v>10</v>
      </c>
      <c r="AL25" s="57">
        <f t="shared" si="7"/>
        <v>240</v>
      </c>
      <c r="AM25" s="73" t="s">
        <v>207</v>
      </c>
    </row>
    <row r="26" ht="14.25" customHeight="1">
      <c r="A26" s="34">
        <v>16.0</v>
      </c>
      <c r="B26" s="35" t="s">
        <v>86</v>
      </c>
      <c r="C26" s="65">
        <v>1.0</v>
      </c>
      <c r="D26" s="37" t="s">
        <v>209</v>
      </c>
      <c r="E26" s="27" t="s">
        <v>193</v>
      </c>
      <c r="F26" s="17"/>
      <c r="G26" s="216"/>
      <c r="H26" s="217"/>
      <c r="I26" s="217">
        <v>24.0</v>
      </c>
      <c r="J26" s="219"/>
      <c r="K26" s="216"/>
      <c r="L26" s="218">
        <v>24.0</v>
      </c>
      <c r="M26" s="218"/>
      <c r="N26" s="216"/>
      <c r="O26" s="217">
        <v>24.0</v>
      </c>
      <c r="P26" s="219"/>
      <c r="Q26" s="219"/>
      <c r="R26" s="216">
        <v>24.0</v>
      </c>
      <c r="S26" s="218"/>
      <c r="T26" s="218"/>
      <c r="U26" s="216">
        <v>24.0</v>
      </c>
      <c r="V26" s="217"/>
      <c r="W26" s="217"/>
      <c r="X26" s="217">
        <v>24.0</v>
      </c>
      <c r="Y26" s="216"/>
      <c r="Z26" s="218"/>
      <c r="AA26" s="218">
        <v>24.0</v>
      </c>
      <c r="AB26" s="216"/>
      <c r="AC26" s="217"/>
      <c r="AD26" s="217">
        <v>24.0</v>
      </c>
      <c r="AE26" s="219"/>
      <c r="AF26" s="216"/>
      <c r="AG26" s="218">
        <v>24.0</v>
      </c>
      <c r="AH26" s="218"/>
      <c r="AI26" s="216"/>
      <c r="AJ26" s="216">
        <v>24.0</v>
      </c>
      <c r="AK26" s="211">
        <f t="shared" si="6"/>
        <v>10</v>
      </c>
      <c r="AL26" s="57">
        <f t="shared" si="7"/>
        <v>240</v>
      </c>
      <c r="AM26" s="73" t="s">
        <v>207</v>
      </c>
    </row>
    <row r="27" ht="14.25" customHeight="1">
      <c r="A27" s="34">
        <v>17.0</v>
      </c>
      <c r="B27" s="35" t="s">
        <v>95</v>
      </c>
      <c r="C27" s="65">
        <v>1.0</v>
      </c>
      <c r="D27" s="90" t="s">
        <v>97</v>
      </c>
      <c r="E27" s="27" t="s">
        <v>102</v>
      </c>
      <c r="F27" s="66" t="s">
        <v>85</v>
      </c>
      <c r="G27" s="24">
        <v>24.0</v>
      </c>
      <c r="H27" s="24"/>
      <c r="I27" s="24"/>
      <c r="J27" s="24">
        <v>24.0</v>
      </c>
      <c r="K27" s="24"/>
      <c r="L27" s="110"/>
      <c r="M27" s="110">
        <v>24.0</v>
      </c>
      <c r="N27" s="24"/>
      <c r="O27" s="24"/>
      <c r="P27" s="24">
        <v>24.0</v>
      </c>
      <c r="Q27" s="24"/>
      <c r="R27" s="24"/>
      <c r="S27" s="110">
        <v>24.0</v>
      </c>
      <c r="T27" s="110"/>
      <c r="U27" s="24">
        <v>17.0</v>
      </c>
      <c r="V27" s="24">
        <v>17.0</v>
      </c>
      <c r="W27" s="24">
        <v>17.0</v>
      </c>
      <c r="X27" s="24">
        <v>17.0</v>
      </c>
      <c r="Y27" s="24">
        <v>17.0</v>
      </c>
      <c r="Z27" s="110"/>
      <c r="AA27" s="110"/>
      <c r="AB27" s="24">
        <v>24.0</v>
      </c>
      <c r="AC27" s="24"/>
      <c r="AD27" s="24"/>
      <c r="AE27" s="24">
        <v>24.0</v>
      </c>
      <c r="AF27" s="24"/>
      <c r="AG27" s="110"/>
      <c r="AH27" s="110">
        <v>24.0</v>
      </c>
      <c r="AI27" s="24"/>
      <c r="AJ27" s="24"/>
      <c r="AK27" s="211">
        <f t="shared" si="6"/>
        <v>13</v>
      </c>
      <c r="AL27" s="57">
        <f t="shared" si="7"/>
        <v>277</v>
      </c>
      <c r="AM27" s="73" t="s">
        <v>207</v>
      </c>
    </row>
    <row r="28" ht="14.25" customHeight="1">
      <c r="A28" s="34">
        <v>18.0</v>
      </c>
      <c r="B28" s="35" t="s">
        <v>95</v>
      </c>
      <c r="C28" s="65">
        <v>1.0</v>
      </c>
      <c r="D28" s="90" t="s">
        <v>91</v>
      </c>
      <c r="E28" s="27" t="s">
        <v>102</v>
      </c>
      <c r="F28" s="88"/>
      <c r="G28" s="24"/>
      <c r="H28" s="24">
        <v>24.0</v>
      </c>
      <c r="I28" s="24"/>
      <c r="J28" s="24"/>
      <c r="K28" s="24">
        <v>24.0</v>
      </c>
      <c r="L28" s="110"/>
      <c r="M28" s="110"/>
      <c r="N28" s="24">
        <v>24.0</v>
      </c>
      <c r="O28" s="24"/>
      <c r="P28" s="24"/>
      <c r="Q28" s="24">
        <v>24.0</v>
      </c>
      <c r="R28" s="24"/>
      <c r="S28" s="110"/>
      <c r="T28" s="110">
        <v>24.0</v>
      </c>
      <c r="U28" s="24"/>
      <c r="V28" s="24"/>
      <c r="W28" s="24">
        <v>24.0</v>
      </c>
      <c r="X28" s="24"/>
      <c r="Y28" s="24"/>
      <c r="Z28" s="110">
        <v>24.0</v>
      </c>
      <c r="AA28" s="110"/>
      <c r="AB28" s="24">
        <v>17.0</v>
      </c>
      <c r="AC28" s="24">
        <v>17.0</v>
      </c>
      <c r="AD28" s="24">
        <v>17.0</v>
      </c>
      <c r="AE28" s="24">
        <v>17.0</v>
      </c>
      <c r="AF28" s="24">
        <v>17.0</v>
      </c>
      <c r="AG28" s="110"/>
      <c r="AH28" s="110"/>
      <c r="AI28" s="24">
        <v>24.0</v>
      </c>
      <c r="AJ28" s="24"/>
      <c r="AK28" s="211">
        <f t="shared" si="6"/>
        <v>13</v>
      </c>
      <c r="AL28" s="57">
        <f t="shared" si="7"/>
        <v>277</v>
      </c>
      <c r="AM28" s="73" t="s">
        <v>207</v>
      </c>
    </row>
    <row r="29" ht="14.25" customHeight="1">
      <c r="A29" s="34">
        <v>19.0</v>
      </c>
      <c r="B29" s="97" t="s">
        <v>95</v>
      </c>
      <c r="C29" s="65">
        <v>1.0</v>
      </c>
      <c r="D29" s="90" t="s">
        <v>210</v>
      </c>
      <c r="E29" s="27" t="s">
        <v>102</v>
      </c>
      <c r="F29" s="88"/>
      <c r="G29" s="24"/>
      <c r="H29" s="24"/>
      <c r="I29" s="24">
        <v>24.0</v>
      </c>
      <c r="J29" s="24"/>
      <c r="K29" s="24"/>
      <c r="L29" s="110">
        <v>24.0</v>
      </c>
      <c r="M29" s="110"/>
      <c r="N29" s="24">
        <v>17.0</v>
      </c>
      <c r="O29" s="24">
        <v>17.0</v>
      </c>
      <c r="P29" s="24">
        <v>17.0</v>
      </c>
      <c r="Q29" s="24">
        <v>17.0</v>
      </c>
      <c r="R29" s="24">
        <v>17.0</v>
      </c>
      <c r="S29" s="110"/>
      <c r="T29" s="110"/>
      <c r="U29" s="24">
        <v>24.0</v>
      </c>
      <c r="V29" s="24"/>
      <c r="W29" s="24"/>
      <c r="X29" s="24">
        <v>24.0</v>
      </c>
      <c r="Y29" s="24"/>
      <c r="Z29" s="110"/>
      <c r="AA29" s="110">
        <v>24.0</v>
      </c>
      <c r="AB29" s="24"/>
      <c r="AC29" s="24"/>
      <c r="AD29" s="24">
        <v>24.0</v>
      </c>
      <c r="AE29" s="24"/>
      <c r="AF29" s="24"/>
      <c r="AG29" s="110">
        <v>24.0</v>
      </c>
      <c r="AH29" s="110"/>
      <c r="AI29" s="24"/>
      <c r="AJ29" s="24">
        <v>24.0</v>
      </c>
      <c r="AK29" s="211">
        <f t="shared" si="6"/>
        <v>13</v>
      </c>
      <c r="AL29" s="57">
        <f t="shared" si="7"/>
        <v>277</v>
      </c>
      <c r="AM29" s="73" t="s">
        <v>207</v>
      </c>
    </row>
    <row r="30" ht="14.25" customHeight="1">
      <c r="A30" s="34">
        <v>20.0</v>
      </c>
      <c r="B30" s="35" t="s">
        <v>95</v>
      </c>
      <c r="C30" s="65">
        <v>1.0</v>
      </c>
      <c r="D30" s="90" t="s">
        <v>63</v>
      </c>
      <c r="E30" s="27" t="s">
        <v>102</v>
      </c>
      <c r="F30" s="17"/>
      <c r="G30" s="24">
        <v>17.0</v>
      </c>
      <c r="H30" s="24">
        <v>17.0</v>
      </c>
      <c r="I30" s="24">
        <v>17.0</v>
      </c>
      <c r="J30" s="24">
        <v>17.0</v>
      </c>
      <c r="K30" s="24">
        <v>17.0</v>
      </c>
      <c r="L30" s="110"/>
      <c r="M30" s="110"/>
      <c r="N30" s="24">
        <v>24.0</v>
      </c>
      <c r="O30" s="24"/>
      <c r="P30" s="24"/>
      <c r="Q30" s="24">
        <v>24.0</v>
      </c>
      <c r="R30" s="24"/>
      <c r="S30" s="110"/>
      <c r="T30" s="110">
        <v>24.0</v>
      </c>
      <c r="U30" s="24"/>
      <c r="V30" s="24"/>
      <c r="W30" s="24">
        <v>24.0</v>
      </c>
      <c r="X30" s="24"/>
      <c r="Y30" s="24"/>
      <c r="Z30" s="110">
        <v>24.0</v>
      </c>
      <c r="AA30" s="110"/>
      <c r="AB30" s="24"/>
      <c r="AC30" s="24">
        <v>24.0</v>
      </c>
      <c r="AD30" s="24"/>
      <c r="AE30" s="24"/>
      <c r="AF30" s="24">
        <v>24.0</v>
      </c>
      <c r="AG30" s="110"/>
      <c r="AH30" s="110"/>
      <c r="AI30" s="24">
        <v>24.0</v>
      </c>
      <c r="AJ30" s="24"/>
      <c r="AK30" s="211">
        <f t="shared" si="6"/>
        <v>13</v>
      </c>
      <c r="AL30" s="57">
        <f t="shared" si="7"/>
        <v>277</v>
      </c>
      <c r="AM30" s="73" t="s">
        <v>207</v>
      </c>
    </row>
    <row r="31" ht="14.25" customHeight="1">
      <c r="A31" s="34">
        <v>21.0</v>
      </c>
      <c r="B31" s="64" t="s">
        <v>184</v>
      </c>
      <c r="C31" s="101">
        <v>1.0</v>
      </c>
      <c r="D31" s="102" t="s">
        <v>212</v>
      </c>
      <c r="E31" s="101" t="s">
        <v>105</v>
      </c>
      <c r="F31" s="103">
        <v>0.4</v>
      </c>
      <c r="G31" s="106"/>
      <c r="H31" s="106"/>
      <c r="I31" s="106"/>
      <c r="J31" s="106"/>
      <c r="K31" s="106"/>
      <c r="L31" s="107"/>
      <c r="M31" s="107"/>
      <c r="N31" s="106"/>
      <c r="O31" s="106"/>
      <c r="P31" s="106"/>
      <c r="Q31" s="106"/>
      <c r="R31" s="106"/>
      <c r="S31" s="107"/>
      <c r="T31" s="107"/>
      <c r="U31" s="106"/>
      <c r="V31" s="106"/>
      <c r="W31" s="106"/>
      <c r="X31" s="106"/>
      <c r="Y31" s="106"/>
      <c r="Z31" s="107"/>
      <c r="AA31" s="107"/>
      <c r="AB31" s="106"/>
      <c r="AC31" s="106"/>
      <c r="AD31" s="106"/>
      <c r="AE31" s="106"/>
      <c r="AF31" s="106"/>
      <c r="AG31" s="107"/>
      <c r="AH31" s="107"/>
      <c r="AI31" s="106"/>
      <c r="AJ31" s="106"/>
      <c r="AK31" s="211">
        <f t="shared" si="6"/>
        <v>0</v>
      </c>
      <c r="AL31" s="57">
        <f t="shared" si="7"/>
        <v>0</v>
      </c>
      <c r="AM31" s="73" t="s">
        <v>207</v>
      </c>
    </row>
    <row r="32" ht="14.25" customHeight="1">
      <c r="A32" s="34">
        <v>22.0</v>
      </c>
      <c r="B32" s="137" t="s">
        <v>184</v>
      </c>
      <c r="C32" s="129">
        <v>1.0</v>
      </c>
      <c r="D32" s="102" t="s">
        <v>63</v>
      </c>
      <c r="E32" s="121" t="s">
        <v>105</v>
      </c>
      <c r="F32" s="103">
        <v>0.4</v>
      </c>
      <c r="G32" s="106"/>
      <c r="H32" s="106"/>
      <c r="I32" s="106"/>
      <c r="J32" s="106"/>
      <c r="K32" s="106"/>
      <c r="L32" s="107"/>
      <c r="M32" s="107"/>
      <c r="N32" s="106"/>
      <c r="O32" s="106"/>
      <c r="P32" s="106"/>
      <c r="Q32" s="106"/>
      <c r="R32" s="106"/>
      <c r="S32" s="107"/>
      <c r="T32" s="107"/>
      <c r="U32" s="106"/>
      <c r="V32" s="106"/>
      <c r="W32" s="106"/>
      <c r="X32" s="106"/>
      <c r="Y32" s="106"/>
      <c r="Z32" s="107"/>
      <c r="AA32" s="107"/>
      <c r="AB32" s="106"/>
      <c r="AC32" s="106"/>
      <c r="AD32" s="106"/>
      <c r="AE32" s="106"/>
      <c r="AF32" s="106"/>
      <c r="AG32" s="107"/>
      <c r="AH32" s="107"/>
      <c r="AI32" s="106"/>
      <c r="AJ32" s="106"/>
      <c r="AK32" s="211">
        <f t="shared" si="6"/>
        <v>0</v>
      </c>
      <c r="AL32" s="57">
        <f t="shared" si="7"/>
        <v>0</v>
      </c>
      <c r="AM32" s="73" t="s">
        <v>207</v>
      </c>
    </row>
    <row r="33" ht="17.25" customHeight="1">
      <c r="A33" s="34">
        <v>23.0</v>
      </c>
      <c r="B33" s="36" t="s">
        <v>109</v>
      </c>
      <c r="C33" s="65">
        <v>1.0</v>
      </c>
      <c r="D33" s="117" t="s">
        <v>131</v>
      </c>
      <c r="E33" s="27" t="s">
        <v>111</v>
      </c>
      <c r="F33" s="118" t="s">
        <v>26</v>
      </c>
      <c r="G33" s="24">
        <v>12.0</v>
      </c>
      <c r="H33" s="24">
        <v>12.0</v>
      </c>
      <c r="I33" s="24">
        <v>12.0</v>
      </c>
      <c r="J33" s="24"/>
      <c r="K33" s="24">
        <v>12.0</v>
      </c>
      <c r="L33" s="110">
        <v>12.0</v>
      </c>
      <c r="M33" s="110">
        <v>12.0</v>
      </c>
      <c r="N33" s="24">
        <v>12.0</v>
      </c>
      <c r="O33" s="24">
        <v>12.0</v>
      </c>
      <c r="P33" s="24">
        <v>12.0</v>
      </c>
      <c r="Q33" s="24"/>
      <c r="R33" s="24">
        <v>12.0</v>
      </c>
      <c r="S33" s="110">
        <v>12.0</v>
      </c>
      <c r="T33" s="110">
        <v>12.0</v>
      </c>
      <c r="U33" s="24">
        <v>12.0</v>
      </c>
      <c r="V33" s="24">
        <v>12.0</v>
      </c>
      <c r="W33" s="24">
        <v>12.0</v>
      </c>
      <c r="X33" s="24"/>
      <c r="Y33" s="24">
        <v>12.0</v>
      </c>
      <c r="Z33" s="110">
        <v>12.0</v>
      </c>
      <c r="AA33" s="110">
        <v>12.0</v>
      </c>
      <c r="AB33" s="24">
        <v>12.0</v>
      </c>
      <c r="AC33" s="24">
        <v>12.0</v>
      </c>
      <c r="AD33" s="24">
        <v>12.0</v>
      </c>
      <c r="AE33" s="24"/>
      <c r="AF33" s="24">
        <v>12.0</v>
      </c>
      <c r="AG33" s="110">
        <v>12.0</v>
      </c>
      <c r="AH33" s="110">
        <v>12.0</v>
      </c>
      <c r="AI33" s="24">
        <v>12.0</v>
      </c>
      <c r="AJ33" s="24">
        <v>12.0</v>
      </c>
      <c r="AK33" s="211">
        <f t="shared" si="6"/>
        <v>26</v>
      </c>
      <c r="AL33" s="57">
        <f t="shared" si="7"/>
        <v>312</v>
      </c>
      <c r="AM33" s="73" t="s">
        <v>207</v>
      </c>
    </row>
    <row r="34" ht="17.25" customHeight="1">
      <c r="A34" s="34">
        <v>24.0</v>
      </c>
      <c r="B34" s="35" t="s">
        <v>135</v>
      </c>
      <c r="C34" s="65">
        <v>1.0</v>
      </c>
      <c r="D34" s="90" t="s">
        <v>113</v>
      </c>
      <c r="E34" s="27" t="s">
        <v>111</v>
      </c>
      <c r="F34" s="118" t="s">
        <v>26</v>
      </c>
      <c r="G34" s="24"/>
      <c r="H34" s="24">
        <v>12.0</v>
      </c>
      <c r="I34" s="24">
        <v>12.0</v>
      </c>
      <c r="J34" s="24">
        <v>12.0</v>
      </c>
      <c r="K34" s="24">
        <v>12.0</v>
      </c>
      <c r="L34" s="110">
        <v>12.0</v>
      </c>
      <c r="M34" s="110">
        <v>12.0</v>
      </c>
      <c r="N34" s="24"/>
      <c r="O34" s="24">
        <v>12.0</v>
      </c>
      <c r="P34" s="24">
        <v>12.0</v>
      </c>
      <c r="Q34" s="24">
        <v>12.0</v>
      </c>
      <c r="R34" s="24">
        <v>12.0</v>
      </c>
      <c r="S34" s="110">
        <v>12.0</v>
      </c>
      <c r="T34" s="110">
        <v>12.0</v>
      </c>
      <c r="U34" s="24"/>
      <c r="V34" s="24">
        <v>12.0</v>
      </c>
      <c r="W34" s="24">
        <v>12.0</v>
      </c>
      <c r="X34" s="24">
        <v>12.0</v>
      </c>
      <c r="Y34" s="24">
        <v>12.0</v>
      </c>
      <c r="Z34" s="110">
        <v>12.0</v>
      </c>
      <c r="AA34" s="110">
        <v>12.0</v>
      </c>
      <c r="AB34" s="24"/>
      <c r="AC34" s="24">
        <v>12.0</v>
      </c>
      <c r="AD34" s="24">
        <v>12.0</v>
      </c>
      <c r="AE34" s="24">
        <v>12.0</v>
      </c>
      <c r="AF34" s="24">
        <v>12.0</v>
      </c>
      <c r="AG34" s="110">
        <v>12.0</v>
      </c>
      <c r="AH34" s="110">
        <v>12.0</v>
      </c>
      <c r="AI34" s="24"/>
      <c r="AJ34" s="24">
        <v>12.0</v>
      </c>
      <c r="AK34" s="211">
        <f t="shared" si="6"/>
        <v>25</v>
      </c>
      <c r="AL34" s="57">
        <f t="shared" si="7"/>
        <v>300</v>
      </c>
      <c r="AM34" s="73" t="s">
        <v>207</v>
      </c>
    </row>
    <row r="35" ht="20.25" customHeight="1">
      <c r="A35" s="34">
        <v>25.0</v>
      </c>
      <c r="B35" s="35" t="s">
        <v>135</v>
      </c>
      <c r="C35" s="65">
        <v>1.0</v>
      </c>
      <c r="D35" s="90" t="s">
        <v>187</v>
      </c>
      <c r="E35" s="27" t="s">
        <v>73</v>
      </c>
      <c r="F35" s="123" t="s">
        <v>26</v>
      </c>
      <c r="G35" s="24">
        <v>12.0</v>
      </c>
      <c r="H35" s="24"/>
      <c r="I35" s="24">
        <v>12.0</v>
      </c>
      <c r="J35" s="24">
        <v>12.0</v>
      </c>
      <c r="K35" s="24">
        <v>12.0</v>
      </c>
      <c r="L35" s="110">
        <v>12.0</v>
      </c>
      <c r="M35" s="110">
        <v>12.0</v>
      </c>
      <c r="N35" s="24">
        <v>12.0</v>
      </c>
      <c r="O35" s="24"/>
      <c r="P35" s="24">
        <v>12.0</v>
      </c>
      <c r="Q35" s="24">
        <v>12.0</v>
      </c>
      <c r="R35" s="24">
        <v>12.0</v>
      </c>
      <c r="S35" s="110">
        <v>12.0</v>
      </c>
      <c r="T35" s="110">
        <v>12.0</v>
      </c>
      <c r="U35" s="24">
        <v>12.0</v>
      </c>
      <c r="V35" s="24"/>
      <c r="W35" s="24">
        <v>12.0</v>
      </c>
      <c r="X35" s="24">
        <v>12.0</v>
      </c>
      <c r="Y35" s="24">
        <v>12.0</v>
      </c>
      <c r="Z35" s="110">
        <v>12.0</v>
      </c>
      <c r="AA35" s="110">
        <v>12.0</v>
      </c>
      <c r="AB35" s="24">
        <v>12.0</v>
      </c>
      <c r="AC35" s="24"/>
      <c r="AD35" s="24">
        <v>12.0</v>
      </c>
      <c r="AE35" s="24">
        <v>12.0</v>
      </c>
      <c r="AF35" s="24">
        <v>12.0</v>
      </c>
      <c r="AG35" s="110">
        <v>12.0</v>
      </c>
      <c r="AH35" s="110">
        <v>12.0</v>
      </c>
      <c r="AI35" s="24">
        <v>12.0</v>
      </c>
      <c r="AJ35" s="24"/>
      <c r="AK35" s="211">
        <f t="shared" si="6"/>
        <v>25</v>
      </c>
      <c r="AL35" s="57">
        <f t="shared" si="7"/>
        <v>300</v>
      </c>
      <c r="AM35" s="89" t="s">
        <v>207</v>
      </c>
    </row>
    <row r="36" ht="23.25" customHeight="1">
      <c r="A36" s="124">
        <v>26.0</v>
      </c>
      <c r="B36" s="128" t="s">
        <v>142</v>
      </c>
      <c r="C36" s="129">
        <v>1.0</v>
      </c>
      <c r="D36" s="130" t="s">
        <v>63</v>
      </c>
      <c r="E36" s="129" t="s">
        <v>125</v>
      </c>
      <c r="F36" s="250"/>
      <c r="G36" s="24"/>
      <c r="H36" s="24">
        <v>12.0</v>
      </c>
      <c r="I36" s="24">
        <v>12.0</v>
      </c>
      <c r="J36" s="24"/>
      <c r="K36" s="24"/>
      <c r="L36" s="110"/>
      <c r="M36" s="110"/>
      <c r="N36" s="24"/>
      <c r="O36" s="24">
        <v>12.0</v>
      </c>
      <c r="P36" s="24">
        <v>12.0</v>
      </c>
      <c r="Q36" s="24"/>
      <c r="R36" s="24"/>
      <c r="S36" s="110"/>
      <c r="T36" s="110"/>
      <c r="U36" s="24"/>
      <c r="V36" s="24">
        <v>12.0</v>
      </c>
      <c r="W36" s="24">
        <v>12.0</v>
      </c>
      <c r="X36" s="24"/>
      <c r="Y36" s="24"/>
      <c r="Z36" s="110"/>
      <c r="AA36" s="110"/>
      <c r="AB36" s="24"/>
      <c r="AC36" s="24"/>
      <c r="AD36" s="24"/>
      <c r="AE36" s="24">
        <v>12.0</v>
      </c>
      <c r="AF36" s="24">
        <v>12.0</v>
      </c>
      <c r="AG36" s="110"/>
      <c r="AH36" s="110"/>
      <c r="AI36" s="24"/>
      <c r="AJ36" s="24"/>
      <c r="AK36" s="211">
        <f t="shared" si="6"/>
        <v>8</v>
      </c>
      <c r="AL36" s="57">
        <f t="shared" si="7"/>
        <v>96</v>
      </c>
      <c r="AM36" s="73" t="s">
        <v>207</v>
      </c>
    </row>
    <row r="37" ht="19.5" customHeight="1">
      <c r="A37" s="17"/>
      <c r="B37" s="17"/>
      <c r="C37" s="17"/>
      <c r="D37" s="17"/>
      <c r="E37" s="121" t="s">
        <v>127</v>
      </c>
      <c r="F37" s="17"/>
      <c r="G37" s="24"/>
      <c r="H37" s="24"/>
      <c r="I37" s="24"/>
      <c r="J37" s="24"/>
      <c r="K37" s="24">
        <v>12.0</v>
      </c>
      <c r="L37" s="110">
        <v>12.0</v>
      </c>
      <c r="M37" s="110">
        <v>12.0</v>
      </c>
      <c r="N37" s="24"/>
      <c r="O37" s="24"/>
      <c r="P37" s="24"/>
      <c r="Q37" s="24"/>
      <c r="R37" s="24">
        <v>12.0</v>
      </c>
      <c r="S37" s="110">
        <v>12.0</v>
      </c>
      <c r="T37" s="110">
        <v>12.0</v>
      </c>
      <c r="U37" s="24"/>
      <c r="V37" s="24"/>
      <c r="W37" s="24"/>
      <c r="X37" s="24"/>
      <c r="Y37" s="24">
        <v>12.0</v>
      </c>
      <c r="Z37" s="110">
        <v>12.0</v>
      </c>
      <c r="AA37" s="110"/>
      <c r="AB37" s="24"/>
      <c r="AC37" s="24"/>
      <c r="AD37" s="24"/>
      <c r="AE37" s="24"/>
      <c r="AF37" s="24"/>
      <c r="AG37" s="110">
        <v>12.0</v>
      </c>
      <c r="AH37" s="110"/>
      <c r="AI37" s="24"/>
      <c r="AJ37" s="24"/>
      <c r="AK37" s="211">
        <f t="shared" si="6"/>
        <v>9</v>
      </c>
      <c r="AL37" s="57">
        <f t="shared" si="7"/>
        <v>108</v>
      </c>
      <c r="AM37" s="73" t="s">
        <v>207</v>
      </c>
    </row>
    <row r="38" ht="19.5" customHeight="1">
      <c r="A38" s="34">
        <v>27.0</v>
      </c>
      <c r="B38" s="120" t="s">
        <v>213</v>
      </c>
      <c r="C38" s="204">
        <v>1.0</v>
      </c>
      <c r="D38" s="252" t="s">
        <v>63</v>
      </c>
      <c r="E38" s="121"/>
      <c r="F38" s="205"/>
      <c r="G38" s="24"/>
      <c r="H38" s="24"/>
      <c r="I38" s="24"/>
      <c r="J38" s="24"/>
      <c r="K38" s="24"/>
      <c r="L38" s="110"/>
      <c r="M38" s="110"/>
      <c r="N38" s="24"/>
      <c r="O38" s="24"/>
      <c r="P38" s="24"/>
      <c r="Q38" s="24"/>
      <c r="R38" s="24"/>
      <c r="S38" s="110"/>
      <c r="T38" s="110"/>
      <c r="U38" s="24"/>
      <c r="V38" s="24"/>
      <c r="W38" s="24"/>
      <c r="X38" s="24"/>
      <c r="Y38" s="24"/>
      <c r="Z38" s="110"/>
      <c r="AA38" s="110"/>
      <c r="AB38" s="24"/>
      <c r="AC38" s="24"/>
      <c r="AD38" s="24"/>
      <c r="AE38" s="24"/>
      <c r="AF38" s="24"/>
      <c r="AG38" s="110"/>
      <c r="AH38" s="110"/>
      <c r="AI38" s="24"/>
      <c r="AJ38" s="24"/>
      <c r="AK38" s="211"/>
      <c r="AL38" s="57"/>
    </row>
    <row r="39" ht="18.75" customHeight="1">
      <c r="A39" s="34">
        <v>28.0</v>
      </c>
      <c r="B39" s="35" t="s">
        <v>144</v>
      </c>
      <c r="C39" s="27">
        <v>1.0</v>
      </c>
      <c r="D39" s="117"/>
      <c r="E39" s="27" t="s">
        <v>133</v>
      </c>
      <c r="F39" s="123" t="s">
        <v>26</v>
      </c>
      <c r="G39" s="24">
        <v>12.0</v>
      </c>
      <c r="H39" s="24">
        <v>12.0</v>
      </c>
      <c r="I39" s="24">
        <v>12.0</v>
      </c>
      <c r="J39" s="24">
        <v>12.0</v>
      </c>
      <c r="K39" s="24">
        <v>12.0</v>
      </c>
      <c r="L39" s="110">
        <v>12.0</v>
      </c>
      <c r="M39" s="110"/>
      <c r="N39" s="24"/>
      <c r="O39" s="24">
        <v>12.0</v>
      </c>
      <c r="P39" s="24">
        <v>12.0</v>
      </c>
      <c r="Q39" s="24">
        <v>12.0</v>
      </c>
      <c r="R39" s="24">
        <v>12.0</v>
      </c>
      <c r="S39" s="110">
        <v>12.0</v>
      </c>
      <c r="T39" s="110"/>
      <c r="U39" s="24"/>
      <c r="V39" s="24">
        <v>12.0</v>
      </c>
      <c r="W39" s="24">
        <v>12.0</v>
      </c>
      <c r="X39" s="24">
        <v>12.0</v>
      </c>
      <c r="Y39" s="24">
        <v>12.0</v>
      </c>
      <c r="Z39" s="110">
        <v>12.0</v>
      </c>
      <c r="AA39" s="110"/>
      <c r="AB39" s="24"/>
      <c r="AC39" s="24">
        <v>12.0</v>
      </c>
      <c r="AD39" s="24">
        <v>12.0</v>
      </c>
      <c r="AE39" s="24">
        <v>12.0</v>
      </c>
      <c r="AF39" s="24">
        <v>12.0</v>
      </c>
      <c r="AG39" s="110">
        <v>12.0</v>
      </c>
      <c r="AH39" s="110">
        <v>12.0</v>
      </c>
      <c r="AI39" s="24"/>
      <c r="AJ39" s="24"/>
      <c r="AK39" s="211">
        <f t="shared" ref="AK39:AK40" si="8">COUNTA(G39:AJ39)</f>
        <v>22</v>
      </c>
      <c r="AL39" s="57">
        <f t="shared" ref="AL39:AL40" si="9">SUM(G39:AJ39)</f>
        <v>264</v>
      </c>
      <c r="AM39" s="73" t="s">
        <v>207</v>
      </c>
    </row>
    <row r="40" ht="19.5" customHeight="1">
      <c r="A40" s="34">
        <v>29.0</v>
      </c>
      <c r="B40" s="35" t="s">
        <v>136</v>
      </c>
      <c r="C40" s="27">
        <v>1.0</v>
      </c>
      <c r="D40" s="117" t="s">
        <v>137</v>
      </c>
      <c r="E40" s="26" t="s">
        <v>138</v>
      </c>
      <c r="F40" s="28" t="s">
        <v>26</v>
      </c>
      <c r="G40" s="24">
        <v>11.0</v>
      </c>
      <c r="H40" s="24">
        <v>11.0</v>
      </c>
      <c r="I40" s="24"/>
      <c r="J40" s="24">
        <v>11.0</v>
      </c>
      <c r="K40" s="24">
        <v>11.0</v>
      </c>
      <c r="L40" s="110"/>
      <c r="M40" s="110">
        <v>11.0</v>
      </c>
      <c r="N40" s="24">
        <v>11.0</v>
      </c>
      <c r="O40" s="24"/>
      <c r="P40" s="24">
        <v>11.0</v>
      </c>
      <c r="Q40" s="24">
        <v>11.0</v>
      </c>
      <c r="R40" s="24"/>
      <c r="S40" s="110">
        <v>11.0</v>
      </c>
      <c r="T40" s="110">
        <v>11.0</v>
      </c>
      <c r="U40" s="24"/>
      <c r="V40" s="24">
        <v>11.0</v>
      </c>
      <c r="W40" s="24">
        <v>11.0</v>
      </c>
      <c r="X40" s="24"/>
      <c r="Y40" s="24">
        <v>11.0</v>
      </c>
      <c r="Z40" s="110">
        <v>11.0</v>
      </c>
      <c r="AA40" s="110"/>
      <c r="AB40" s="24">
        <v>11.0</v>
      </c>
      <c r="AC40" s="24">
        <v>11.0</v>
      </c>
      <c r="AD40" s="24">
        <v>11.0</v>
      </c>
      <c r="AE40" s="24"/>
      <c r="AF40" s="24">
        <v>11.0</v>
      </c>
      <c r="AG40" s="110">
        <v>11.0</v>
      </c>
      <c r="AH40" s="110">
        <v>11.0</v>
      </c>
      <c r="AI40" s="24">
        <v>11.0</v>
      </c>
      <c r="AJ40" s="24"/>
      <c r="AK40" s="211">
        <f t="shared" si="8"/>
        <v>21</v>
      </c>
      <c r="AL40" s="57">
        <f t="shared" si="9"/>
        <v>231</v>
      </c>
      <c r="AM40" s="73" t="s">
        <v>207</v>
      </c>
    </row>
    <row r="41" ht="14.25" customHeight="1">
      <c r="A41" s="21"/>
      <c r="B41" s="20" t="s">
        <v>140</v>
      </c>
      <c r="C41" s="21"/>
      <c r="D41" s="20" t="s">
        <v>140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"/>
      <c r="AL41" s="45"/>
    </row>
    <row r="42" ht="14.25" customHeight="1">
      <c r="A42" s="34">
        <v>30.0</v>
      </c>
      <c r="B42" s="35" t="s">
        <v>140</v>
      </c>
      <c r="C42" s="27">
        <v>1.0</v>
      </c>
      <c r="D42" s="117" t="s">
        <v>153</v>
      </c>
      <c r="E42" s="139" t="s">
        <v>51</v>
      </c>
      <c r="F42" s="28" t="s">
        <v>85</v>
      </c>
      <c r="G42" s="24">
        <v>24.0</v>
      </c>
      <c r="H42" s="24"/>
      <c r="I42" s="24"/>
      <c r="J42" s="24">
        <v>24.0</v>
      </c>
      <c r="K42" s="24"/>
      <c r="L42" s="110"/>
      <c r="M42" s="110">
        <v>24.0</v>
      </c>
      <c r="N42" s="24"/>
      <c r="O42" s="24"/>
      <c r="P42" s="24">
        <v>24.0</v>
      </c>
      <c r="Q42" s="24"/>
      <c r="R42" s="24"/>
      <c r="S42" s="110">
        <v>24.0</v>
      </c>
      <c r="T42" s="110"/>
      <c r="U42" s="24"/>
      <c r="V42" s="24">
        <v>24.0</v>
      </c>
      <c r="W42" s="24"/>
      <c r="X42" s="24"/>
      <c r="Y42" s="24">
        <v>24.0</v>
      </c>
      <c r="Z42" s="110"/>
      <c r="AA42" s="110"/>
      <c r="AB42" s="24">
        <v>24.0</v>
      </c>
      <c r="AC42" s="24"/>
      <c r="AD42" s="24"/>
      <c r="AE42" s="24">
        <v>24.0</v>
      </c>
      <c r="AF42" s="24"/>
      <c r="AG42" s="110"/>
      <c r="AH42" s="110">
        <v>24.0</v>
      </c>
      <c r="AI42" s="24"/>
      <c r="AJ42" s="24"/>
      <c r="AK42" s="211">
        <f t="shared" ref="AK42:AK44" si="10">COUNTA(G42:AJ42)</f>
        <v>10</v>
      </c>
      <c r="AL42" s="57">
        <v>240.0</v>
      </c>
    </row>
    <row r="43" ht="14.25" customHeight="1">
      <c r="A43" s="24">
        <v>31.0</v>
      </c>
      <c r="B43" s="35" t="s">
        <v>140</v>
      </c>
      <c r="C43" s="27">
        <v>1.0</v>
      </c>
      <c r="D43" s="117" t="s">
        <v>137</v>
      </c>
      <c r="E43" s="139" t="s">
        <v>51</v>
      </c>
      <c r="F43" s="28" t="s">
        <v>85</v>
      </c>
      <c r="G43" s="24"/>
      <c r="H43" s="24"/>
      <c r="I43" s="24">
        <v>24.0</v>
      </c>
      <c r="J43" s="24"/>
      <c r="K43" s="24"/>
      <c r="L43" s="110">
        <v>24.0</v>
      </c>
      <c r="M43" s="110"/>
      <c r="N43" s="24"/>
      <c r="O43" s="24">
        <v>24.0</v>
      </c>
      <c r="P43" s="24"/>
      <c r="Q43" s="24"/>
      <c r="R43" s="24">
        <v>24.0</v>
      </c>
      <c r="S43" s="110"/>
      <c r="T43" s="110"/>
      <c r="U43" s="24">
        <v>24.0</v>
      </c>
      <c r="V43" s="24"/>
      <c r="W43" s="24"/>
      <c r="X43" s="24">
        <v>24.0</v>
      </c>
      <c r="Y43" s="24"/>
      <c r="Z43" s="110"/>
      <c r="AA43" s="110">
        <v>24.0</v>
      </c>
      <c r="AB43" s="24"/>
      <c r="AC43" s="24"/>
      <c r="AD43" s="24">
        <v>24.0</v>
      </c>
      <c r="AE43" s="24"/>
      <c r="AF43" s="24"/>
      <c r="AG43" s="110">
        <v>24.0</v>
      </c>
      <c r="AH43" s="110"/>
      <c r="AI43" s="24"/>
      <c r="AJ43" s="24">
        <v>24.0</v>
      </c>
      <c r="AK43" s="211">
        <f t="shared" si="10"/>
        <v>10</v>
      </c>
      <c r="AL43" s="57">
        <v>240.0</v>
      </c>
    </row>
    <row r="44" ht="14.25" customHeight="1">
      <c r="A44" s="24">
        <v>32.0</v>
      </c>
      <c r="B44" s="35" t="s">
        <v>140</v>
      </c>
      <c r="C44" s="27">
        <v>1.0</v>
      </c>
      <c r="D44" s="117" t="s">
        <v>150</v>
      </c>
      <c r="E44" s="139" t="s">
        <v>51</v>
      </c>
      <c r="F44" s="28" t="s">
        <v>85</v>
      </c>
      <c r="G44" s="24"/>
      <c r="H44" s="24">
        <v>24.0</v>
      </c>
      <c r="I44" s="24"/>
      <c r="J44" s="24"/>
      <c r="K44" s="24">
        <v>24.0</v>
      </c>
      <c r="L44" s="110"/>
      <c r="M44" s="110"/>
      <c r="N44" s="24">
        <v>24.0</v>
      </c>
      <c r="O44" s="24"/>
      <c r="P44" s="24"/>
      <c r="Q44" s="24">
        <v>24.0</v>
      </c>
      <c r="R44" s="24"/>
      <c r="S44" s="110"/>
      <c r="T44" s="110">
        <v>24.0</v>
      </c>
      <c r="U44" s="24"/>
      <c r="V44" s="24"/>
      <c r="W44" s="24">
        <v>24.0</v>
      </c>
      <c r="X44" s="24"/>
      <c r="Y44" s="24"/>
      <c r="Z44" s="110">
        <v>24.0</v>
      </c>
      <c r="AA44" s="110"/>
      <c r="AB44" s="24"/>
      <c r="AC44" s="24">
        <v>24.0</v>
      </c>
      <c r="AD44" s="24"/>
      <c r="AE44" s="24"/>
      <c r="AF44" s="24">
        <v>24.0</v>
      </c>
      <c r="AG44" s="110"/>
      <c r="AH44" s="110"/>
      <c r="AI44" s="24">
        <v>24.0</v>
      </c>
      <c r="AJ44" s="24"/>
      <c r="AK44" s="211">
        <f t="shared" si="10"/>
        <v>10</v>
      </c>
      <c r="AL44" s="57">
        <v>264.0</v>
      </c>
    </row>
    <row r="45" ht="14.25" customHeight="1">
      <c r="A45" s="142"/>
      <c r="B45" s="143" t="s">
        <v>151</v>
      </c>
      <c r="C45" s="144">
        <v>33.0</v>
      </c>
      <c r="D45" s="143" t="s">
        <v>152</v>
      </c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21"/>
      <c r="AL45" s="45"/>
    </row>
    <row r="46" ht="14.25" customHeight="1">
      <c r="A46" s="142"/>
      <c r="B46" s="146" t="s">
        <v>154</v>
      </c>
      <c r="C46" s="147"/>
      <c r="D46" s="147"/>
      <c r="E46" s="147"/>
      <c r="F46" s="148"/>
      <c r="G46" s="144" t="s">
        <v>155</v>
      </c>
      <c r="H46" s="144" t="s">
        <v>155</v>
      </c>
      <c r="I46" s="144" t="s">
        <v>155</v>
      </c>
      <c r="J46" s="144" t="s">
        <v>155</v>
      </c>
      <c r="K46" s="144" t="s">
        <v>155</v>
      </c>
      <c r="L46" s="144" t="s">
        <v>155</v>
      </c>
      <c r="M46" s="144" t="s">
        <v>155</v>
      </c>
      <c r="N46" s="144" t="s">
        <v>155</v>
      </c>
      <c r="O46" s="144" t="s">
        <v>155</v>
      </c>
      <c r="P46" s="144" t="s">
        <v>155</v>
      </c>
      <c r="Q46" s="144" t="s">
        <v>155</v>
      </c>
      <c r="R46" s="144" t="s">
        <v>155</v>
      </c>
      <c r="S46" s="144" t="s">
        <v>155</v>
      </c>
      <c r="T46" s="144" t="s">
        <v>155</v>
      </c>
      <c r="U46" s="144" t="s">
        <v>155</v>
      </c>
      <c r="V46" s="144" t="s">
        <v>155</v>
      </c>
      <c r="W46" s="144" t="s">
        <v>155</v>
      </c>
      <c r="X46" s="144" t="s">
        <v>155</v>
      </c>
      <c r="Y46" s="144" t="s">
        <v>155</v>
      </c>
      <c r="Z46" s="144" t="s">
        <v>155</v>
      </c>
      <c r="AA46" s="144" t="s">
        <v>155</v>
      </c>
      <c r="AB46" s="144"/>
      <c r="AC46" s="144"/>
      <c r="AD46" s="144" t="s">
        <v>155</v>
      </c>
      <c r="AE46" s="144" t="s">
        <v>155</v>
      </c>
      <c r="AF46" s="144" t="s">
        <v>155</v>
      </c>
      <c r="AG46" s="144" t="s">
        <v>155</v>
      </c>
      <c r="AH46" s="144"/>
      <c r="AI46" s="144"/>
      <c r="AJ46" s="144"/>
      <c r="AK46" s="21"/>
      <c r="AL46" s="45"/>
    </row>
    <row r="47" ht="14.25" customHeight="1">
      <c r="A47" s="142"/>
      <c r="B47" s="146" t="s">
        <v>156</v>
      </c>
      <c r="C47" s="147"/>
      <c r="D47" s="147"/>
      <c r="E47" s="147"/>
      <c r="F47" s="148"/>
      <c r="G47" s="144">
        <f t="shared" ref="G47:AA47" si="11">COUNTA(#REF!,#REF!,#REF!,#REF!,#REF!)</f>
        <v>5</v>
      </c>
      <c r="H47" s="144">
        <f t="shared" si="11"/>
        <v>5</v>
      </c>
      <c r="I47" s="144">
        <f t="shared" si="11"/>
        <v>5</v>
      </c>
      <c r="J47" s="144">
        <f t="shared" si="11"/>
        <v>5</v>
      </c>
      <c r="K47" s="144">
        <f t="shared" si="11"/>
        <v>5</v>
      </c>
      <c r="L47" s="144">
        <f t="shared" si="11"/>
        <v>5</v>
      </c>
      <c r="M47" s="144">
        <f t="shared" si="11"/>
        <v>5</v>
      </c>
      <c r="N47" s="144">
        <f t="shared" si="11"/>
        <v>5</v>
      </c>
      <c r="O47" s="144">
        <f t="shared" si="11"/>
        <v>5</v>
      </c>
      <c r="P47" s="144">
        <f t="shared" si="11"/>
        <v>5</v>
      </c>
      <c r="Q47" s="144">
        <f t="shared" si="11"/>
        <v>5</v>
      </c>
      <c r="R47" s="144">
        <f t="shared" si="11"/>
        <v>5</v>
      </c>
      <c r="S47" s="144">
        <f t="shared" si="11"/>
        <v>5</v>
      </c>
      <c r="T47" s="144">
        <f t="shared" si="11"/>
        <v>5</v>
      </c>
      <c r="U47" s="144">
        <f t="shared" si="11"/>
        <v>5</v>
      </c>
      <c r="V47" s="144">
        <f t="shared" si="11"/>
        <v>5</v>
      </c>
      <c r="W47" s="144">
        <f t="shared" si="11"/>
        <v>5</v>
      </c>
      <c r="X47" s="144">
        <f t="shared" si="11"/>
        <v>5</v>
      </c>
      <c r="Y47" s="144">
        <f t="shared" si="11"/>
        <v>5</v>
      </c>
      <c r="Z47" s="144">
        <f t="shared" si="11"/>
        <v>5</v>
      </c>
      <c r="AA47" s="144">
        <f t="shared" si="11"/>
        <v>5</v>
      </c>
      <c r="AB47" s="144"/>
      <c r="AC47" s="144"/>
      <c r="AD47" s="144">
        <f t="shared" ref="AD47:AG47" si="12">COUNTA(#REF!,#REF!,#REF!,#REF!,#REF!)</f>
        <v>5</v>
      </c>
      <c r="AE47" s="144">
        <f t="shared" si="12"/>
        <v>5</v>
      </c>
      <c r="AF47" s="144">
        <f t="shared" si="12"/>
        <v>5</v>
      </c>
      <c r="AG47" s="144">
        <f t="shared" si="12"/>
        <v>5</v>
      </c>
      <c r="AH47" s="144"/>
      <c r="AI47" s="144"/>
      <c r="AJ47" s="144"/>
      <c r="AK47" s="21"/>
      <c r="AL47" s="45"/>
    </row>
    <row r="48" ht="14.25" customHeight="1">
      <c r="A48" s="142"/>
      <c r="B48" s="146" t="s">
        <v>157</v>
      </c>
      <c r="C48" s="147"/>
      <c r="D48" s="147"/>
      <c r="E48" s="147"/>
      <c r="F48" s="148"/>
      <c r="G48" s="269">
        <f t="shared" ref="G48:AA48" si="13">COUNTA(#REF!,#REF!)</f>
        <v>2</v>
      </c>
      <c r="H48" s="269">
        <f t="shared" si="13"/>
        <v>2</v>
      </c>
      <c r="I48" s="269">
        <f t="shared" si="13"/>
        <v>2</v>
      </c>
      <c r="J48" s="269">
        <f t="shared" si="13"/>
        <v>2</v>
      </c>
      <c r="K48" s="269">
        <f t="shared" si="13"/>
        <v>2</v>
      </c>
      <c r="L48" s="269">
        <f t="shared" si="13"/>
        <v>2</v>
      </c>
      <c r="M48" s="269">
        <f t="shared" si="13"/>
        <v>2</v>
      </c>
      <c r="N48" s="269">
        <f t="shared" si="13"/>
        <v>2</v>
      </c>
      <c r="O48" s="269">
        <f t="shared" si="13"/>
        <v>2</v>
      </c>
      <c r="P48" s="269">
        <f t="shared" si="13"/>
        <v>2</v>
      </c>
      <c r="Q48" s="269">
        <f t="shared" si="13"/>
        <v>2</v>
      </c>
      <c r="R48" s="269">
        <f t="shared" si="13"/>
        <v>2</v>
      </c>
      <c r="S48" s="269">
        <f t="shared" si="13"/>
        <v>2</v>
      </c>
      <c r="T48" s="269">
        <f t="shared" si="13"/>
        <v>2</v>
      </c>
      <c r="U48" s="269">
        <f t="shared" si="13"/>
        <v>2</v>
      </c>
      <c r="V48" s="269">
        <f t="shared" si="13"/>
        <v>2</v>
      </c>
      <c r="W48" s="269">
        <f t="shared" si="13"/>
        <v>2</v>
      </c>
      <c r="X48" s="269">
        <f t="shared" si="13"/>
        <v>2</v>
      </c>
      <c r="Y48" s="269">
        <f t="shared" si="13"/>
        <v>2</v>
      </c>
      <c r="Z48" s="269">
        <f t="shared" si="13"/>
        <v>2</v>
      </c>
      <c r="AA48" s="269">
        <f t="shared" si="13"/>
        <v>2</v>
      </c>
      <c r="AB48" s="269"/>
      <c r="AC48" s="269"/>
      <c r="AD48" s="269">
        <f t="shared" ref="AD48:AG48" si="14">COUNTA(#REF!,#REF!)</f>
        <v>2</v>
      </c>
      <c r="AE48" s="269">
        <f t="shared" si="14"/>
        <v>2</v>
      </c>
      <c r="AF48" s="269">
        <f t="shared" si="14"/>
        <v>2</v>
      </c>
      <c r="AG48" s="269">
        <f t="shared" si="14"/>
        <v>2</v>
      </c>
      <c r="AH48" s="269"/>
      <c r="AI48" s="269"/>
      <c r="AJ48" s="269"/>
      <c r="AK48" s="21"/>
      <c r="AL48" s="45"/>
    </row>
    <row r="49" ht="14.25" customHeight="1">
      <c r="A49" s="2"/>
      <c r="B49" s="3"/>
      <c r="C49" s="2"/>
      <c r="D49" s="2"/>
      <c r="E49" s="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280"/>
      <c r="AL49" s="11"/>
    </row>
    <row r="50" ht="14.25" customHeight="1">
      <c r="A50" s="152"/>
      <c r="B50" s="153"/>
      <c r="C50" s="154"/>
      <c r="D50" s="155" t="s">
        <v>159</v>
      </c>
      <c r="E50" s="155"/>
      <c r="F50" s="156"/>
      <c r="G50" s="213">
        <f t="shared" ref="G50:AA50" si="15">COUNTA(G10,G11:G15,#REF!,G24:G25,G41,G23:G39,G29)</f>
        <v>9</v>
      </c>
      <c r="H50" s="213">
        <f t="shared" si="15"/>
        <v>14</v>
      </c>
      <c r="I50" s="213">
        <f t="shared" si="15"/>
        <v>14</v>
      </c>
      <c r="J50" s="213">
        <f t="shared" si="15"/>
        <v>12</v>
      </c>
      <c r="K50" s="213">
        <f t="shared" si="15"/>
        <v>15</v>
      </c>
      <c r="L50" s="213">
        <f t="shared" si="15"/>
        <v>14</v>
      </c>
      <c r="M50" s="213">
        <f t="shared" si="15"/>
        <v>9</v>
      </c>
      <c r="N50" s="213">
        <f t="shared" si="15"/>
        <v>10</v>
      </c>
      <c r="O50" s="213">
        <f t="shared" si="15"/>
        <v>13</v>
      </c>
      <c r="P50" s="213">
        <f t="shared" si="15"/>
        <v>15</v>
      </c>
      <c r="Q50" s="213">
        <f t="shared" si="15"/>
        <v>14</v>
      </c>
      <c r="R50" s="213">
        <f t="shared" si="15"/>
        <v>14</v>
      </c>
      <c r="S50" s="213">
        <f t="shared" si="15"/>
        <v>14</v>
      </c>
      <c r="T50" s="213">
        <f t="shared" si="15"/>
        <v>10</v>
      </c>
      <c r="U50" s="213">
        <f t="shared" si="15"/>
        <v>8</v>
      </c>
      <c r="V50" s="213">
        <f t="shared" si="15"/>
        <v>13</v>
      </c>
      <c r="W50" s="213">
        <f t="shared" si="15"/>
        <v>15</v>
      </c>
      <c r="X50" s="213">
        <f t="shared" si="15"/>
        <v>12</v>
      </c>
      <c r="Y50" s="213">
        <f t="shared" si="15"/>
        <v>14</v>
      </c>
      <c r="Z50" s="213">
        <f t="shared" si="15"/>
        <v>15</v>
      </c>
      <c r="AA50" s="213">
        <f t="shared" si="15"/>
        <v>8</v>
      </c>
      <c r="AB50" s="213"/>
      <c r="AC50" s="213"/>
      <c r="AD50" s="213">
        <f t="shared" ref="AD50:AG50" si="16">COUNTA(AD10,AD11:AD15,#REF!,AD24:AD25,AD41,AD23:AD39,AD29)</f>
        <v>13</v>
      </c>
      <c r="AE50" s="213">
        <f t="shared" si="16"/>
        <v>13</v>
      </c>
      <c r="AF50" s="213">
        <f t="shared" si="16"/>
        <v>15</v>
      </c>
      <c r="AG50" s="213">
        <f t="shared" si="16"/>
        <v>14</v>
      </c>
      <c r="AH50" s="213"/>
      <c r="AI50" s="213"/>
      <c r="AJ50" s="213"/>
      <c r="AK50" s="287">
        <f t="shared" ref="AK50:AK53" si="19">SUM(G50:AG50)</f>
        <v>317</v>
      </c>
      <c r="AL50" s="158">
        <v>250.0</v>
      </c>
    </row>
    <row r="51" ht="14.25" customHeight="1">
      <c r="A51" s="159"/>
      <c r="B51" s="160"/>
      <c r="C51" s="161"/>
      <c r="D51" s="162" t="s">
        <v>160</v>
      </c>
      <c r="E51" s="162"/>
      <c r="F51" s="163"/>
      <c r="G51" s="289">
        <f t="shared" ref="G51:AA51" si="17">COUNTA(G10,#REF!,#REF!,G15,G23:G39,G24:G41)</f>
        <v>15</v>
      </c>
      <c r="H51" s="289">
        <f t="shared" si="17"/>
        <v>18</v>
      </c>
      <c r="I51" s="289">
        <f t="shared" si="17"/>
        <v>19</v>
      </c>
      <c r="J51" s="289">
        <f t="shared" si="17"/>
        <v>16</v>
      </c>
      <c r="K51" s="289">
        <f t="shared" si="17"/>
        <v>20</v>
      </c>
      <c r="L51" s="289">
        <f t="shared" si="17"/>
        <v>17</v>
      </c>
      <c r="M51" s="289">
        <f t="shared" si="17"/>
        <v>15</v>
      </c>
      <c r="N51" s="289">
        <f t="shared" si="17"/>
        <v>15</v>
      </c>
      <c r="O51" s="289">
        <f t="shared" si="17"/>
        <v>15</v>
      </c>
      <c r="P51" s="289">
        <f t="shared" si="17"/>
        <v>20</v>
      </c>
      <c r="Q51" s="289">
        <f t="shared" si="17"/>
        <v>18</v>
      </c>
      <c r="R51" s="289">
        <f t="shared" si="17"/>
        <v>17</v>
      </c>
      <c r="S51" s="289">
        <f t="shared" si="17"/>
        <v>18</v>
      </c>
      <c r="T51" s="289">
        <f t="shared" si="17"/>
        <v>17</v>
      </c>
      <c r="U51" s="289">
        <f t="shared" si="17"/>
        <v>12</v>
      </c>
      <c r="V51" s="289">
        <f t="shared" si="17"/>
        <v>16</v>
      </c>
      <c r="W51" s="289">
        <f t="shared" si="17"/>
        <v>22</v>
      </c>
      <c r="X51" s="289">
        <f t="shared" si="17"/>
        <v>15</v>
      </c>
      <c r="Y51" s="289">
        <f t="shared" si="17"/>
        <v>18</v>
      </c>
      <c r="Z51" s="289">
        <f t="shared" si="17"/>
        <v>20</v>
      </c>
      <c r="AA51" s="289">
        <f t="shared" si="17"/>
        <v>12</v>
      </c>
      <c r="AB51" s="289"/>
      <c r="AC51" s="289"/>
      <c r="AD51" s="289">
        <f t="shared" ref="AD51:AG51" si="18">COUNTA(AD10,#REF!,#REF!,AD15,AD23:AD39,AD24:AD41)</f>
        <v>18</v>
      </c>
      <c r="AE51" s="289">
        <f t="shared" si="18"/>
        <v>17</v>
      </c>
      <c r="AF51" s="289">
        <f t="shared" si="18"/>
        <v>20</v>
      </c>
      <c r="AG51" s="289">
        <f t="shared" si="18"/>
        <v>18</v>
      </c>
      <c r="AH51" s="289"/>
      <c r="AI51" s="289"/>
      <c r="AJ51" s="289"/>
      <c r="AK51" s="294">
        <f t="shared" si="19"/>
        <v>428</v>
      </c>
      <c r="AL51" s="158"/>
    </row>
    <row r="52" ht="14.25" customHeight="1">
      <c r="A52" s="166"/>
      <c r="B52" s="167"/>
      <c r="C52" s="168"/>
      <c r="D52" s="169" t="s">
        <v>161</v>
      </c>
      <c r="E52" s="169"/>
      <c r="F52" s="170"/>
      <c r="G52" s="295">
        <f t="shared" ref="G52:AA52" si="20">COUNTA(G23:G39,G29,G41:G42)</f>
        <v>7</v>
      </c>
      <c r="H52" s="295">
        <f t="shared" si="20"/>
        <v>7</v>
      </c>
      <c r="I52" s="295">
        <f t="shared" si="20"/>
        <v>9</v>
      </c>
      <c r="J52" s="295">
        <f t="shared" si="20"/>
        <v>7</v>
      </c>
      <c r="K52" s="295">
        <f t="shared" si="20"/>
        <v>8</v>
      </c>
      <c r="L52" s="295">
        <f t="shared" si="20"/>
        <v>8</v>
      </c>
      <c r="M52" s="295">
        <f t="shared" si="20"/>
        <v>7</v>
      </c>
      <c r="N52" s="295">
        <f t="shared" si="20"/>
        <v>7</v>
      </c>
      <c r="O52" s="295">
        <f t="shared" si="20"/>
        <v>7</v>
      </c>
      <c r="P52" s="295">
        <f t="shared" si="20"/>
        <v>10</v>
      </c>
      <c r="Q52" s="295">
        <f t="shared" si="20"/>
        <v>8</v>
      </c>
      <c r="R52" s="295">
        <f t="shared" si="20"/>
        <v>8</v>
      </c>
      <c r="S52" s="295">
        <f t="shared" si="20"/>
        <v>8</v>
      </c>
      <c r="T52" s="295">
        <f t="shared" si="20"/>
        <v>7</v>
      </c>
      <c r="U52" s="295">
        <f t="shared" si="20"/>
        <v>6</v>
      </c>
      <c r="V52" s="295">
        <f t="shared" si="20"/>
        <v>7</v>
      </c>
      <c r="W52" s="295">
        <f t="shared" si="20"/>
        <v>9</v>
      </c>
      <c r="X52" s="295">
        <f t="shared" si="20"/>
        <v>7</v>
      </c>
      <c r="Y52" s="295">
        <f t="shared" si="20"/>
        <v>8</v>
      </c>
      <c r="Z52" s="295">
        <f t="shared" si="20"/>
        <v>8</v>
      </c>
      <c r="AA52" s="295">
        <f t="shared" si="20"/>
        <v>6</v>
      </c>
      <c r="AB52" s="295"/>
      <c r="AC52" s="295"/>
      <c r="AD52" s="295">
        <f t="shared" ref="AD52:AG52" si="21">COUNTA(AD23:AD39,AD29,AD41:AD42)</f>
        <v>8</v>
      </c>
      <c r="AE52" s="295">
        <f t="shared" si="21"/>
        <v>8</v>
      </c>
      <c r="AF52" s="295">
        <f t="shared" si="21"/>
        <v>8</v>
      </c>
      <c r="AG52" s="295">
        <f t="shared" si="21"/>
        <v>8</v>
      </c>
      <c r="AH52" s="295"/>
      <c r="AI52" s="295"/>
      <c r="AJ52" s="295"/>
      <c r="AK52" s="301">
        <f t="shared" si="19"/>
        <v>191</v>
      </c>
      <c r="AL52" s="173">
        <f>AL50*AK54</f>
        <v>255750</v>
      </c>
    </row>
    <row r="53" ht="14.25" customHeight="1">
      <c r="A53" s="174"/>
      <c r="B53" s="175"/>
      <c r="C53" s="176"/>
      <c r="D53" s="177" t="s">
        <v>162</v>
      </c>
      <c r="E53" s="177"/>
      <c r="F53" s="178"/>
      <c r="G53" s="302">
        <f t="shared" ref="G53:AA53" si="22">COUNTA(#REF!,#REF!,G29,#REF!)</f>
        <v>3</v>
      </c>
      <c r="H53" s="302">
        <f t="shared" si="22"/>
        <v>3</v>
      </c>
      <c r="I53" s="302">
        <f t="shared" si="22"/>
        <v>4</v>
      </c>
      <c r="J53" s="302">
        <f t="shared" si="22"/>
        <v>3</v>
      </c>
      <c r="K53" s="302">
        <f t="shared" si="22"/>
        <v>3</v>
      </c>
      <c r="L53" s="302">
        <f t="shared" si="22"/>
        <v>4</v>
      </c>
      <c r="M53" s="302">
        <f t="shared" si="22"/>
        <v>3</v>
      </c>
      <c r="N53" s="302">
        <f t="shared" si="22"/>
        <v>4</v>
      </c>
      <c r="O53" s="302">
        <f t="shared" si="22"/>
        <v>4</v>
      </c>
      <c r="P53" s="302">
        <f t="shared" si="22"/>
        <v>4</v>
      </c>
      <c r="Q53" s="302">
        <f t="shared" si="22"/>
        <v>4</v>
      </c>
      <c r="R53" s="302">
        <f t="shared" si="22"/>
        <v>4</v>
      </c>
      <c r="S53" s="302">
        <f t="shared" si="22"/>
        <v>3</v>
      </c>
      <c r="T53" s="302">
        <f t="shared" si="22"/>
        <v>3</v>
      </c>
      <c r="U53" s="302">
        <f t="shared" si="22"/>
        <v>4</v>
      </c>
      <c r="V53" s="302">
        <f t="shared" si="22"/>
        <v>3</v>
      </c>
      <c r="W53" s="302">
        <f t="shared" si="22"/>
        <v>3</v>
      </c>
      <c r="X53" s="302">
        <f t="shared" si="22"/>
        <v>4</v>
      </c>
      <c r="Y53" s="302">
        <f t="shared" si="22"/>
        <v>3</v>
      </c>
      <c r="Z53" s="302">
        <f t="shared" si="22"/>
        <v>3</v>
      </c>
      <c r="AA53" s="302">
        <f t="shared" si="22"/>
        <v>4</v>
      </c>
      <c r="AB53" s="302"/>
      <c r="AC53" s="302"/>
      <c r="AD53" s="302">
        <f t="shared" ref="AD53:AG53" si="23">COUNTA(#REF!,#REF!,AD29,#REF!)</f>
        <v>4</v>
      </c>
      <c r="AE53" s="302">
        <f t="shared" si="23"/>
        <v>3</v>
      </c>
      <c r="AF53" s="302">
        <f t="shared" si="23"/>
        <v>3</v>
      </c>
      <c r="AG53" s="302">
        <f t="shared" si="23"/>
        <v>4</v>
      </c>
      <c r="AH53" s="302"/>
      <c r="AI53" s="302"/>
      <c r="AJ53" s="302"/>
      <c r="AK53" s="302">
        <f t="shared" si="19"/>
        <v>87</v>
      </c>
      <c r="AL53" s="180"/>
    </row>
    <row r="54" ht="14.25" customHeight="1">
      <c r="A54" s="146" t="s">
        <v>163</v>
      </c>
      <c r="B54" s="147"/>
      <c r="C54" s="147"/>
      <c r="D54" s="147"/>
      <c r="E54" s="147"/>
      <c r="F54" s="148"/>
      <c r="G54" s="144">
        <f t="shared" ref="G54:AA54" si="24">SUM(G50:G53)</f>
        <v>34</v>
      </c>
      <c r="H54" s="144">
        <f t="shared" si="24"/>
        <v>42</v>
      </c>
      <c r="I54" s="144">
        <f t="shared" si="24"/>
        <v>46</v>
      </c>
      <c r="J54" s="144">
        <f t="shared" si="24"/>
        <v>38</v>
      </c>
      <c r="K54" s="144">
        <f t="shared" si="24"/>
        <v>46</v>
      </c>
      <c r="L54" s="144">
        <f t="shared" si="24"/>
        <v>43</v>
      </c>
      <c r="M54" s="144">
        <f t="shared" si="24"/>
        <v>34</v>
      </c>
      <c r="N54" s="144">
        <f t="shared" si="24"/>
        <v>36</v>
      </c>
      <c r="O54" s="144">
        <f t="shared" si="24"/>
        <v>39</v>
      </c>
      <c r="P54" s="144">
        <f t="shared" si="24"/>
        <v>49</v>
      </c>
      <c r="Q54" s="144">
        <f t="shared" si="24"/>
        <v>44</v>
      </c>
      <c r="R54" s="144">
        <f t="shared" si="24"/>
        <v>43</v>
      </c>
      <c r="S54" s="144">
        <f t="shared" si="24"/>
        <v>43</v>
      </c>
      <c r="T54" s="144">
        <f t="shared" si="24"/>
        <v>37</v>
      </c>
      <c r="U54" s="144">
        <f t="shared" si="24"/>
        <v>30</v>
      </c>
      <c r="V54" s="144">
        <f t="shared" si="24"/>
        <v>39</v>
      </c>
      <c r="W54" s="144">
        <f t="shared" si="24"/>
        <v>49</v>
      </c>
      <c r="X54" s="144">
        <f t="shared" si="24"/>
        <v>38</v>
      </c>
      <c r="Y54" s="144">
        <f t="shared" si="24"/>
        <v>43</v>
      </c>
      <c r="Z54" s="144">
        <f t="shared" si="24"/>
        <v>46</v>
      </c>
      <c r="AA54" s="144">
        <f t="shared" si="24"/>
        <v>30</v>
      </c>
      <c r="AB54" s="144"/>
      <c r="AC54" s="144"/>
      <c r="AD54" s="144">
        <f t="shared" ref="AD54:AG54" si="25">SUM(AD50:AD53)</f>
        <v>43</v>
      </c>
      <c r="AE54" s="144">
        <f t="shared" si="25"/>
        <v>41</v>
      </c>
      <c r="AF54" s="144">
        <f t="shared" si="25"/>
        <v>46</v>
      </c>
      <c r="AG54" s="144">
        <f t="shared" si="25"/>
        <v>44</v>
      </c>
      <c r="AH54" s="144"/>
      <c r="AI54" s="144"/>
      <c r="AJ54" s="144"/>
      <c r="AK54" s="144">
        <f>SUM(AK50:AK53)</f>
        <v>1023</v>
      </c>
      <c r="AL54" s="181"/>
    </row>
    <row r="55" ht="14.25" customHeight="1">
      <c r="A55" s="2"/>
      <c r="B55" s="182" t="s">
        <v>164</v>
      </c>
      <c r="C55" s="182"/>
      <c r="D55" s="182"/>
      <c r="E55" s="182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4"/>
      <c r="R55" s="4"/>
      <c r="S55" s="4"/>
      <c r="T55" s="4"/>
      <c r="U55" s="5"/>
      <c r="V55" s="5"/>
      <c r="W55" s="5"/>
      <c r="X55" s="4"/>
      <c r="Y55" s="4"/>
      <c r="Z55" s="4"/>
      <c r="AA55" s="4"/>
      <c r="AB55" s="4"/>
      <c r="AC55" s="4"/>
      <c r="AD55" s="5"/>
      <c r="AE55" s="5"/>
      <c r="AF55" s="5"/>
      <c r="AG55" s="5"/>
      <c r="AH55" s="5"/>
      <c r="AI55" s="5"/>
      <c r="AJ55" s="5"/>
      <c r="AK55" s="2"/>
      <c r="AL55" s="183"/>
    </row>
    <row r="56" ht="14.25" customHeight="1">
      <c r="A56" s="2"/>
      <c r="B56" s="182" t="s">
        <v>165</v>
      </c>
      <c r="C56" s="2"/>
      <c r="D56" s="2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11"/>
      <c r="AL56" s="2"/>
    </row>
    <row r="57" ht="14.25" customHeight="1">
      <c r="A57" s="2"/>
      <c r="B57" s="182" t="s">
        <v>166</v>
      </c>
      <c r="C57" s="184"/>
      <c r="D57" s="184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11"/>
      <c r="AL57" s="2"/>
    </row>
    <row r="58" ht="14.25" customHeight="1">
      <c r="A58" s="2"/>
      <c r="B58" s="182"/>
      <c r="C58" s="184"/>
      <c r="D58" s="184"/>
      <c r="E58" s="4" t="s">
        <v>167</v>
      </c>
      <c r="G58" s="5"/>
      <c r="H58" s="5"/>
      <c r="I58" s="5"/>
      <c r="J58" s="5"/>
      <c r="K58" s="5" t="s">
        <v>168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11"/>
      <c r="AL58" s="2"/>
    </row>
    <row r="59" ht="14.25" customHeight="1">
      <c r="A59" s="2"/>
      <c r="B59" s="3"/>
      <c r="C59" s="2"/>
      <c r="D59" s="2"/>
      <c r="E59" s="2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11"/>
      <c r="AL59" s="11"/>
    </row>
    <row r="60" ht="14.25" customHeight="1">
      <c r="A60" s="2"/>
      <c r="B60" s="3"/>
      <c r="C60" s="2"/>
      <c r="D60" s="2"/>
      <c r="E60" s="4" t="s">
        <v>169</v>
      </c>
      <c r="G60" s="5"/>
      <c r="H60" s="5"/>
      <c r="I60" s="5"/>
      <c r="J60" s="5"/>
      <c r="K60" s="5"/>
      <c r="L60" s="5"/>
      <c r="M60" s="5"/>
      <c r="N60" s="5" t="s">
        <v>170</v>
      </c>
      <c r="O60" s="5"/>
      <c r="P60" s="5"/>
      <c r="Q60" s="5" t="s">
        <v>171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1"/>
      <c r="AL60" s="11"/>
    </row>
    <row r="61" ht="14.25" customHeight="1">
      <c r="A61" s="2"/>
      <c r="B61" s="3"/>
      <c r="C61" s="2"/>
      <c r="D61" s="2"/>
      <c r="E61" s="2"/>
      <c r="F61" s="185"/>
      <c r="G61" s="5"/>
      <c r="H61" s="5"/>
      <c r="I61" s="5"/>
      <c r="J61" s="5"/>
      <c r="K61" s="5"/>
      <c r="L61" s="5"/>
      <c r="M61" s="5"/>
      <c r="N61" s="5"/>
      <c r="O61" s="5"/>
      <c r="P61" s="5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1"/>
      <c r="AL61" s="11"/>
    </row>
    <row r="62" ht="30.75" customHeight="1">
      <c r="A62" s="2"/>
      <c r="B62" s="3"/>
      <c r="C62" s="2"/>
      <c r="D62" s="2"/>
      <c r="E62" s="185" t="s">
        <v>172</v>
      </c>
      <c r="G62" s="5"/>
      <c r="H62" s="5"/>
      <c r="I62" s="5"/>
      <c r="J62" s="5"/>
      <c r="K62" s="5"/>
      <c r="L62" s="5"/>
      <c r="M62" s="5"/>
      <c r="N62" s="5" t="s">
        <v>170</v>
      </c>
      <c r="O62" s="5"/>
      <c r="P62" s="5"/>
      <c r="Q62" s="5" t="s">
        <v>171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11"/>
      <c r="AL62" s="11"/>
    </row>
    <row r="63" ht="14.25" customHeight="1">
      <c r="A63" s="11"/>
      <c r="B63" s="3"/>
      <c r="C63" s="2"/>
      <c r="D63" s="186"/>
      <c r="E63" s="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11"/>
      <c r="AL63" s="11"/>
    </row>
    <row r="64" ht="14.25" customHeight="1">
      <c r="F64" s="187"/>
    </row>
    <row r="65" ht="14.25" customHeight="1">
      <c r="F65" s="187"/>
    </row>
    <row r="66" ht="14.25" customHeight="1">
      <c r="F66" s="187"/>
    </row>
    <row r="67" ht="14.25" customHeight="1">
      <c r="F67" s="187"/>
    </row>
    <row r="68" ht="15.7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3">
    <mergeCell ref="A5:D5"/>
    <mergeCell ref="B6:B7"/>
    <mergeCell ref="C6:C7"/>
    <mergeCell ref="D6:D7"/>
    <mergeCell ref="E6:E7"/>
    <mergeCell ref="AK6:AK7"/>
    <mergeCell ref="AL6:AL7"/>
    <mergeCell ref="F6:F7"/>
    <mergeCell ref="F24:F26"/>
    <mergeCell ref="F27:F30"/>
    <mergeCell ref="A36:A37"/>
    <mergeCell ref="B36:B37"/>
    <mergeCell ref="C36:C37"/>
    <mergeCell ref="D36:D37"/>
    <mergeCell ref="E60:F60"/>
    <mergeCell ref="E62:F62"/>
    <mergeCell ref="F36:F37"/>
    <mergeCell ref="B46:F46"/>
    <mergeCell ref="B47:F47"/>
    <mergeCell ref="B48:F48"/>
    <mergeCell ref="A54:F54"/>
    <mergeCell ref="E58:F58"/>
    <mergeCell ref="K58:R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1.71"/>
    <col customWidth="1" min="3" max="3" width="10.0"/>
    <col customWidth="1" min="4" max="4" width="24.29"/>
    <col customWidth="1" min="5" max="5" width="26.0"/>
    <col customWidth="1" min="6" max="6" width="4.57"/>
    <col customWidth="1" min="7" max="7" width="4.0"/>
    <col customWidth="1" min="8" max="8" width="4.57"/>
    <col customWidth="1" min="9" max="9" width="4.71"/>
    <col customWidth="1" min="10" max="10" width="4.14"/>
    <col customWidth="1" min="11" max="11" width="4.71"/>
    <col customWidth="1" min="12" max="12" width="5.0"/>
    <col customWidth="1" min="13" max="15" width="4.57"/>
    <col customWidth="1" min="16" max="16" width="4.71"/>
    <col customWidth="1" min="17" max="17" width="5.57"/>
    <col customWidth="1" min="18" max="18" width="4.71"/>
    <col customWidth="1" min="19" max="19" width="5.0"/>
    <col customWidth="1" min="20" max="20" width="4.14"/>
    <col customWidth="1" min="21" max="21" width="4.0"/>
    <col customWidth="1" min="22" max="22" width="4.57"/>
    <col customWidth="1" min="23" max="23" width="4.71"/>
    <col customWidth="1" min="24" max="24" width="4.14"/>
    <col customWidth="1" min="25" max="25" width="4.71"/>
    <col customWidth="1" min="26" max="26" width="5.0"/>
    <col customWidth="1" min="27" max="27" width="4.14"/>
    <col customWidth="1" min="28" max="28" width="4.0"/>
    <col customWidth="1" min="29" max="29" width="4.57"/>
    <col customWidth="1" min="30" max="30" width="4.71"/>
    <col customWidth="1" min="31" max="31" width="4.14"/>
    <col customWidth="1" min="32" max="32" width="4.71"/>
    <col customWidth="1" min="33" max="36" width="5.0"/>
    <col customWidth="1" min="37" max="37" width="5.71"/>
    <col customWidth="1" min="38" max="38" width="11.71"/>
    <col customWidth="1" min="39" max="39" width="11.43"/>
    <col customWidth="1" min="40" max="44" width="8.71"/>
  </cols>
  <sheetData>
    <row r="1" ht="18.75" customHeight="1">
      <c r="A1" s="220" t="s">
        <v>211</v>
      </c>
      <c r="B1" s="9"/>
      <c r="C1" s="9"/>
      <c r="D1" s="9"/>
      <c r="E1" s="221"/>
      <c r="F1" s="222"/>
      <c r="G1" s="223"/>
      <c r="H1" s="223"/>
      <c r="I1" s="223"/>
      <c r="J1" s="223"/>
      <c r="K1" s="223"/>
      <c r="L1" s="223"/>
      <c r="M1" s="223"/>
      <c r="N1" s="223"/>
      <c r="O1" s="223"/>
      <c r="P1" s="224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5"/>
    </row>
    <row r="2" ht="22.5" customHeight="1">
      <c r="A2" s="226" t="s">
        <v>6</v>
      </c>
      <c r="B2" s="227" t="s">
        <v>8</v>
      </c>
      <c r="C2" s="227" t="s">
        <v>9</v>
      </c>
      <c r="D2" s="228" t="s">
        <v>10</v>
      </c>
      <c r="E2" s="227" t="s">
        <v>11</v>
      </c>
      <c r="F2" s="227"/>
      <c r="G2" s="229">
        <v>1.0</v>
      </c>
      <c r="H2" s="229">
        <f t="shared" ref="H2:AA2" si="1">G2+1</f>
        <v>2</v>
      </c>
      <c r="I2" s="229">
        <f t="shared" si="1"/>
        <v>3</v>
      </c>
      <c r="J2" s="229">
        <f t="shared" si="1"/>
        <v>4</v>
      </c>
      <c r="K2" s="229">
        <f t="shared" si="1"/>
        <v>5</v>
      </c>
      <c r="L2" s="229">
        <f t="shared" si="1"/>
        <v>6</v>
      </c>
      <c r="M2" s="229">
        <f t="shared" si="1"/>
        <v>7</v>
      </c>
      <c r="N2" s="229">
        <f t="shared" si="1"/>
        <v>8</v>
      </c>
      <c r="O2" s="229">
        <f t="shared" si="1"/>
        <v>9</v>
      </c>
      <c r="P2" s="229">
        <f t="shared" si="1"/>
        <v>10</v>
      </c>
      <c r="Q2" s="229">
        <f t="shared" si="1"/>
        <v>11</v>
      </c>
      <c r="R2" s="229">
        <f t="shared" si="1"/>
        <v>12</v>
      </c>
      <c r="S2" s="229">
        <f t="shared" si="1"/>
        <v>13</v>
      </c>
      <c r="T2" s="229">
        <f t="shared" si="1"/>
        <v>14</v>
      </c>
      <c r="U2" s="229">
        <f t="shared" si="1"/>
        <v>15</v>
      </c>
      <c r="V2" s="229">
        <f t="shared" si="1"/>
        <v>16</v>
      </c>
      <c r="W2" s="229">
        <f t="shared" si="1"/>
        <v>17</v>
      </c>
      <c r="X2" s="229">
        <f t="shared" si="1"/>
        <v>18</v>
      </c>
      <c r="Y2" s="229">
        <f t="shared" si="1"/>
        <v>19</v>
      </c>
      <c r="Z2" s="229">
        <f t="shared" si="1"/>
        <v>20</v>
      </c>
      <c r="AA2" s="229">
        <f t="shared" si="1"/>
        <v>21</v>
      </c>
      <c r="AB2" s="229">
        <v>22.0</v>
      </c>
      <c r="AC2" s="229">
        <v>23.0</v>
      </c>
      <c r="AD2" s="229">
        <v>24.0</v>
      </c>
      <c r="AE2" s="229">
        <v>25.0</v>
      </c>
      <c r="AF2" s="229">
        <v>26.0</v>
      </c>
      <c r="AG2" s="229">
        <v>27.0</v>
      </c>
      <c r="AH2" s="229">
        <v>28.0</v>
      </c>
      <c r="AI2" s="229">
        <v>29.0</v>
      </c>
      <c r="AJ2" s="229">
        <v>30.0</v>
      </c>
      <c r="AK2" s="229">
        <v>31.0</v>
      </c>
      <c r="AL2" s="227" t="s">
        <v>14</v>
      </c>
      <c r="AM2" s="227" t="s">
        <v>15</v>
      </c>
      <c r="AN2" s="225"/>
    </row>
    <row r="3" ht="30.75" customHeight="1">
      <c r="A3" s="230"/>
      <c r="B3" s="17"/>
      <c r="C3" s="17"/>
      <c r="D3" s="17"/>
      <c r="E3" s="17"/>
      <c r="F3" s="17"/>
      <c r="G3" s="231" t="s">
        <v>20</v>
      </c>
      <c r="H3" s="231" t="s">
        <v>21</v>
      </c>
      <c r="I3" s="231" t="s">
        <v>22</v>
      </c>
      <c r="J3" s="231" t="s">
        <v>16</v>
      </c>
      <c r="K3" s="231" t="s">
        <v>17</v>
      </c>
      <c r="L3" s="231" t="s">
        <v>18</v>
      </c>
      <c r="M3" s="231" t="s">
        <v>19</v>
      </c>
      <c r="N3" s="231" t="s">
        <v>20</v>
      </c>
      <c r="O3" s="231" t="s">
        <v>21</v>
      </c>
      <c r="P3" s="231" t="s">
        <v>22</v>
      </c>
      <c r="Q3" s="231" t="s">
        <v>16</v>
      </c>
      <c r="R3" s="231" t="s">
        <v>17</v>
      </c>
      <c r="S3" s="231" t="s">
        <v>18</v>
      </c>
      <c r="T3" s="231" t="s">
        <v>19</v>
      </c>
      <c r="U3" s="231" t="s">
        <v>20</v>
      </c>
      <c r="V3" s="231" t="s">
        <v>21</v>
      </c>
      <c r="W3" s="231" t="s">
        <v>22</v>
      </c>
      <c r="X3" s="231" t="s">
        <v>16</v>
      </c>
      <c r="Y3" s="231" t="s">
        <v>17</v>
      </c>
      <c r="Z3" s="231" t="s">
        <v>18</v>
      </c>
      <c r="AA3" s="231" t="s">
        <v>19</v>
      </c>
      <c r="AB3" s="231" t="s">
        <v>20</v>
      </c>
      <c r="AC3" s="231" t="s">
        <v>21</v>
      </c>
      <c r="AD3" s="231" t="s">
        <v>22</v>
      </c>
      <c r="AE3" s="231" t="s">
        <v>16</v>
      </c>
      <c r="AF3" s="231" t="s">
        <v>17</v>
      </c>
      <c r="AG3" s="231" t="s">
        <v>18</v>
      </c>
      <c r="AH3" s="231" t="s">
        <v>19</v>
      </c>
      <c r="AI3" s="231" t="s">
        <v>20</v>
      </c>
      <c r="AJ3" s="231" t="s">
        <v>21</v>
      </c>
      <c r="AK3" s="231" t="s">
        <v>22</v>
      </c>
      <c r="AL3" s="17"/>
      <c r="AM3" s="17"/>
      <c r="AN3" s="225"/>
    </row>
    <row r="4" ht="14.25" customHeight="1">
      <c r="A4" s="232"/>
      <c r="B4" s="233" t="s">
        <v>23</v>
      </c>
      <c r="C4" s="234"/>
      <c r="D4" s="233" t="s">
        <v>23</v>
      </c>
      <c r="E4" s="234"/>
      <c r="F4" s="234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5"/>
      <c r="AN4" s="225"/>
    </row>
    <row r="5" ht="14.25" customHeight="1">
      <c r="A5" s="236">
        <v>1.0</v>
      </c>
      <c r="B5" s="237" t="s">
        <v>1</v>
      </c>
      <c r="C5" s="238">
        <v>1.0</v>
      </c>
      <c r="D5" s="237" t="s">
        <v>24</v>
      </c>
      <c r="E5" s="239" t="s">
        <v>25</v>
      </c>
      <c r="F5" s="240" t="s">
        <v>26</v>
      </c>
      <c r="G5" s="241"/>
      <c r="H5" s="241" t="s">
        <v>205</v>
      </c>
      <c r="I5" s="241" t="s">
        <v>205</v>
      </c>
      <c r="J5" s="241" t="s">
        <v>205</v>
      </c>
      <c r="K5" s="241" t="s">
        <v>205</v>
      </c>
      <c r="L5" s="242" t="s">
        <v>205</v>
      </c>
      <c r="M5" s="242" t="s">
        <v>205</v>
      </c>
      <c r="N5" s="241"/>
      <c r="O5" s="241" t="s">
        <v>205</v>
      </c>
      <c r="P5" s="241" t="s">
        <v>205</v>
      </c>
      <c r="Q5" s="241" t="s">
        <v>205</v>
      </c>
      <c r="R5" s="241" t="s">
        <v>205</v>
      </c>
      <c r="S5" s="242" t="s">
        <v>205</v>
      </c>
      <c r="T5" s="242" t="s">
        <v>205</v>
      </c>
      <c r="U5" s="241"/>
      <c r="V5" s="241" t="s">
        <v>205</v>
      </c>
      <c r="W5" s="241" t="s">
        <v>205</v>
      </c>
      <c r="X5" s="241" t="s">
        <v>205</v>
      </c>
      <c r="Y5" s="241" t="s">
        <v>205</v>
      </c>
      <c r="Z5" s="242" t="s">
        <v>205</v>
      </c>
      <c r="AA5" s="242" t="s">
        <v>205</v>
      </c>
      <c r="AB5" s="241"/>
      <c r="AC5" s="241" t="s">
        <v>205</v>
      </c>
      <c r="AD5" s="241" t="s">
        <v>205</v>
      </c>
      <c r="AE5" s="241" t="s">
        <v>205</v>
      </c>
      <c r="AF5" s="241" t="s">
        <v>205</v>
      </c>
      <c r="AG5" s="242" t="s">
        <v>205</v>
      </c>
      <c r="AH5" s="242" t="s">
        <v>205</v>
      </c>
      <c r="AI5" s="236"/>
      <c r="AJ5" s="236">
        <v>12.0</v>
      </c>
      <c r="AK5" s="236">
        <v>12.0</v>
      </c>
      <c r="AL5" s="243">
        <f>COUNTA(G5:AG5)</f>
        <v>23</v>
      </c>
      <c r="AM5" s="244">
        <f t="shared" ref="AM5:AM10" si="2">SUM(G5:AK5)</f>
        <v>24</v>
      </c>
      <c r="AN5" s="225"/>
    </row>
    <row r="6" ht="14.25" customHeight="1">
      <c r="A6" s="245">
        <v>2.0</v>
      </c>
      <c r="B6" s="246" t="s">
        <v>27</v>
      </c>
      <c r="C6" s="239">
        <v>1.0</v>
      </c>
      <c r="D6" s="247" t="s">
        <v>28</v>
      </c>
      <c r="E6" s="239" t="s">
        <v>29</v>
      </c>
      <c r="F6" s="240" t="s">
        <v>30</v>
      </c>
      <c r="G6" s="236"/>
      <c r="H6" s="236">
        <v>9.0</v>
      </c>
      <c r="I6" s="236">
        <v>9.0</v>
      </c>
      <c r="J6" s="236">
        <v>9.0</v>
      </c>
      <c r="K6" s="236">
        <v>9.0</v>
      </c>
      <c r="L6" s="248">
        <v>9.0</v>
      </c>
      <c r="M6" s="248"/>
      <c r="N6" s="236"/>
      <c r="O6" s="236">
        <v>9.0</v>
      </c>
      <c r="P6" s="236">
        <v>9.0</v>
      </c>
      <c r="Q6" s="236">
        <v>9.0</v>
      </c>
      <c r="R6" s="236">
        <v>9.0</v>
      </c>
      <c r="S6" s="248">
        <v>9.0</v>
      </c>
      <c r="T6" s="248"/>
      <c r="U6" s="236"/>
      <c r="V6" s="236">
        <v>9.0</v>
      </c>
      <c r="W6" s="236">
        <v>9.0</v>
      </c>
      <c r="X6" s="236">
        <v>9.0</v>
      </c>
      <c r="Y6" s="236">
        <v>9.0</v>
      </c>
      <c r="Z6" s="248">
        <v>9.0</v>
      </c>
      <c r="AA6" s="248"/>
      <c r="AB6" s="236"/>
      <c r="AC6" s="236">
        <v>9.0</v>
      </c>
      <c r="AD6" s="236">
        <v>9.0</v>
      </c>
      <c r="AE6" s="236">
        <v>9.0</v>
      </c>
      <c r="AF6" s="236">
        <v>9.0</v>
      </c>
      <c r="AG6" s="248">
        <v>9.0</v>
      </c>
      <c r="AH6" s="248"/>
      <c r="AI6" s="236"/>
      <c r="AJ6" s="236">
        <v>9.0</v>
      </c>
      <c r="AK6" s="236">
        <v>9.0</v>
      </c>
      <c r="AL6" s="243">
        <f>COUNTA(G6:AH6)</f>
        <v>20</v>
      </c>
      <c r="AM6" s="249">
        <f t="shared" si="2"/>
        <v>198</v>
      </c>
      <c r="AN6" s="225"/>
    </row>
    <row r="7" ht="14.25" customHeight="1">
      <c r="A7" s="236">
        <v>3.0</v>
      </c>
      <c r="B7" s="246" t="s">
        <v>31</v>
      </c>
      <c r="C7" s="239">
        <v>1.0</v>
      </c>
      <c r="D7" s="247" t="s">
        <v>32</v>
      </c>
      <c r="E7" s="238" t="s">
        <v>33</v>
      </c>
      <c r="F7" s="240" t="s">
        <v>30</v>
      </c>
      <c r="G7" s="236"/>
      <c r="H7" s="236">
        <v>9.0</v>
      </c>
      <c r="I7" s="236">
        <v>9.0</v>
      </c>
      <c r="J7" s="236">
        <v>9.0</v>
      </c>
      <c r="K7" s="236">
        <v>9.0</v>
      </c>
      <c r="L7" s="248">
        <v>9.0</v>
      </c>
      <c r="M7" s="248"/>
      <c r="N7" s="236"/>
      <c r="O7" s="236">
        <v>9.0</v>
      </c>
      <c r="P7" s="236">
        <v>9.0</v>
      </c>
      <c r="Q7" s="236">
        <v>9.0</v>
      </c>
      <c r="R7" s="236">
        <v>9.0</v>
      </c>
      <c r="S7" s="248">
        <v>9.0</v>
      </c>
      <c r="T7" s="248"/>
      <c r="U7" s="236"/>
      <c r="V7" s="236">
        <v>9.0</v>
      </c>
      <c r="W7" s="236">
        <v>9.0</v>
      </c>
      <c r="X7" s="236">
        <v>9.0</v>
      </c>
      <c r="Y7" s="236">
        <v>9.0</v>
      </c>
      <c r="Z7" s="248">
        <v>9.0</v>
      </c>
      <c r="AA7" s="248"/>
      <c r="AB7" s="236"/>
      <c r="AC7" s="236">
        <v>9.0</v>
      </c>
      <c r="AD7" s="236">
        <v>9.0</v>
      </c>
      <c r="AE7" s="236">
        <v>9.0</v>
      </c>
      <c r="AF7" s="236">
        <v>9.0</v>
      </c>
      <c r="AG7" s="248">
        <v>9.0</v>
      </c>
      <c r="AH7" s="248"/>
      <c r="AI7" s="236"/>
      <c r="AJ7" s="236">
        <v>9.0</v>
      </c>
      <c r="AK7" s="236">
        <v>9.0</v>
      </c>
      <c r="AL7" s="243">
        <f t="shared" ref="AL7:AL9" si="3">COUNTA(G7:AG7)</f>
        <v>20</v>
      </c>
      <c r="AM7" s="249">
        <f t="shared" si="2"/>
        <v>198</v>
      </c>
      <c r="AN7" s="225"/>
    </row>
    <row r="8" ht="14.25" customHeight="1">
      <c r="A8" s="245">
        <v>4.0</v>
      </c>
      <c r="B8" s="246" t="s">
        <v>34</v>
      </c>
      <c r="C8" s="239">
        <v>1.0</v>
      </c>
      <c r="D8" s="247" t="s">
        <v>35</v>
      </c>
      <c r="E8" s="239" t="s">
        <v>33</v>
      </c>
      <c r="F8" s="240" t="s">
        <v>30</v>
      </c>
      <c r="G8" s="236"/>
      <c r="H8" s="236">
        <v>9.0</v>
      </c>
      <c r="I8" s="236">
        <v>9.0</v>
      </c>
      <c r="J8" s="236">
        <v>9.0</v>
      </c>
      <c r="K8" s="236">
        <v>9.0</v>
      </c>
      <c r="L8" s="248">
        <v>9.0</v>
      </c>
      <c r="M8" s="248"/>
      <c r="N8" s="236"/>
      <c r="O8" s="236">
        <v>9.0</v>
      </c>
      <c r="P8" s="236">
        <v>9.0</v>
      </c>
      <c r="Q8" s="236">
        <v>9.0</v>
      </c>
      <c r="R8" s="236">
        <v>9.0</v>
      </c>
      <c r="S8" s="248">
        <v>9.0</v>
      </c>
      <c r="T8" s="248"/>
      <c r="U8" s="236"/>
      <c r="V8" s="236">
        <v>9.0</v>
      </c>
      <c r="W8" s="236">
        <v>9.0</v>
      </c>
      <c r="X8" s="236">
        <v>9.0</v>
      </c>
      <c r="Y8" s="236">
        <v>9.0</v>
      </c>
      <c r="Z8" s="248">
        <v>9.0</v>
      </c>
      <c r="AA8" s="248"/>
      <c r="AB8" s="236"/>
      <c r="AC8" s="236">
        <v>9.0</v>
      </c>
      <c r="AD8" s="236">
        <v>9.0</v>
      </c>
      <c r="AE8" s="236">
        <v>9.0</v>
      </c>
      <c r="AF8" s="236">
        <v>9.0</v>
      </c>
      <c r="AG8" s="248">
        <v>9.0</v>
      </c>
      <c r="AH8" s="248"/>
      <c r="AI8" s="236"/>
      <c r="AJ8" s="236">
        <v>9.0</v>
      </c>
      <c r="AK8" s="236">
        <v>9.0</v>
      </c>
      <c r="AL8" s="243">
        <f t="shared" si="3"/>
        <v>20</v>
      </c>
      <c r="AM8" s="249">
        <f t="shared" si="2"/>
        <v>198</v>
      </c>
      <c r="AN8" s="225"/>
    </row>
    <row r="9" ht="14.25" customHeight="1">
      <c r="A9" s="236">
        <v>5.0</v>
      </c>
      <c r="B9" s="246" t="s">
        <v>36</v>
      </c>
      <c r="C9" s="239">
        <v>1.0</v>
      </c>
      <c r="D9" s="247" t="s">
        <v>180</v>
      </c>
      <c r="E9" s="239" t="s">
        <v>33</v>
      </c>
      <c r="F9" s="240" t="s">
        <v>30</v>
      </c>
      <c r="G9" s="236"/>
      <c r="H9" s="236">
        <v>9.0</v>
      </c>
      <c r="I9" s="236">
        <v>9.0</v>
      </c>
      <c r="J9" s="236">
        <v>9.0</v>
      </c>
      <c r="K9" s="236">
        <v>9.0</v>
      </c>
      <c r="L9" s="248">
        <v>9.0</v>
      </c>
      <c r="M9" s="248"/>
      <c r="N9" s="236"/>
      <c r="O9" s="236">
        <v>9.0</v>
      </c>
      <c r="P9" s="236">
        <v>9.0</v>
      </c>
      <c r="Q9" s="236">
        <v>9.0</v>
      </c>
      <c r="R9" s="236">
        <v>9.0</v>
      </c>
      <c r="S9" s="248">
        <v>9.0</v>
      </c>
      <c r="T9" s="248"/>
      <c r="U9" s="236"/>
      <c r="V9" s="236">
        <v>9.0</v>
      </c>
      <c r="W9" s="236">
        <v>9.0</v>
      </c>
      <c r="X9" s="236">
        <v>9.0</v>
      </c>
      <c r="Y9" s="236">
        <v>9.0</v>
      </c>
      <c r="Z9" s="248">
        <v>9.0</v>
      </c>
      <c r="AA9" s="248"/>
      <c r="AB9" s="236"/>
      <c r="AC9" s="236">
        <v>9.0</v>
      </c>
      <c r="AD9" s="236">
        <v>9.0</v>
      </c>
      <c r="AE9" s="236">
        <v>9.0</v>
      </c>
      <c r="AF9" s="236">
        <v>9.0</v>
      </c>
      <c r="AG9" s="248">
        <v>9.0</v>
      </c>
      <c r="AH9" s="248"/>
      <c r="AI9" s="236"/>
      <c r="AJ9" s="236">
        <v>9.0</v>
      </c>
      <c r="AK9" s="236">
        <v>9.0</v>
      </c>
      <c r="AL9" s="243">
        <f t="shared" si="3"/>
        <v>20</v>
      </c>
      <c r="AM9" s="249">
        <f t="shared" si="2"/>
        <v>198</v>
      </c>
      <c r="AN9" s="225"/>
    </row>
    <row r="10" ht="14.25" customHeight="1">
      <c r="A10" s="245">
        <v>6.0</v>
      </c>
      <c r="B10" s="237" t="s">
        <v>38</v>
      </c>
      <c r="C10" s="239">
        <v>1.0</v>
      </c>
      <c r="D10" s="251" t="s">
        <v>183</v>
      </c>
      <c r="E10" s="239" t="s">
        <v>40</v>
      </c>
      <c r="F10" s="240" t="s">
        <v>30</v>
      </c>
      <c r="G10" s="236">
        <v>12.0</v>
      </c>
      <c r="H10" s="236">
        <v>12.0</v>
      </c>
      <c r="I10" s="236"/>
      <c r="J10" s="236"/>
      <c r="K10" s="236">
        <v>12.0</v>
      </c>
      <c r="L10" s="248">
        <v>12.0</v>
      </c>
      <c r="M10" s="248">
        <v>12.0</v>
      </c>
      <c r="N10" s="236">
        <v>12.0</v>
      </c>
      <c r="O10" s="236"/>
      <c r="P10" s="236"/>
      <c r="Q10" s="236"/>
      <c r="R10" s="236"/>
      <c r="S10" s="248">
        <v>12.0</v>
      </c>
      <c r="T10" s="248">
        <v>12.0</v>
      </c>
      <c r="U10" s="236">
        <v>12.0</v>
      </c>
      <c r="V10" s="236">
        <v>12.0</v>
      </c>
      <c r="W10" s="236"/>
      <c r="X10" s="236">
        <v>12.0</v>
      </c>
      <c r="Y10" s="236">
        <v>12.0</v>
      </c>
      <c r="Z10" s="248">
        <v>12.0</v>
      </c>
      <c r="AA10" s="248">
        <v>12.0</v>
      </c>
      <c r="AB10" s="236">
        <v>12.0</v>
      </c>
      <c r="AC10" s="236">
        <v>12.0</v>
      </c>
      <c r="AD10" s="236"/>
      <c r="AE10" s="236"/>
      <c r="AF10" s="236"/>
      <c r="AG10" s="248">
        <v>12.0</v>
      </c>
      <c r="AH10" s="248">
        <v>12.0</v>
      </c>
      <c r="AI10" s="236">
        <v>12.0</v>
      </c>
      <c r="AJ10" s="236">
        <v>12.0</v>
      </c>
      <c r="AK10" s="236"/>
      <c r="AL10" s="243">
        <f>COUNTA(G10:AK10)</f>
        <v>20</v>
      </c>
      <c r="AM10" s="249">
        <f t="shared" si="2"/>
        <v>240</v>
      </c>
      <c r="AN10" s="225"/>
    </row>
    <row r="11" ht="14.25" customHeight="1">
      <c r="A11" s="232"/>
      <c r="B11" s="233" t="s">
        <v>41</v>
      </c>
      <c r="C11" s="234"/>
      <c r="D11" s="233" t="s">
        <v>41</v>
      </c>
      <c r="E11" s="234"/>
      <c r="F11" s="253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34"/>
      <c r="AM11" s="255"/>
      <c r="AN11" s="225"/>
    </row>
    <row r="12" ht="14.25" customHeight="1">
      <c r="A12" s="236">
        <v>7.0</v>
      </c>
      <c r="B12" s="237" t="s">
        <v>214</v>
      </c>
      <c r="C12" s="238">
        <v>1.0</v>
      </c>
      <c r="D12" s="237" t="s">
        <v>215</v>
      </c>
      <c r="E12" s="238" t="s">
        <v>182</v>
      </c>
      <c r="F12" s="256" t="s">
        <v>65</v>
      </c>
      <c r="G12" s="238"/>
      <c r="H12" s="238"/>
      <c r="I12" s="238"/>
      <c r="J12" s="238"/>
      <c r="K12" s="238"/>
      <c r="L12" s="257"/>
      <c r="M12" s="257"/>
      <c r="N12" s="238"/>
      <c r="O12" s="238"/>
      <c r="P12" s="238"/>
      <c r="Q12" s="238"/>
      <c r="R12" s="238"/>
      <c r="S12" s="257"/>
      <c r="T12" s="257"/>
      <c r="U12" s="238"/>
      <c r="V12" s="238"/>
      <c r="W12" s="238"/>
      <c r="X12" s="238"/>
      <c r="Y12" s="238"/>
      <c r="Z12" s="257"/>
      <c r="AA12" s="257"/>
      <c r="AB12" s="238"/>
      <c r="AC12" s="238"/>
      <c r="AD12" s="238"/>
      <c r="AE12" s="238"/>
      <c r="AF12" s="238"/>
      <c r="AG12" s="258"/>
      <c r="AH12" s="258"/>
      <c r="AI12" s="259"/>
      <c r="AJ12" s="259"/>
      <c r="AK12" s="259"/>
      <c r="AL12" s="243">
        <f>COUNTA(G12:AG12)</f>
        <v>0</v>
      </c>
      <c r="AM12" s="249">
        <f t="shared" ref="AM12:AM19" si="4">SUM(G12:AL12)</f>
        <v>0</v>
      </c>
      <c r="AN12" s="225"/>
    </row>
    <row r="13" ht="14.25" customHeight="1">
      <c r="A13" s="236">
        <v>8.0</v>
      </c>
      <c r="B13" s="246" t="s">
        <v>53</v>
      </c>
      <c r="C13" s="239">
        <v>1.0</v>
      </c>
      <c r="D13" s="247" t="s">
        <v>54</v>
      </c>
      <c r="E13" s="239" t="s">
        <v>55</v>
      </c>
      <c r="F13" s="256" t="s">
        <v>46</v>
      </c>
      <c r="G13" s="236">
        <v>12.0</v>
      </c>
      <c r="H13" s="236"/>
      <c r="I13" s="236"/>
      <c r="J13" s="236">
        <v>12.0</v>
      </c>
      <c r="K13" s="236">
        <v>12.0</v>
      </c>
      <c r="L13" s="248">
        <v>12.0</v>
      </c>
      <c r="M13" s="248">
        <v>12.0</v>
      </c>
      <c r="N13" s="236">
        <v>12.0</v>
      </c>
      <c r="O13" s="236">
        <v>12.0</v>
      </c>
      <c r="P13" s="236"/>
      <c r="Q13" s="236"/>
      <c r="R13" s="236">
        <v>12.0</v>
      </c>
      <c r="S13" s="248">
        <v>12.0</v>
      </c>
      <c r="T13" s="248">
        <v>12.0</v>
      </c>
      <c r="U13" s="236">
        <v>12.0</v>
      </c>
      <c r="V13" s="236">
        <v>12.0</v>
      </c>
      <c r="W13" s="236"/>
      <c r="X13" s="236">
        <v>12.0</v>
      </c>
      <c r="Y13" s="236">
        <v>12.0</v>
      </c>
      <c r="Z13" s="248">
        <v>12.0</v>
      </c>
      <c r="AA13" s="248">
        <v>12.0</v>
      </c>
      <c r="AB13" s="236">
        <v>12.0</v>
      </c>
      <c r="AC13" s="236">
        <v>12.0</v>
      </c>
      <c r="AD13" s="236">
        <v>12.0</v>
      </c>
      <c r="AE13" s="236"/>
      <c r="AF13" s="236">
        <v>12.0</v>
      </c>
      <c r="AG13" s="248">
        <v>12.0</v>
      </c>
      <c r="AH13" s="248">
        <v>12.0</v>
      </c>
      <c r="AI13" s="236">
        <v>12.0</v>
      </c>
      <c r="AJ13" s="236">
        <v>12.0</v>
      </c>
      <c r="AK13" s="236">
        <v>12.0</v>
      </c>
      <c r="AL13" s="243">
        <f>COUNTA(G13:AK13)</f>
        <v>25</v>
      </c>
      <c r="AM13" s="249">
        <f t="shared" si="4"/>
        <v>325</v>
      </c>
      <c r="AN13" s="225" t="s">
        <v>207</v>
      </c>
    </row>
    <row r="14" ht="14.25" customHeight="1">
      <c r="A14" s="236">
        <v>9.0</v>
      </c>
      <c r="B14" s="246" t="s">
        <v>49</v>
      </c>
      <c r="C14" s="239">
        <v>1.0</v>
      </c>
      <c r="D14" s="247" t="s">
        <v>59</v>
      </c>
      <c r="E14" s="239" t="s">
        <v>51</v>
      </c>
      <c r="F14" s="256" t="s">
        <v>52</v>
      </c>
      <c r="G14" s="236"/>
      <c r="H14" s="236"/>
      <c r="I14" s="236"/>
      <c r="J14" s="236"/>
      <c r="K14" s="236"/>
      <c r="L14" s="248"/>
      <c r="M14" s="248"/>
      <c r="N14" s="236"/>
      <c r="O14" s="236"/>
      <c r="P14" s="236"/>
      <c r="Q14" s="236"/>
      <c r="R14" s="236"/>
      <c r="S14" s="248"/>
      <c r="T14" s="248"/>
      <c r="U14" s="236"/>
      <c r="V14" s="236"/>
      <c r="W14" s="236"/>
      <c r="X14" s="236"/>
      <c r="Y14" s="236"/>
      <c r="Z14" s="248"/>
      <c r="AA14" s="248"/>
      <c r="AB14" s="236"/>
      <c r="AC14" s="236"/>
      <c r="AD14" s="236"/>
      <c r="AE14" s="236"/>
      <c r="AF14" s="236"/>
      <c r="AG14" s="248"/>
      <c r="AH14" s="248"/>
      <c r="AI14" s="236"/>
      <c r="AJ14" s="236"/>
      <c r="AK14" s="236"/>
      <c r="AL14" s="243">
        <f>COUNTA(G14:AG14)</f>
        <v>0</v>
      </c>
      <c r="AM14" s="249">
        <f t="shared" si="4"/>
        <v>0</v>
      </c>
      <c r="AN14" s="225" t="s">
        <v>207</v>
      </c>
    </row>
    <row r="15" ht="14.25" customHeight="1">
      <c r="A15" s="236">
        <v>10.0</v>
      </c>
      <c r="B15" s="246" t="s">
        <v>49</v>
      </c>
      <c r="C15" s="239">
        <v>1.0</v>
      </c>
      <c r="D15" s="247" t="s">
        <v>60</v>
      </c>
      <c r="E15" s="239" t="s">
        <v>51</v>
      </c>
      <c r="F15" s="256" t="s">
        <v>52</v>
      </c>
      <c r="G15" s="236">
        <v>24.0</v>
      </c>
      <c r="H15" s="236"/>
      <c r="I15" s="236">
        <v>24.0</v>
      </c>
      <c r="J15" s="236"/>
      <c r="K15" s="236">
        <v>24.0</v>
      </c>
      <c r="L15" s="248"/>
      <c r="M15" s="248">
        <v>24.0</v>
      </c>
      <c r="N15" s="236"/>
      <c r="O15" s="236">
        <v>24.0</v>
      </c>
      <c r="P15" s="236"/>
      <c r="Q15" s="236">
        <v>24.0</v>
      </c>
      <c r="R15" s="236"/>
      <c r="S15" s="248">
        <v>24.0</v>
      </c>
      <c r="T15" s="248"/>
      <c r="U15" s="236">
        <v>24.0</v>
      </c>
      <c r="V15" s="236"/>
      <c r="W15" s="236">
        <v>24.0</v>
      </c>
      <c r="X15" s="236"/>
      <c r="Y15" s="236">
        <v>24.0</v>
      </c>
      <c r="Z15" s="248"/>
      <c r="AA15" s="248">
        <v>24.0</v>
      </c>
      <c r="AB15" s="236"/>
      <c r="AC15" s="236">
        <v>24.0</v>
      </c>
      <c r="AD15" s="236"/>
      <c r="AE15" s="236">
        <v>24.0</v>
      </c>
      <c r="AF15" s="236"/>
      <c r="AG15" s="248">
        <v>24.0</v>
      </c>
      <c r="AH15" s="248"/>
      <c r="AI15" s="236">
        <v>24.0</v>
      </c>
      <c r="AJ15" s="236"/>
      <c r="AK15" s="236">
        <v>24.0</v>
      </c>
      <c r="AL15" s="243">
        <f t="shared" ref="AL15:AL16" si="5">COUNTA(G15:AK15)</f>
        <v>16</v>
      </c>
      <c r="AM15" s="249">
        <f t="shared" si="4"/>
        <v>400</v>
      </c>
      <c r="AN15" s="225"/>
    </row>
    <row r="16" ht="14.25" customHeight="1">
      <c r="A16" s="236">
        <v>11.0</v>
      </c>
      <c r="B16" s="246" t="s">
        <v>49</v>
      </c>
      <c r="C16" s="239">
        <v>1.0</v>
      </c>
      <c r="D16" s="247" t="s">
        <v>56</v>
      </c>
      <c r="E16" s="239" t="s">
        <v>216</v>
      </c>
      <c r="F16" s="256" t="s">
        <v>52</v>
      </c>
      <c r="G16" s="236"/>
      <c r="H16" s="236">
        <v>24.0</v>
      </c>
      <c r="I16" s="236"/>
      <c r="J16" s="236">
        <v>24.0</v>
      </c>
      <c r="K16" s="236"/>
      <c r="L16" s="248">
        <v>24.0</v>
      </c>
      <c r="M16" s="248"/>
      <c r="N16" s="236">
        <v>24.0</v>
      </c>
      <c r="O16" s="236"/>
      <c r="P16" s="236">
        <v>24.0</v>
      </c>
      <c r="Q16" s="236"/>
      <c r="R16" s="236">
        <v>24.0</v>
      </c>
      <c r="S16" s="248"/>
      <c r="T16" s="248">
        <v>24.0</v>
      </c>
      <c r="U16" s="236"/>
      <c r="V16" s="236">
        <v>24.0</v>
      </c>
      <c r="W16" s="236"/>
      <c r="X16" s="236">
        <v>24.0</v>
      </c>
      <c r="Y16" s="236"/>
      <c r="Z16" s="248">
        <v>24.0</v>
      </c>
      <c r="AA16" s="248"/>
      <c r="AB16" s="236">
        <v>24.0</v>
      </c>
      <c r="AC16" s="236"/>
      <c r="AD16" s="236">
        <v>24.0</v>
      </c>
      <c r="AE16" s="236"/>
      <c r="AF16" s="236">
        <v>24.0</v>
      </c>
      <c r="AG16" s="248"/>
      <c r="AH16" s="248">
        <v>24.0</v>
      </c>
      <c r="AI16" s="236"/>
      <c r="AJ16" s="236">
        <v>24.0</v>
      </c>
      <c r="AK16" s="236"/>
      <c r="AL16" s="243">
        <f t="shared" si="5"/>
        <v>15</v>
      </c>
      <c r="AM16" s="249">
        <f t="shared" si="4"/>
        <v>375</v>
      </c>
      <c r="AN16" s="225"/>
    </row>
    <row r="17" ht="14.25" customHeight="1">
      <c r="A17" s="236">
        <v>12.0</v>
      </c>
      <c r="B17" s="246" t="s">
        <v>62</v>
      </c>
      <c r="C17" s="239">
        <v>1.0</v>
      </c>
      <c r="D17" s="261" t="s">
        <v>63</v>
      </c>
      <c r="E17" s="239" t="s">
        <v>64</v>
      </c>
      <c r="F17" s="256" t="s">
        <v>65</v>
      </c>
      <c r="G17" s="238"/>
      <c r="H17" s="238"/>
      <c r="I17" s="238"/>
      <c r="J17" s="238"/>
      <c r="K17" s="238"/>
      <c r="L17" s="257"/>
      <c r="M17" s="257"/>
      <c r="N17" s="238"/>
      <c r="O17" s="238"/>
      <c r="P17" s="238"/>
      <c r="Q17" s="238"/>
      <c r="R17" s="238"/>
      <c r="S17" s="257"/>
      <c r="T17" s="257"/>
      <c r="U17" s="238"/>
      <c r="V17" s="238"/>
      <c r="W17" s="238"/>
      <c r="X17" s="238"/>
      <c r="Y17" s="238"/>
      <c r="Z17" s="257"/>
      <c r="AA17" s="257"/>
      <c r="AB17" s="238"/>
      <c r="AC17" s="238"/>
      <c r="AD17" s="238"/>
      <c r="AE17" s="238"/>
      <c r="AF17" s="238"/>
      <c r="AG17" s="258"/>
      <c r="AH17" s="258"/>
      <c r="AI17" s="259"/>
      <c r="AJ17" s="259"/>
      <c r="AK17" s="259"/>
      <c r="AL17" s="243">
        <f>COUNTA(G17:AG17)</f>
        <v>0</v>
      </c>
      <c r="AM17" s="249">
        <f t="shared" si="4"/>
        <v>0</v>
      </c>
      <c r="AN17" s="225" t="s">
        <v>207</v>
      </c>
    </row>
    <row r="18" ht="14.25" customHeight="1">
      <c r="A18" s="236">
        <v>13.0</v>
      </c>
      <c r="B18" s="246" t="s">
        <v>67</v>
      </c>
      <c r="C18" s="239">
        <v>1.0</v>
      </c>
      <c r="D18" s="247" t="s">
        <v>217</v>
      </c>
      <c r="E18" s="239" t="s">
        <v>40</v>
      </c>
      <c r="F18" s="240" t="s">
        <v>30</v>
      </c>
      <c r="G18" s="236"/>
      <c r="H18" s="236"/>
      <c r="I18" s="236"/>
      <c r="J18" s="236"/>
      <c r="K18" s="236"/>
      <c r="L18" s="248">
        <v>12.0</v>
      </c>
      <c r="M18" s="248">
        <v>12.0</v>
      </c>
      <c r="N18" s="236">
        <v>12.0</v>
      </c>
      <c r="O18" s="236">
        <v>12.0</v>
      </c>
      <c r="P18" s="236"/>
      <c r="Q18" s="236">
        <v>12.0</v>
      </c>
      <c r="R18" s="236">
        <v>12.0</v>
      </c>
      <c r="S18" s="248">
        <v>12.0</v>
      </c>
      <c r="T18" s="248">
        <v>12.0</v>
      </c>
      <c r="U18" s="236">
        <v>12.0</v>
      </c>
      <c r="V18" s="236"/>
      <c r="W18" s="236">
        <v>12.0</v>
      </c>
      <c r="X18" s="236">
        <v>12.0</v>
      </c>
      <c r="Y18" s="236">
        <v>12.0</v>
      </c>
      <c r="Z18" s="248">
        <v>12.0</v>
      </c>
      <c r="AA18" s="248">
        <v>12.0</v>
      </c>
      <c r="AB18" s="236">
        <v>12.0</v>
      </c>
      <c r="AC18" s="236"/>
      <c r="AD18" s="236"/>
      <c r="AE18" s="236">
        <v>12.0</v>
      </c>
      <c r="AF18" s="236">
        <v>12.0</v>
      </c>
      <c r="AG18" s="248">
        <v>12.0</v>
      </c>
      <c r="AH18" s="248"/>
      <c r="AI18" s="236"/>
      <c r="AJ18" s="236"/>
      <c r="AK18" s="236"/>
      <c r="AL18" s="243">
        <f>COUNTA(G18:AK18)</f>
        <v>18</v>
      </c>
      <c r="AM18" s="249">
        <f t="shared" si="4"/>
        <v>234</v>
      </c>
      <c r="AN18" s="225" t="s">
        <v>207</v>
      </c>
    </row>
    <row r="19" ht="14.25" customHeight="1">
      <c r="A19" s="236">
        <v>14.0</v>
      </c>
      <c r="B19" s="246" t="s">
        <v>71</v>
      </c>
      <c r="C19" s="239">
        <v>1.0</v>
      </c>
      <c r="D19" s="247" t="s">
        <v>76</v>
      </c>
      <c r="E19" s="239" t="s">
        <v>73</v>
      </c>
      <c r="F19" s="240" t="s">
        <v>26</v>
      </c>
      <c r="G19" s="236">
        <v>12.0</v>
      </c>
      <c r="H19" s="236">
        <v>12.0</v>
      </c>
      <c r="I19" s="236">
        <v>12.0</v>
      </c>
      <c r="J19" s="236"/>
      <c r="K19" s="236">
        <v>12.0</v>
      </c>
      <c r="L19" s="248">
        <v>12.0</v>
      </c>
      <c r="M19" s="248">
        <v>12.0</v>
      </c>
      <c r="N19" s="236">
        <v>12.0</v>
      </c>
      <c r="O19" s="236">
        <v>12.0</v>
      </c>
      <c r="P19" s="236"/>
      <c r="Q19" s="236">
        <v>12.0</v>
      </c>
      <c r="R19" s="236">
        <v>12.0</v>
      </c>
      <c r="S19" s="248">
        <v>12.0</v>
      </c>
      <c r="T19" s="248">
        <v>12.0</v>
      </c>
      <c r="U19" s="236">
        <v>12.0</v>
      </c>
      <c r="V19" s="236">
        <v>12.0</v>
      </c>
      <c r="W19" s="236"/>
      <c r="X19" s="236">
        <v>18.0</v>
      </c>
      <c r="Y19" s="236">
        <v>12.0</v>
      </c>
      <c r="Z19" s="248">
        <v>12.0</v>
      </c>
      <c r="AA19" s="248">
        <v>12.0</v>
      </c>
      <c r="AB19" s="236">
        <v>12.0</v>
      </c>
      <c r="AC19" s="236">
        <v>12.0</v>
      </c>
      <c r="AD19" s="236"/>
      <c r="AE19" s="236">
        <v>12.0</v>
      </c>
      <c r="AF19" s="236">
        <v>12.0</v>
      </c>
      <c r="AG19" s="248">
        <v>12.0</v>
      </c>
      <c r="AH19" s="248">
        <v>12.0</v>
      </c>
      <c r="AI19" s="236">
        <v>12.0</v>
      </c>
      <c r="AJ19" s="236">
        <v>12.0</v>
      </c>
      <c r="AK19" s="236"/>
      <c r="AL19" s="243">
        <v>26.5</v>
      </c>
      <c r="AM19" s="249">
        <f t="shared" si="4"/>
        <v>344.5</v>
      </c>
      <c r="AN19" s="225" t="s">
        <v>207</v>
      </c>
    </row>
    <row r="20" ht="14.25" customHeight="1">
      <c r="A20" s="232"/>
      <c r="B20" s="233" t="s">
        <v>78</v>
      </c>
      <c r="C20" s="234"/>
      <c r="D20" s="262" t="s">
        <v>78</v>
      </c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25"/>
    </row>
    <row r="21" ht="14.25" customHeight="1">
      <c r="A21" s="245">
        <v>16.0</v>
      </c>
      <c r="B21" s="246" t="s">
        <v>218</v>
      </c>
      <c r="C21" s="239">
        <v>1.0</v>
      </c>
      <c r="D21" s="251" t="s">
        <v>82</v>
      </c>
      <c r="E21" s="239" t="s">
        <v>83</v>
      </c>
      <c r="F21" s="240" t="s">
        <v>85</v>
      </c>
      <c r="G21" s="236"/>
      <c r="H21" s="236">
        <v>24.0</v>
      </c>
      <c r="I21" s="245"/>
      <c r="J21" s="245">
        <v>24.0</v>
      </c>
      <c r="K21" s="245"/>
      <c r="L21" s="248">
        <v>24.0</v>
      </c>
      <c r="M21" s="248"/>
      <c r="N21" s="236">
        <v>24.0</v>
      </c>
      <c r="O21" s="236"/>
      <c r="P21" s="245">
        <v>24.0</v>
      </c>
      <c r="Q21" s="245"/>
      <c r="R21" s="245">
        <v>24.0</v>
      </c>
      <c r="S21" s="248"/>
      <c r="T21" s="248">
        <v>24.0</v>
      </c>
      <c r="U21" s="236"/>
      <c r="V21" s="236"/>
      <c r="W21" s="245"/>
      <c r="X21" s="245"/>
      <c r="Y21" s="245">
        <v>24.0</v>
      </c>
      <c r="Z21" s="248"/>
      <c r="AA21" s="248"/>
      <c r="AB21" s="236">
        <v>24.0</v>
      </c>
      <c r="AC21" s="236"/>
      <c r="AD21" s="245"/>
      <c r="AE21" s="245">
        <v>24.0</v>
      </c>
      <c r="AF21" s="245"/>
      <c r="AG21" s="248"/>
      <c r="AH21" s="248">
        <v>24.0</v>
      </c>
      <c r="AI21" s="236"/>
      <c r="AJ21" s="236"/>
      <c r="AK21" s="236">
        <v>24.0</v>
      </c>
      <c r="AL21" s="243">
        <f t="shared" ref="AL21:AL32" si="6">COUNTA(G21:AK21)</f>
        <v>12</v>
      </c>
      <c r="AM21" s="249">
        <f t="shared" ref="AM21:AM40" si="7">SUM(G21:AK21)</f>
        <v>288</v>
      </c>
      <c r="AN21" s="225" t="s">
        <v>207</v>
      </c>
    </row>
    <row r="22" ht="14.25" customHeight="1">
      <c r="A22" s="245">
        <v>17.0</v>
      </c>
      <c r="B22" s="246" t="s">
        <v>86</v>
      </c>
      <c r="C22" s="239">
        <v>1.0</v>
      </c>
      <c r="D22" s="263" t="s">
        <v>219</v>
      </c>
      <c r="E22" s="239" t="s">
        <v>83</v>
      </c>
      <c r="F22" s="240" t="s">
        <v>85</v>
      </c>
      <c r="G22" s="236"/>
      <c r="H22" s="236"/>
      <c r="I22" s="245"/>
      <c r="J22" s="245"/>
      <c r="K22" s="264"/>
      <c r="L22" s="248"/>
      <c r="M22" s="248"/>
      <c r="N22" s="236"/>
      <c r="O22" s="236"/>
      <c r="P22" s="245"/>
      <c r="Q22" s="245"/>
      <c r="R22" s="264"/>
      <c r="S22" s="248"/>
      <c r="T22" s="248"/>
      <c r="U22" s="236"/>
      <c r="V22" s="236"/>
      <c r="W22" s="245"/>
      <c r="X22" s="245">
        <v>24.0</v>
      </c>
      <c r="Y22" s="264"/>
      <c r="Z22" s="248">
        <v>24.0</v>
      </c>
      <c r="AA22" s="248"/>
      <c r="AB22" s="236"/>
      <c r="AC22" s="236">
        <v>24.0</v>
      </c>
      <c r="AD22" s="245"/>
      <c r="AE22" s="245"/>
      <c r="AF22" s="245">
        <v>24.0</v>
      </c>
      <c r="AG22" s="248"/>
      <c r="AH22" s="248"/>
      <c r="AI22" s="236">
        <v>24.0</v>
      </c>
      <c r="AJ22" s="236"/>
      <c r="AK22" s="236"/>
      <c r="AL22" s="243">
        <f t="shared" si="6"/>
        <v>5</v>
      </c>
      <c r="AM22" s="249">
        <f t="shared" si="7"/>
        <v>120</v>
      </c>
      <c r="AN22" s="225" t="s">
        <v>207</v>
      </c>
    </row>
    <row r="23" ht="14.25" customHeight="1">
      <c r="A23" s="245">
        <v>18.0</v>
      </c>
      <c r="B23" s="246" t="s">
        <v>86</v>
      </c>
      <c r="C23" s="265">
        <v>1.0</v>
      </c>
      <c r="D23" s="263" t="s">
        <v>198</v>
      </c>
      <c r="E23" s="239" t="s">
        <v>83</v>
      </c>
      <c r="F23" s="240" t="s">
        <v>85</v>
      </c>
      <c r="G23" s="266">
        <v>24.0</v>
      </c>
      <c r="H23" s="236"/>
      <c r="I23" s="245">
        <v>24.0</v>
      </c>
      <c r="J23" s="264"/>
      <c r="K23" s="245">
        <v>24.0</v>
      </c>
      <c r="L23" s="248"/>
      <c r="M23" s="248">
        <v>24.0</v>
      </c>
      <c r="N23" s="236"/>
      <c r="O23" s="236">
        <v>24.0</v>
      </c>
      <c r="P23" s="245"/>
      <c r="Q23" s="245">
        <v>24.0</v>
      </c>
      <c r="R23" s="264"/>
      <c r="S23" s="248">
        <v>24.0</v>
      </c>
      <c r="T23" s="248"/>
      <c r="U23" s="236">
        <v>24.0</v>
      </c>
      <c r="V23" s="236"/>
      <c r="W23" s="245">
        <v>24.0</v>
      </c>
      <c r="X23" s="264"/>
      <c r="Y23" s="264">
        <v>17.0</v>
      </c>
      <c r="Z23" s="248"/>
      <c r="AA23" s="248">
        <v>24.0</v>
      </c>
      <c r="AB23" s="236"/>
      <c r="AC23" s="236"/>
      <c r="AD23" s="245">
        <v>24.0</v>
      </c>
      <c r="AE23" s="264"/>
      <c r="AF23" s="264"/>
      <c r="AG23" s="248">
        <v>24.0</v>
      </c>
      <c r="AH23" s="248"/>
      <c r="AI23" s="236"/>
      <c r="AJ23" s="236">
        <v>24.0</v>
      </c>
      <c r="AK23" s="236"/>
      <c r="AL23" s="243">
        <f t="shared" si="6"/>
        <v>14</v>
      </c>
      <c r="AM23" s="249">
        <f t="shared" si="7"/>
        <v>329</v>
      </c>
      <c r="AN23" s="225"/>
    </row>
    <row r="24" ht="14.25" customHeight="1">
      <c r="A24" s="245">
        <v>19.0</v>
      </c>
      <c r="B24" s="246" t="s">
        <v>95</v>
      </c>
      <c r="C24" s="265">
        <v>1.0</v>
      </c>
      <c r="D24" s="263" t="s">
        <v>97</v>
      </c>
      <c r="E24" s="239" t="s">
        <v>102</v>
      </c>
      <c r="F24" s="267" t="s">
        <v>85</v>
      </c>
      <c r="G24" s="236"/>
      <c r="H24" s="236">
        <v>24.0</v>
      </c>
      <c r="I24" s="236"/>
      <c r="J24" s="236"/>
      <c r="K24" s="236"/>
      <c r="L24" s="248">
        <v>17.0</v>
      </c>
      <c r="M24" s="248">
        <v>17.0</v>
      </c>
      <c r="N24" s="236">
        <v>17.0</v>
      </c>
      <c r="O24" s="236"/>
      <c r="P24" s="236">
        <v>24.0</v>
      </c>
      <c r="Q24" s="236"/>
      <c r="R24" s="236"/>
      <c r="S24" s="248"/>
      <c r="T24" s="248">
        <v>24.0</v>
      </c>
      <c r="U24" s="236">
        <v>24.0</v>
      </c>
      <c r="V24" s="236"/>
      <c r="W24" s="236"/>
      <c r="X24" s="236">
        <v>24.0</v>
      </c>
      <c r="Y24" s="236"/>
      <c r="Z24" s="248">
        <v>24.0</v>
      </c>
      <c r="AA24" s="248"/>
      <c r="AB24" s="236">
        <v>24.0</v>
      </c>
      <c r="AC24" s="236"/>
      <c r="AD24" s="236"/>
      <c r="AE24" s="236">
        <v>24.0</v>
      </c>
      <c r="AF24" s="236"/>
      <c r="AG24" s="248"/>
      <c r="AH24" s="248">
        <v>24.0</v>
      </c>
      <c r="AI24" s="236"/>
      <c r="AJ24" s="236"/>
      <c r="AK24" s="236">
        <v>24.0</v>
      </c>
      <c r="AL24" s="243">
        <f t="shared" si="6"/>
        <v>13</v>
      </c>
      <c r="AM24" s="249">
        <f t="shared" si="7"/>
        <v>291</v>
      </c>
      <c r="AN24" s="225" t="s">
        <v>207</v>
      </c>
    </row>
    <row r="25" ht="14.25" customHeight="1">
      <c r="A25" s="245">
        <v>20.0</v>
      </c>
      <c r="B25" s="246" t="s">
        <v>95</v>
      </c>
      <c r="C25" s="265">
        <v>1.0</v>
      </c>
      <c r="D25" s="263" t="s">
        <v>221</v>
      </c>
      <c r="E25" s="239" t="s">
        <v>102</v>
      </c>
      <c r="F25" s="88"/>
      <c r="G25" s="236"/>
      <c r="H25" s="236"/>
      <c r="I25" s="236">
        <v>24.0</v>
      </c>
      <c r="J25" s="236"/>
      <c r="K25" s="236"/>
      <c r="L25" s="248">
        <v>24.0</v>
      </c>
      <c r="M25" s="248"/>
      <c r="N25" s="236"/>
      <c r="O25" s="236">
        <v>24.0</v>
      </c>
      <c r="P25" s="236"/>
      <c r="Q25" s="236"/>
      <c r="R25" s="236">
        <v>24.0</v>
      </c>
      <c r="S25" s="248"/>
      <c r="T25" s="248">
        <v>17.0</v>
      </c>
      <c r="U25" s="236">
        <v>17.0</v>
      </c>
      <c r="V25" s="236"/>
      <c r="W25" s="236">
        <v>24.0</v>
      </c>
      <c r="X25" s="236"/>
      <c r="Y25" s="236">
        <v>17.0</v>
      </c>
      <c r="Z25" s="248">
        <v>17.0</v>
      </c>
      <c r="AA25" s="248">
        <v>17.0</v>
      </c>
      <c r="AB25" s="236">
        <v>17.0</v>
      </c>
      <c r="AC25" s="236"/>
      <c r="AD25" s="236"/>
      <c r="AE25" s="236"/>
      <c r="AF25" s="236">
        <v>24.0</v>
      </c>
      <c r="AG25" s="248">
        <v>17.0</v>
      </c>
      <c r="AH25" s="248"/>
      <c r="AI25" s="236"/>
      <c r="AJ25" s="236">
        <v>24.0</v>
      </c>
      <c r="AK25" s="236"/>
      <c r="AL25" s="243">
        <f t="shared" si="6"/>
        <v>14</v>
      </c>
      <c r="AM25" s="249">
        <f t="shared" si="7"/>
        <v>287</v>
      </c>
      <c r="AN25" s="225" t="s">
        <v>207</v>
      </c>
    </row>
    <row r="26" ht="14.25" customHeight="1">
      <c r="A26" s="245">
        <v>21.0</v>
      </c>
      <c r="B26" s="268" t="s">
        <v>95</v>
      </c>
      <c r="C26" s="265">
        <v>1.0</v>
      </c>
      <c r="D26" s="263" t="s">
        <v>222</v>
      </c>
      <c r="E26" s="239" t="s">
        <v>102</v>
      </c>
      <c r="F26" s="88"/>
      <c r="G26" s="236"/>
      <c r="H26" s="236"/>
      <c r="I26" s="236"/>
      <c r="J26" s="236">
        <v>24.0</v>
      </c>
      <c r="K26" s="236"/>
      <c r="L26" s="248"/>
      <c r="M26" s="248">
        <v>24.0</v>
      </c>
      <c r="N26" s="236"/>
      <c r="O26" s="236"/>
      <c r="P26" s="236"/>
      <c r="Q26" s="236"/>
      <c r="R26" s="236"/>
      <c r="S26" s="248">
        <v>24.0</v>
      </c>
      <c r="T26" s="248"/>
      <c r="U26" s="236"/>
      <c r="V26" s="236">
        <v>24.0</v>
      </c>
      <c r="W26" s="236"/>
      <c r="X26" s="236"/>
      <c r="Y26" s="236">
        <v>24.0</v>
      </c>
      <c r="Z26" s="248"/>
      <c r="AA26" s="248">
        <v>24.0</v>
      </c>
      <c r="AB26" s="236"/>
      <c r="AC26" s="236">
        <v>24.0</v>
      </c>
      <c r="AD26" s="236"/>
      <c r="AE26" s="236"/>
      <c r="AF26" s="236"/>
      <c r="AG26" s="248"/>
      <c r="AH26" s="248"/>
      <c r="AI26" s="236">
        <v>24.0</v>
      </c>
      <c r="AJ26" s="236"/>
      <c r="AK26" s="236"/>
      <c r="AL26" s="243">
        <f t="shared" si="6"/>
        <v>8</v>
      </c>
      <c r="AM26" s="249">
        <f t="shared" si="7"/>
        <v>192</v>
      </c>
      <c r="AN26" s="225" t="s">
        <v>207</v>
      </c>
    </row>
    <row r="27" ht="14.25" customHeight="1">
      <c r="A27" s="245">
        <v>22.0</v>
      </c>
      <c r="B27" s="246" t="s">
        <v>95</v>
      </c>
      <c r="C27" s="265">
        <v>1.0</v>
      </c>
      <c r="D27" s="263" t="s">
        <v>223</v>
      </c>
      <c r="E27" s="239" t="s">
        <v>102</v>
      </c>
      <c r="F27" s="88"/>
      <c r="G27" s="236">
        <v>24.0</v>
      </c>
      <c r="H27" s="236"/>
      <c r="I27" s="236"/>
      <c r="J27" s="236"/>
      <c r="K27" s="236">
        <v>24.0</v>
      </c>
      <c r="L27" s="248"/>
      <c r="M27" s="248"/>
      <c r="N27" s="236">
        <v>24.0</v>
      </c>
      <c r="O27" s="236"/>
      <c r="P27" s="236"/>
      <c r="Q27" s="236">
        <v>24.0</v>
      </c>
      <c r="R27" s="236"/>
      <c r="S27" s="248"/>
      <c r="T27" s="248"/>
      <c r="U27" s="236"/>
      <c r="V27" s="236"/>
      <c r="W27" s="236"/>
      <c r="X27" s="236"/>
      <c r="Y27" s="236"/>
      <c r="Z27" s="248"/>
      <c r="AA27" s="248"/>
      <c r="AB27" s="236"/>
      <c r="AC27" s="236"/>
      <c r="AD27" s="236"/>
      <c r="AE27" s="236"/>
      <c r="AF27" s="236"/>
      <c r="AG27" s="248"/>
      <c r="AH27" s="248"/>
      <c r="AI27" s="236"/>
      <c r="AJ27" s="236"/>
      <c r="AK27" s="236"/>
      <c r="AL27" s="243">
        <f t="shared" si="6"/>
        <v>4</v>
      </c>
      <c r="AM27" s="249">
        <f t="shared" si="7"/>
        <v>96</v>
      </c>
      <c r="AN27" s="225" t="s">
        <v>207</v>
      </c>
    </row>
    <row r="28" ht="14.25" customHeight="1">
      <c r="A28" s="245">
        <v>23.0</v>
      </c>
      <c r="B28" s="246" t="s">
        <v>224</v>
      </c>
      <c r="C28" s="265">
        <v>1.0</v>
      </c>
      <c r="D28" s="263" t="s">
        <v>114</v>
      </c>
      <c r="E28" s="239" t="s">
        <v>102</v>
      </c>
      <c r="F28" s="88"/>
      <c r="G28" s="270" t="s">
        <v>225</v>
      </c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8"/>
      <c r="AD28" s="236">
        <v>17.0</v>
      </c>
      <c r="AE28" s="236">
        <v>17.0</v>
      </c>
      <c r="AF28" s="236">
        <v>17.0</v>
      </c>
      <c r="AG28" s="248"/>
      <c r="AH28" s="248"/>
      <c r="AI28" s="236">
        <v>17.0</v>
      </c>
      <c r="AJ28" s="236">
        <v>17.0</v>
      </c>
      <c r="AK28" s="236">
        <v>17.0</v>
      </c>
      <c r="AL28" s="243">
        <f t="shared" si="6"/>
        <v>7</v>
      </c>
      <c r="AM28" s="249">
        <f t="shared" si="7"/>
        <v>102</v>
      </c>
      <c r="AN28" s="271" t="s">
        <v>226</v>
      </c>
      <c r="AP28" s="1" t="s">
        <v>227</v>
      </c>
    </row>
    <row r="29" ht="14.25" customHeight="1">
      <c r="A29" s="245">
        <v>24.0</v>
      </c>
      <c r="B29" s="246" t="s">
        <v>95</v>
      </c>
      <c r="C29" s="265">
        <v>1.0</v>
      </c>
      <c r="D29" s="263" t="s">
        <v>82</v>
      </c>
      <c r="E29" s="239" t="s">
        <v>102</v>
      </c>
      <c r="F29" s="17"/>
      <c r="G29" s="236"/>
      <c r="H29" s="236"/>
      <c r="I29" s="236"/>
      <c r="J29" s="236"/>
      <c r="K29" s="236"/>
      <c r="L29" s="248"/>
      <c r="M29" s="248"/>
      <c r="N29" s="236"/>
      <c r="O29" s="236"/>
      <c r="P29" s="236"/>
      <c r="Q29" s="236"/>
      <c r="R29" s="236"/>
      <c r="S29" s="248"/>
      <c r="T29" s="248"/>
      <c r="U29" s="236"/>
      <c r="V29" s="236"/>
      <c r="W29" s="236"/>
      <c r="X29" s="236"/>
      <c r="Y29" s="236"/>
      <c r="Z29" s="248"/>
      <c r="AA29" s="248"/>
      <c r="AB29" s="236"/>
      <c r="AC29" s="236"/>
      <c r="AD29" s="236">
        <v>12.0</v>
      </c>
      <c r="AE29" s="236"/>
      <c r="AF29" s="236"/>
      <c r="AG29" s="248"/>
      <c r="AH29" s="248"/>
      <c r="AI29" s="236"/>
      <c r="AJ29" s="236"/>
      <c r="AK29" s="236"/>
      <c r="AL29" s="243">
        <f t="shared" si="6"/>
        <v>1</v>
      </c>
      <c r="AM29" s="249">
        <f t="shared" si="7"/>
        <v>12</v>
      </c>
      <c r="AN29" s="225"/>
    </row>
    <row r="30" ht="14.25" customHeight="1">
      <c r="A30" s="245">
        <v>25.0</v>
      </c>
      <c r="B30" s="272" t="s">
        <v>184</v>
      </c>
      <c r="C30" s="273">
        <v>1.0</v>
      </c>
      <c r="D30" s="274" t="s">
        <v>63</v>
      </c>
      <c r="E30" s="275" t="s">
        <v>105</v>
      </c>
      <c r="F30" s="276">
        <v>0.4</v>
      </c>
      <c r="G30" s="277"/>
      <c r="H30" s="278"/>
      <c r="I30" s="278"/>
      <c r="J30" s="278"/>
      <c r="K30" s="278"/>
      <c r="L30" s="279"/>
      <c r="M30" s="279"/>
      <c r="N30" s="278"/>
      <c r="O30" s="278"/>
      <c r="P30" s="278"/>
      <c r="Q30" s="278"/>
      <c r="R30" s="278"/>
      <c r="S30" s="279"/>
      <c r="T30" s="279"/>
      <c r="U30" s="278"/>
      <c r="V30" s="278"/>
      <c r="W30" s="278"/>
      <c r="X30" s="278"/>
      <c r="Y30" s="278"/>
      <c r="Z30" s="279"/>
      <c r="AA30" s="279"/>
      <c r="AB30" s="278"/>
      <c r="AC30" s="278"/>
      <c r="AD30" s="278"/>
      <c r="AE30" s="278"/>
      <c r="AF30" s="278"/>
      <c r="AG30" s="279"/>
      <c r="AH30" s="279"/>
      <c r="AI30" s="278"/>
      <c r="AJ30" s="278"/>
      <c r="AK30" s="278"/>
      <c r="AL30" s="243">
        <f t="shared" si="6"/>
        <v>0</v>
      </c>
      <c r="AM30" s="249">
        <f t="shared" si="7"/>
        <v>0</v>
      </c>
      <c r="AN30" s="225"/>
    </row>
    <row r="31" ht="14.25" customHeight="1">
      <c r="A31" s="245">
        <v>26.0</v>
      </c>
      <c r="B31" s="281" t="s">
        <v>184</v>
      </c>
      <c r="C31" s="282">
        <v>1.0</v>
      </c>
      <c r="D31" s="274" t="s">
        <v>63</v>
      </c>
      <c r="E31" s="283" t="s">
        <v>105</v>
      </c>
      <c r="F31" s="284">
        <v>0.4</v>
      </c>
      <c r="G31" s="278"/>
      <c r="H31" s="278"/>
      <c r="I31" s="278"/>
      <c r="J31" s="278"/>
      <c r="K31" s="278"/>
      <c r="L31" s="279"/>
      <c r="M31" s="279"/>
      <c r="N31" s="278"/>
      <c r="O31" s="278"/>
      <c r="P31" s="278"/>
      <c r="Q31" s="278"/>
      <c r="R31" s="278"/>
      <c r="S31" s="279"/>
      <c r="T31" s="279"/>
      <c r="U31" s="278"/>
      <c r="V31" s="278"/>
      <c r="W31" s="278"/>
      <c r="X31" s="278"/>
      <c r="Y31" s="278"/>
      <c r="Z31" s="279"/>
      <c r="AA31" s="279"/>
      <c r="AB31" s="278"/>
      <c r="AC31" s="278"/>
      <c r="AD31" s="278"/>
      <c r="AE31" s="278"/>
      <c r="AF31" s="278"/>
      <c r="AG31" s="279"/>
      <c r="AH31" s="279"/>
      <c r="AI31" s="278"/>
      <c r="AJ31" s="278"/>
      <c r="AK31" s="278"/>
      <c r="AL31" s="243">
        <f t="shared" si="6"/>
        <v>0</v>
      </c>
      <c r="AM31" s="249">
        <f t="shared" si="7"/>
        <v>0</v>
      </c>
      <c r="AN31" s="225"/>
    </row>
    <row r="32" ht="14.25" customHeight="1">
      <c r="A32" s="245">
        <v>27.0</v>
      </c>
      <c r="B32" s="247" t="s">
        <v>109</v>
      </c>
      <c r="C32" s="265">
        <v>1.0</v>
      </c>
      <c r="D32" s="285" t="s">
        <v>131</v>
      </c>
      <c r="E32" s="239" t="s">
        <v>111</v>
      </c>
      <c r="F32" s="286" t="s">
        <v>26</v>
      </c>
      <c r="G32" s="236">
        <v>12.0</v>
      </c>
      <c r="H32" s="236">
        <v>12.0</v>
      </c>
      <c r="I32" s="236">
        <v>12.0</v>
      </c>
      <c r="J32" s="236">
        <v>12.0</v>
      </c>
      <c r="K32" s="236"/>
      <c r="L32" s="248">
        <v>12.0</v>
      </c>
      <c r="M32" s="248">
        <v>12.0</v>
      </c>
      <c r="N32" s="236">
        <v>12.0</v>
      </c>
      <c r="O32" s="236">
        <v>12.0</v>
      </c>
      <c r="P32" s="236">
        <v>12.0</v>
      </c>
      <c r="Q32" s="236">
        <v>12.0</v>
      </c>
      <c r="R32" s="236">
        <v>12.0</v>
      </c>
      <c r="S32" s="248">
        <v>12.0</v>
      </c>
      <c r="T32" s="248">
        <v>12.0</v>
      </c>
      <c r="U32" s="236">
        <v>12.0</v>
      </c>
      <c r="V32" s="236">
        <v>12.0</v>
      </c>
      <c r="W32" s="236"/>
      <c r="X32" s="236">
        <v>12.0</v>
      </c>
      <c r="Y32" s="236">
        <v>12.0</v>
      </c>
      <c r="Z32" s="248">
        <v>12.0</v>
      </c>
      <c r="AA32" s="248">
        <v>12.0</v>
      </c>
      <c r="AB32" s="236">
        <v>12.0</v>
      </c>
      <c r="AC32" s="236">
        <v>12.0</v>
      </c>
      <c r="AD32" s="236">
        <v>12.0</v>
      </c>
      <c r="AE32" s="236">
        <v>12.0</v>
      </c>
      <c r="AF32" s="236">
        <v>12.0</v>
      </c>
      <c r="AG32" s="248">
        <v>12.0</v>
      </c>
      <c r="AH32" s="248">
        <v>12.0</v>
      </c>
      <c r="AI32" s="236">
        <v>12.0</v>
      </c>
      <c r="AJ32" s="236">
        <v>12.0</v>
      </c>
      <c r="AK32" s="236">
        <v>12.0</v>
      </c>
      <c r="AL32" s="243">
        <f t="shared" si="6"/>
        <v>29</v>
      </c>
      <c r="AM32" s="249">
        <f t="shared" si="7"/>
        <v>348</v>
      </c>
      <c r="AN32" s="225" t="s">
        <v>207</v>
      </c>
    </row>
    <row r="33" ht="14.25" customHeight="1">
      <c r="A33" s="245">
        <v>28.0</v>
      </c>
      <c r="B33" s="246" t="s">
        <v>135</v>
      </c>
      <c r="C33" s="265">
        <v>1.0</v>
      </c>
      <c r="D33" s="263" t="s">
        <v>228</v>
      </c>
      <c r="E33" s="239" t="s">
        <v>111</v>
      </c>
      <c r="F33" s="286" t="s">
        <v>26</v>
      </c>
      <c r="G33" s="236">
        <v>12.0</v>
      </c>
      <c r="H33" s="236">
        <v>12.0</v>
      </c>
      <c r="I33" s="236"/>
      <c r="J33" s="236">
        <v>12.0</v>
      </c>
      <c r="K33" s="236">
        <v>12.0</v>
      </c>
      <c r="L33" s="248">
        <v>12.0</v>
      </c>
      <c r="M33" s="248">
        <v>12.0</v>
      </c>
      <c r="N33" s="236">
        <v>12.0</v>
      </c>
      <c r="O33" s="236">
        <v>12.0</v>
      </c>
      <c r="P33" s="236">
        <v>12.0</v>
      </c>
      <c r="Q33" s="236"/>
      <c r="R33" s="236">
        <v>18.0</v>
      </c>
      <c r="S33" s="248"/>
      <c r="T33" s="248">
        <v>12.0</v>
      </c>
      <c r="U33" s="236">
        <v>12.0</v>
      </c>
      <c r="V33" s="236">
        <v>12.0</v>
      </c>
      <c r="W33" s="236">
        <v>12.0</v>
      </c>
      <c r="X33" s="236">
        <v>12.0</v>
      </c>
      <c r="Y33" s="236">
        <v>12.0</v>
      </c>
      <c r="Z33" s="248">
        <v>12.0</v>
      </c>
      <c r="AA33" s="248">
        <v>12.0</v>
      </c>
      <c r="AB33" s="236">
        <v>12.0</v>
      </c>
      <c r="AC33" s="236"/>
      <c r="AD33" s="236">
        <v>12.0</v>
      </c>
      <c r="AE33" s="236">
        <v>12.0</v>
      </c>
      <c r="AF33" s="236">
        <v>12.0</v>
      </c>
      <c r="AG33" s="248">
        <v>12.0</v>
      </c>
      <c r="AH33" s="248">
        <v>12.0</v>
      </c>
      <c r="AI33" s="236">
        <v>12.0</v>
      </c>
      <c r="AJ33" s="236">
        <v>12.0</v>
      </c>
      <c r="AK33" s="236">
        <v>12.0</v>
      </c>
      <c r="AL33" s="243">
        <v>27.5</v>
      </c>
      <c r="AM33" s="249">
        <f t="shared" si="7"/>
        <v>330</v>
      </c>
      <c r="AN33" s="225" t="s">
        <v>207</v>
      </c>
    </row>
    <row r="34" ht="14.25" customHeight="1">
      <c r="A34" s="245">
        <v>29.0</v>
      </c>
      <c r="B34" s="246" t="s">
        <v>135</v>
      </c>
      <c r="C34" s="265">
        <v>1.0</v>
      </c>
      <c r="D34" s="263" t="s">
        <v>187</v>
      </c>
      <c r="E34" s="239" t="s">
        <v>73</v>
      </c>
      <c r="F34" s="288" t="s">
        <v>26</v>
      </c>
      <c r="G34" s="236">
        <v>12.0</v>
      </c>
      <c r="H34" s="236"/>
      <c r="I34" s="236">
        <v>12.0</v>
      </c>
      <c r="J34" s="236">
        <v>12.0</v>
      </c>
      <c r="K34" s="236">
        <v>12.0</v>
      </c>
      <c r="L34" s="248">
        <v>12.0</v>
      </c>
      <c r="M34" s="248">
        <v>12.0</v>
      </c>
      <c r="N34" s="236">
        <v>12.0</v>
      </c>
      <c r="O34" s="236">
        <v>12.0</v>
      </c>
      <c r="P34" s="236">
        <v>12.0</v>
      </c>
      <c r="Q34" s="236">
        <v>12.0</v>
      </c>
      <c r="R34" s="236"/>
      <c r="S34" s="248">
        <v>12.0</v>
      </c>
      <c r="T34" s="248">
        <v>12.0</v>
      </c>
      <c r="U34" s="236">
        <v>12.0</v>
      </c>
      <c r="V34" s="236">
        <v>12.0</v>
      </c>
      <c r="W34" s="236">
        <v>12.0</v>
      </c>
      <c r="X34" s="236"/>
      <c r="Y34" s="236"/>
      <c r="Z34" s="248">
        <v>12.0</v>
      </c>
      <c r="AA34" s="248">
        <v>12.0</v>
      </c>
      <c r="AB34" s="236">
        <v>12.0</v>
      </c>
      <c r="AC34" s="236">
        <v>12.0</v>
      </c>
      <c r="AD34" s="236"/>
      <c r="AE34" s="236">
        <v>12.0</v>
      </c>
      <c r="AF34" s="236">
        <v>12.0</v>
      </c>
      <c r="AG34" s="248"/>
      <c r="AH34" s="248">
        <v>12.0</v>
      </c>
      <c r="AI34" s="236">
        <v>12.0</v>
      </c>
      <c r="AJ34" s="236">
        <v>12.0</v>
      </c>
      <c r="AK34" s="236">
        <v>12.0</v>
      </c>
      <c r="AL34" s="243">
        <f t="shared" ref="AL34:AL36" si="8">COUNTA(G34:AK34)</f>
        <v>25</v>
      </c>
      <c r="AM34" s="249">
        <f t="shared" si="7"/>
        <v>300</v>
      </c>
      <c r="AN34" s="225" t="s">
        <v>207</v>
      </c>
    </row>
    <row r="35" ht="14.25" customHeight="1">
      <c r="A35" s="290">
        <v>30.0</v>
      </c>
      <c r="B35" s="291" t="s">
        <v>142</v>
      </c>
      <c r="C35" s="282">
        <v>1.0</v>
      </c>
      <c r="D35" s="292"/>
      <c r="E35" s="282" t="s">
        <v>125</v>
      </c>
      <c r="F35" s="293"/>
      <c r="G35" s="236"/>
      <c r="H35" s="236"/>
      <c r="I35" s="236"/>
      <c r="J35" s="236"/>
      <c r="K35" s="236"/>
      <c r="L35" s="248"/>
      <c r="M35" s="248"/>
      <c r="N35" s="236"/>
      <c r="O35" s="236"/>
      <c r="P35" s="236"/>
      <c r="Q35" s="236"/>
      <c r="R35" s="236"/>
      <c r="S35" s="248"/>
      <c r="T35" s="248"/>
      <c r="U35" s="236"/>
      <c r="V35" s="236"/>
      <c r="W35" s="236"/>
      <c r="X35" s="236"/>
      <c r="Y35" s="236"/>
      <c r="Z35" s="248"/>
      <c r="AA35" s="248"/>
      <c r="AB35" s="236"/>
      <c r="AC35" s="236"/>
      <c r="AD35" s="236"/>
      <c r="AE35" s="236"/>
      <c r="AF35" s="236"/>
      <c r="AG35" s="248"/>
      <c r="AH35" s="248"/>
      <c r="AI35" s="236"/>
      <c r="AJ35" s="236"/>
      <c r="AK35" s="236"/>
      <c r="AL35" s="243">
        <f t="shared" si="8"/>
        <v>0</v>
      </c>
      <c r="AM35" s="249">
        <f t="shared" si="7"/>
        <v>0</v>
      </c>
      <c r="AN35" s="225" t="s">
        <v>207</v>
      </c>
    </row>
    <row r="36" ht="14.25" customHeight="1">
      <c r="A36" s="17"/>
      <c r="B36" s="17"/>
      <c r="C36" s="17"/>
      <c r="D36" s="17"/>
      <c r="E36" s="283" t="s">
        <v>127</v>
      </c>
      <c r="F36" s="17"/>
      <c r="G36" s="236"/>
      <c r="H36" s="236"/>
      <c r="I36" s="236"/>
      <c r="J36" s="236"/>
      <c r="K36" s="236"/>
      <c r="L36" s="248"/>
      <c r="M36" s="248"/>
      <c r="N36" s="236"/>
      <c r="O36" s="236"/>
      <c r="P36" s="236"/>
      <c r="Q36" s="236"/>
      <c r="R36" s="236"/>
      <c r="S36" s="248"/>
      <c r="T36" s="248"/>
      <c r="U36" s="236"/>
      <c r="V36" s="236"/>
      <c r="W36" s="236"/>
      <c r="X36" s="236"/>
      <c r="Y36" s="236"/>
      <c r="Z36" s="248"/>
      <c r="AA36" s="248"/>
      <c r="AB36" s="236"/>
      <c r="AC36" s="236"/>
      <c r="AD36" s="236"/>
      <c r="AE36" s="236"/>
      <c r="AF36" s="236"/>
      <c r="AG36" s="248"/>
      <c r="AH36" s="248"/>
      <c r="AI36" s="236"/>
      <c r="AJ36" s="236"/>
      <c r="AK36" s="236"/>
      <c r="AL36" s="243">
        <f t="shared" si="8"/>
        <v>0</v>
      </c>
      <c r="AM36" s="249">
        <f t="shared" si="7"/>
        <v>0</v>
      </c>
      <c r="AN36" s="225" t="s">
        <v>207</v>
      </c>
    </row>
    <row r="37" ht="14.25" customHeight="1">
      <c r="A37" s="296">
        <v>31.0</v>
      </c>
      <c r="B37" s="297" t="s">
        <v>229</v>
      </c>
      <c r="C37" s="298">
        <v>1.0</v>
      </c>
      <c r="D37" s="285" t="s">
        <v>131</v>
      </c>
      <c r="E37" s="239" t="s">
        <v>133</v>
      </c>
      <c r="F37" s="299"/>
      <c r="G37" s="236"/>
      <c r="H37" s="236"/>
      <c r="I37" s="236"/>
      <c r="J37" s="236"/>
      <c r="K37" s="236"/>
      <c r="L37" s="248">
        <v>6.0</v>
      </c>
      <c r="M37" s="248">
        <v>6.0</v>
      </c>
      <c r="N37" s="236">
        <v>6.0</v>
      </c>
      <c r="O37" s="236">
        <v>6.0</v>
      </c>
      <c r="P37" s="236"/>
      <c r="Q37" s="236">
        <v>6.0</v>
      </c>
      <c r="R37" s="236"/>
      <c r="S37" s="248"/>
      <c r="T37" s="248"/>
      <c r="U37" s="236"/>
      <c r="V37" s="236"/>
      <c r="W37" s="236"/>
      <c r="X37" s="236">
        <v>6.0</v>
      </c>
      <c r="Y37" s="236">
        <v>6.0</v>
      </c>
      <c r="Z37" s="248"/>
      <c r="AA37" s="248"/>
      <c r="AB37" s="236"/>
      <c r="AC37" s="236"/>
      <c r="AD37" s="236"/>
      <c r="AE37" s="236"/>
      <c r="AF37" s="236"/>
      <c r="AG37" s="248"/>
      <c r="AH37" s="248"/>
      <c r="AI37" s="236">
        <v>6.0</v>
      </c>
      <c r="AJ37" s="236"/>
      <c r="AK37" s="236"/>
      <c r="AL37" s="243">
        <v>4.0</v>
      </c>
      <c r="AM37" s="249">
        <f t="shared" si="7"/>
        <v>48</v>
      </c>
      <c r="AN37" s="225"/>
    </row>
    <row r="38" ht="14.25" customHeight="1">
      <c r="A38" s="296">
        <v>32.0</v>
      </c>
      <c r="B38" s="297" t="s">
        <v>229</v>
      </c>
      <c r="C38" s="298">
        <v>1.0</v>
      </c>
      <c r="D38" s="300" t="s">
        <v>230</v>
      </c>
      <c r="E38" s="239" t="s">
        <v>133</v>
      </c>
      <c r="F38" s="288" t="s">
        <v>26</v>
      </c>
      <c r="G38" s="236">
        <v>12.0</v>
      </c>
      <c r="H38" s="236">
        <v>12.0</v>
      </c>
      <c r="I38" s="236">
        <v>12.0</v>
      </c>
      <c r="J38" s="236">
        <v>12.0</v>
      </c>
      <c r="K38" s="236">
        <v>12.0</v>
      </c>
      <c r="L38" s="248">
        <v>12.0</v>
      </c>
      <c r="M38" s="248">
        <v>12.0</v>
      </c>
      <c r="N38" s="236">
        <v>12.0</v>
      </c>
      <c r="O38" s="236">
        <v>12.0</v>
      </c>
      <c r="P38" s="236">
        <v>12.0</v>
      </c>
      <c r="Q38" s="236"/>
      <c r="R38" s="236">
        <v>12.0</v>
      </c>
      <c r="S38" s="248">
        <v>12.0</v>
      </c>
      <c r="T38" s="248">
        <v>12.0</v>
      </c>
      <c r="U38" s="236">
        <v>12.0</v>
      </c>
      <c r="V38" s="236">
        <v>12.0</v>
      </c>
      <c r="W38" s="236">
        <v>12.0</v>
      </c>
      <c r="X38" s="236">
        <v>12.0</v>
      </c>
      <c r="Y38" s="236"/>
      <c r="Z38" s="248"/>
      <c r="AA38" s="248"/>
      <c r="AB38" s="236"/>
      <c r="AC38" s="236"/>
      <c r="AD38" s="236"/>
      <c r="AE38" s="236"/>
      <c r="AF38" s="236"/>
      <c r="AG38" s="248"/>
      <c r="AH38" s="248"/>
      <c r="AI38" s="236"/>
      <c r="AJ38" s="236"/>
      <c r="AK38" s="236"/>
      <c r="AL38" s="243">
        <f t="shared" ref="AL38:AL40" si="9">COUNTA(G38:AK38)</f>
        <v>17</v>
      </c>
      <c r="AM38" s="249">
        <f t="shared" si="7"/>
        <v>204</v>
      </c>
      <c r="AN38" s="225"/>
    </row>
    <row r="39" ht="14.25" customHeight="1">
      <c r="A39" s="245">
        <v>33.0</v>
      </c>
      <c r="B39" s="297" t="s">
        <v>229</v>
      </c>
      <c r="C39" s="298"/>
      <c r="D39" s="300" t="s">
        <v>231</v>
      </c>
      <c r="E39" s="239" t="s">
        <v>133</v>
      </c>
      <c r="F39" s="288" t="s">
        <v>26</v>
      </c>
      <c r="G39" s="236"/>
      <c r="H39" s="236"/>
      <c r="I39" s="236"/>
      <c r="J39" s="236"/>
      <c r="K39" s="236"/>
      <c r="L39" s="248"/>
      <c r="M39" s="248"/>
      <c r="N39" s="236"/>
      <c r="O39" s="236"/>
      <c r="P39" s="236"/>
      <c r="Q39" s="236"/>
      <c r="R39" s="236"/>
      <c r="S39" s="248"/>
      <c r="T39" s="248"/>
      <c r="U39" s="236"/>
      <c r="V39" s="236"/>
      <c r="W39" s="236"/>
      <c r="X39" s="236"/>
      <c r="Y39" s="236"/>
      <c r="Z39" s="248"/>
      <c r="AA39" s="248"/>
      <c r="AB39" s="236"/>
      <c r="AC39" s="236"/>
      <c r="AD39" s="236"/>
      <c r="AE39" s="236"/>
      <c r="AF39" s="236">
        <v>12.0</v>
      </c>
      <c r="AG39" s="248">
        <v>12.0</v>
      </c>
      <c r="AH39" s="248">
        <v>12.0</v>
      </c>
      <c r="AI39" s="236">
        <v>12.0</v>
      </c>
      <c r="AJ39" s="236">
        <v>12.0</v>
      </c>
      <c r="AK39" s="236"/>
      <c r="AL39" s="243">
        <f t="shared" si="9"/>
        <v>5</v>
      </c>
      <c r="AM39" s="249">
        <f t="shared" si="7"/>
        <v>60</v>
      </c>
      <c r="AN39" s="225"/>
    </row>
    <row r="40" ht="14.25" customHeight="1">
      <c r="A40" s="296">
        <v>36.0</v>
      </c>
      <c r="B40" s="246" t="s">
        <v>136</v>
      </c>
      <c r="C40" s="239">
        <v>1.0</v>
      </c>
      <c r="D40" s="285" t="s">
        <v>145</v>
      </c>
      <c r="E40" s="238" t="s">
        <v>138</v>
      </c>
      <c r="F40" s="240" t="s">
        <v>26</v>
      </c>
      <c r="G40" s="236">
        <v>11.0</v>
      </c>
      <c r="H40" s="236">
        <v>11.0</v>
      </c>
      <c r="I40" s="236"/>
      <c r="J40" s="236">
        <v>11.0</v>
      </c>
      <c r="K40" s="236">
        <v>11.0</v>
      </c>
      <c r="L40" s="248">
        <v>11.0</v>
      </c>
      <c r="M40" s="248">
        <v>11.0</v>
      </c>
      <c r="N40" s="236">
        <v>11.0</v>
      </c>
      <c r="O40" s="236">
        <v>11.0</v>
      </c>
      <c r="P40" s="236"/>
      <c r="Q40" s="236">
        <v>11.0</v>
      </c>
      <c r="R40" s="236">
        <v>11.0</v>
      </c>
      <c r="S40" s="248">
        <v>11.0</v>
      </c>
      <c r="T40" s="248">
        <v>11.0</v>
      </c>
      <c r="U40" s="236">
        <v>11.0</v>
      </c>
      <c r="V40" s="236">
        <v>11.0</v>
      </c>
      <c r="W40" s="236"/>
      <c r="X40" s="236">
        <v>11.0</v>
      </c>
      <c r="Y40" s="236">
        <v>11.0</v>
      </c>
      <c r="Z40" s="248">
        <v>11.0</v>
      </c>
      <c r="AA40" s="248">
        <v>11.0</v>
      </c>
      <c r="AB40" s="236">
        <v>11.0</v>
      </c>
      <c r="AC40" s="236">
        <v>11.0</v>
      </c>
      <c r="AD40" s="236"/>
      <c r="AE40" s="236">
        <v>11.0</v>
      </c>
      <c r="AF40" s="236">
        <v>11.0</v>
      </c>
      <c r="AG40" s="248">
        <v>11.0</v>
      </c>
      <c r="AH40" s="248">
        <v>11.0</v>
      </c>
      <c r="AI40" s="236">
        <v>11.0</v>
      </c>
      <c r="AJ40" s="236">
        <v>11.0</v>
      </c>
      <c r="AK40" s="236"/>
      <c r="AL40" s="243">
        <f t="shared" si="9"/>
        <v>26</v>
      </c>
      <c r="AM40" s="249">
        <f t="shared" si="7"/>
        <v>286</v>
      </c>
      <c r="AN40" s="225"/>
    </row>
    <row r="41" ht="14.25" customHeight="1">
      <c r="A41" s="234"/>
      <c r="B41" s="233" t="s">
        <v>140</v>
      </c>
      <c r="C41" s="234"/>
      <c r="D41" s="233" t="s">
        <v>140</v>
      </c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54"/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34"/>
      <c r="AM41" s="255"/>
      <c r="AN41" s="225"/>
    </row>
    <row r="42" ht="14.25" customHeight="1">
      <c r="A42" s="245">
        <v>38.0</v>
      </c>
      <c r="B42" s="246" t="s">
        <v>140</v>
      </c>
      <c r="C42" s="239">
        <v>1.0</v>
      </c>
      <c r="D42" s="285" t="s">
        <v>153</v>
      </c>
      <c r="E42" s="303" t="s">
        <v>51</v>
      </c>
      <c r="F42" s="240" t="s">
        <v>85</v>
      </c>
      <c r="G42" s="236">
        <v>24.0</v>
      </c>
      <c r="H42" s="236"/>
      <c r="I42" s="236"/>
      <c r="J42" s="236">
        <v>24.0</v>
      </c>
      <c r="K42" s="236"/>
      <c r="L42" s="248"/>
      <c r="M42" s="248">
        <v>24.0</v>
      </c>
      <c r="N42" s="236"/>
      <c r="O42" s="236"/>
      <c r="P42" s="236">
        <v>24.0</v>
      </c>
      <c r="Q42" s="236"/>
      <c r="R42" s="236"/>
      <c r="S42" s="248">
        <v>24.0</v>
      </c>
      <c r="T42" s="248"/>
      <c r="U42" s="236"/>
      <c r="V42" s="236">
        <v>24.0</v>
      </c>
      <c r="W42" s="236"/>
      <c r="X42" s="236"/>
      <c r="Y42" s="236">
        <v>24.0</v>
      </c>
      <c r="Z42" s="248"/>
      <c r="AA42" s="248"/>
      <c r="AB42" s="236">
        <v>24.0</v>
      </c>
      <c r="AC42" s="236"/>
      <c r="AD42" s="236"/>
      <c r="AE42" s="236">
        <v>24.0</v>
      </c>
      <c r="AF42" s="236"/>
      <c r="AG42" s="248"/>
      <c r="AH42" s="248">
        <v>24.0</v>
      </c>
      <c r="AI42" s="236"/>
      <c r="AJ42" s="236"/>
      <c r="AK42" s="236">
        <v>24.0</v>
      </c>
      <c r="AL42" s="243">
        <f t="shared" ref="AL42:AL44" si="10">COUNTA(G42:AK42)</f>
        <v>11</v>
      </c>
      <c r="AM42" s="249">
        <f t="shared" ref="AM42:AM44" si="11">SUM(G42:AK42)</f>
        <v>264</v>
      </c>
      <c r="AN42" s="225"/>
    </row>
    <row r="43" ht="14.25" customHeight="1">
      <c r="A43" s="245">
        <v>39.0</v>
      </c>
      <c r="B43" s="246" t="s">
        <v>140</v>
      </c>
      <c r="C43" s="239">
        <v>1.0</v>
      </c>
      <c r="D43" s="285" t="s">
        <v>145</v>
      </c>
      <c r="E43" s="303" t="s">
        <v>51</v>
      </c>
      <c r="F43" s="240" t="s">
        <v>85</v>
      </c>
      <c r="G43" s="236"/>
      <c r="H43" s="236"/>
      <c r="I43" s="236">
        <v>24.0</v>
      </c>
      <c r="J43" s="236"/>
      <c r="K43" s="236"/>
      <c r="L43" s="248">
        <v>24.0</v>
      </c>
      <c r="M43" s="248"/>
      <c r="N43" s="236"/>
      <c r="O43" s="236">
        <v>24.0</v>
      </c>
      <c r="P43" s="236"/>
      <c r="Q43" s="236"/>
      <c r="R43" s="236">
        <v>24.0</v>
      </c>
      <c r="S43" s="248"/>
      <c r="T43" s="248"/>
      <c r="U43" s="236">
        <v>24.0</v>
      </c>
      <c r="V43" s="236"/>
      <c r="W43" s="236"/>
      <c r="X43" s="236">
        <v>24.0</v>
      </c>
      <c r="Y43" s="236"/>
      <c r="Z43" s="248"/>
      <c r="AA43" s="248">
        <v>24.0</v>
      </c>
      <c r="AB43" s="236"/>
      <c r="AC43" s="236"/>
      <c r="AD43" s="236">
        <v>24.0</v>
      </c>
      <c r="AE43" s="236"/>
      <c r="AF43" s="236"/>
      <c r="AG43" s="248">
        <v>24.0</v>
      </c>
      <c r="AH43" s="248"/>
      <c r="AI43" s="236"/>
      <c r="AJ43" s="236">
        <v>24.0</v>
      </c>
      <c r="AK43" s="236"/>
      <c r="AL43" s="243">
        <f t="shared" si="10"/>
        <v>10</v>
      </c>
      <c r="AM43" s="249">
        <f t="shared" si="11"/>
        <v>240</v>
      </c>
      <c r="AN43" s="225"/>
    </row>
    <row r="44" ht="14.25" customHeight="1">
      <c r="A44" s="245">
        <v>40.0</v>
      </c>
      <c r="B44" s="246" t="s">
        <v>140</v>
      </c>
      <c r="C44" s="239">
        <v>1.0</v>
      </c>
      <c r="D44" s="285" t="s">
        <v>150</v>
      </c>
      <c r="E44" s="303" t="s">
        <v>51</v>
      </c>
      <c r="F44" s="240" t="s">
        <v>85</v>
      </c>
      <c r="G44" s="236"/>
      <c r="H44" s="236">
        <v>24.0</v>
      </c>
      <c r="I44" s="236"/>
      <c r="J44" s="236"/>
      <c r="K44" s="236">
        <v>24.0</v>
      </c>
      <c r="L44" s="248"/>
      <c r="M44" s="248"/>
      <c r="N44" s="236">
        <v>24.0</v>
      </c>
      <c r="O44" s="236"/>
      <c r="P44" s="236"/>
      <c r="Q44" s="236">
        <v>24.0</v>
      </c>
      <c r="R44" s="236"/>
      <c r="S44" s="248"/>
      <c r="T44" s="248">
        <v>24.0</v>
      </c>
      <c r="U44" s="236"/>
      <c r="V44" s="236"/>
      <c r="W44" s="236">
        <v>24.0</v>
      </c>
      <c r="X44" s="236"/>
      <c r="Y44" s="236"/>
      <c r="Z44" s="248">
        <v>24.0</v>
      </c>
      <c r="AA44" s="248"/>
      <c r="AB44" s="236"/>
      <c r="AC44" s="236">
        <v>24.0</v>
      </c>
      <c r="AD44" s="236"/>
      <c r="AE44" s="236"/>
      <c r="AF44" s="236">
        <v>24.0</v>
      </c>
      <c r="AG44" s="248"/>
      <c r="AH44" s="248"/>
      <c r="AI44" s="236">
        <v>24.0</v>
      </c>
      <c r="AJ44" s="236"/>
      <c r="AK44" s="236"/>
      <c r="AL44" s="243">
        <f t="shared" si="10"/>
        <v>10</v>
      </c>
      <c r="AM44" s="249">
        <f t="shared" si="11"/>
        <v>240</v>
      </c>
      <c r="AN44" s="225"/>
    </row>
    <row r="45" ht="14.25" customHeight="1">
      <c r="A45" s="304"/>
      <c r="B45" s="305" t="s">
        <v>151</v>
      </c>
      <c r="C45" s="306">
        <v>33.0</v>
      </c>
      <c r="D45" s="305" t="s">
        <v>152</v>
      </c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  <c r="AB45" s="306"/>
      <c r="AC45" s="306"/>
      <c r="AD45" s="306"/>
      <c r="AE45" s="306"/>
      <c r="AF45" s="306"/>
      <c r="AG45" s="306"/>
      <c r="AH45" s="306"/>
      <c r="AI45" s="306"/>
      <c r="AJ45" s="306"/>
      <c r="AK45" s="306"/>
      <c r="AL45" s="234"/>
      <c r="AM45" s="255"/>
      <c r="AN45" s="225"/>
    </row>
    <row r="46" ht="14.25" customHeight="1">
      <c r="A46" s="304"/>
      <c r="B46" s="307" t="s">
        <v>154</v>
      </c>
      <c r="C46" s="147"/>
      <c r="D46" s="147"/>
      <c r="E46" s="147"/>
      <c r="F46" s="148"/>
      <c r="G46" s="306" t="s">
        <v>155</v>
      </c>
      <c r="H46" s="306" t="s">
        <v>155</v>
      </c>
      <c r="I46" s="306" t="s">
        <v>155</v>
      </c>
      <c r="J46" s="306" t="s">
        <v>155</v>
      </c>
      <c r="K46" s="306" t="s">
        <v>155</v>
      </c>
      <c r="L46" s="306" t="s">
        <v>155</v>
      </c>
      <c r="M46" s="306" t="s">
        <v>155</v>
      </c>
      <c r="N46" s="306" t="s">
        <v>155</v>
      </c>
      <c r="O46" s="306" t="s">
        <v>155</v>
      </c>
      <c r="P46" s="306" t="s">
        <v>155</v>
      </c>
      <c r="Q46" s="306" t="s">
        <v>155</v>
      </c>
      <c r="R46" s="306" t="s">
        <v>155</v>
      </c>
      <c r="S46" s="306" t="s">
        <v>155</v>
      </c>
      <c r="T46" s="306" t="s">
        <v>155</v>
      </c>
      <c r="U46" s="306" t="s">
        <v>155</v>
      </c>
      <c r="V46" s="306" t="s">
        <v>155</v>
      </c>
      <c r="W46" s="306" t="s">
        <v>155</v>
      </c>
      <c r="X46" s="306" t="s">
        <v>155</v>
      </c>
      <c r="Y46" s="306" t="s">
        <v>155</v>
      </c>
      <c r="Z46" s="306" t="s">
        <v>155</v>
      </c>
      <c r="AA46" s="306" t="s">
        <v>155</v>
      </c>
      <c r="AB46" s="306"/>
      <c r="AC46" s="306"/>
      <c r="AD46" s="306" t="s">
        <v>155</v>
      </c>
      <c r="AE46" s="306" t="s">
        <v>155</v>
      </c>
      <c r="AF46" s="306" t="s">
        <v>155</v>
      </c>
      <c r="AG46" s="306" t="s">
        <v>155</v>
      </c>
      <c r="AH46" s="306"/>
      <c r="AI46" s="306"/>
      <c r="AJ46" s="306"/>
      <c r="AK46" s="306"/>
      <c r="AL46" s="234"/>
      <c r="AM46" s="255"/>
      <c r="AN46" s="225"/>
    </row>
    <row r="47" ht="14.25" customHeight="1">
      <c r="A47" s="304"/>
      <c r="B47" s="307" t="s">
        <v>156</v>
      </c>
      <c r="C47" s="147"/>
      <c r="D47" s="147"/>
      <c r="E47" s="147"/>
      <c r="F47" s="148"/>
      <c r="G47" s="306">
        <f t="shared" ref="G47:AA47" si="12">COUNTA(#REF!,#REF!,#REF!,#REF!,#REF!)</f>
        <v>5</v>
      </c>
      <c r="H47" s="306">
        <f t="shared" si="12"/>
        <v>5</v>
      </c>
      <c r="I47" s="306">
        <f t="shared" si="12"/>
        <v>5</v>
      </c>
      <c r="J47" s="306">
        <f t="shared" si="12"/>
        <v>5</v>
      </c>
      <c r="K47" s="306">
        <f t="shared" si="12"/>
        <v>5</v>
      </c>
      <c r="L47" s="306">
        <f t="shared" si="12"/>
        <v>5</v>
      </c>
      <c r="M47" s="306">
        <f t="shared" si="12"/>
        <v>5</v>
      </c>
      <c r="N47" s="306">
        <f t="shared" si="12"/>
        <v>5</v>
      </c>
      <c r="O47" s="306">
        <f t="shared" si="12"/>
        <v>5</v>
      </c>
      <c r="P47" s="306">
        <f t="shared" si="12"/>
        <v>5</v>
      </c>
      <c r="Q47" s="306">
        <f t="shared" si="12"/>
        <v>5</v>
      </c>
      <c r="R47" s="306">
        <f t="shared" si="12"/>
        <v>5</v>
      </c>
      <c r="S47" s="306">
        <f t="shared" si="12"/>
        <v>5</v>
      </c>
      <c r="T47" s="306">
        <f t="shared" si="12"/>
        <v>5</v>
      </c>
      <c r="U47" s="306">
        <f t="shared" si="12"/>
        <v>5</v>
      </c>
      <c r="V47" s="306">
        <f t="shared" si="12"/>
        <v>5</v>
      </c>
      <c r="W47" s="306">
        <f t="shared" si="12"/>
        <v>5</v>
      </c>
      <c r="X47" s="306">
        <f t="shared" si="12"/>
        <v>5</v>
      </c>
      <c r="Y47" s="306">
        <f t="shared" si="12"/>
        <v>5</v>
      </c>
      <c r="Z47" s="306">
        <f t="shared" si="12"/>
        <v>5</v>
      </c>
      <c r="AA47" s="306">
        <f t="shared" si="12"/>
        <v>5</v>
      </c>
      <c r="AB47" s="306"/>
      <c r="AC47" s="306"/>
      <c r="AD47" s="306">
        <f t="shared" ref="AD47:AG47" si="13">COUNTA(#REF!,#REF!,#REF!,#REF!,#REF!)</f>
        <v>5</v>
      </c>
      <c r="AE47" s="306">
        <f t="shared" si="13"/>
        <v>5</v>
      </c>
      <c r="AF47" s="306">
        <f t="shared" si="13"/>
        <v>5</v>
      </c>
      <c r="AG47" s="306">
        <f t="shared" si="13"/>
        <v>5</v>
      </c>
      <c r="AH47" s="306"/>
      <c r="AI47" s="306"/>
      <c r="AJ47" s="306"/>
      <c r="AK47" s="306"/>
      <c r="AL47" s="234"/>
      <c r="AM47" s="255"/>
      <c r="AN47" s="225"/>
    </row>
    <row r="48" ht="14.25" customHeight="1">
      <c r="A48" s="304"/>
      <c r="B48" s="307" t="s">
        <v>157</v>
      </c>
      <c r="C48" s="147"/>
      <c r="D48" s="147"/>
      <c r="E48" s="147"/>
      <c r="F48" s="148"/>
      <c r="G48" s="308">
        <f t="shared" ref="G48:AA48" si="14">COUNTA(#REF!,#REF!)</f>
        <v>2</v>
      </c>
      <c r="H48" s="308">
        <f t="shared" si="14"/>
        <v>2</v>
      </c>
      <c r="I48" s="308">
        <f t="shared" si="14"/>
        <v>2</v>
      </c>
      <c r="J48" s="308">
        <f t="shared" si="14"/>
        <v>2</v>
      </c>
      <c r="K48" s="308">
        <f t="shared" si="14"/>
        <v>2</v>
      </c>
      <c r="L48" s="308">
        <f t="shared" si="14"/>
        <v>2</v>
      </c>
      <c r="M48" s="308">
        <f t="shared" si="14"/>
        <v>2</v>
      </c>
      <c r="N48" s="308">
        <f t="shared" si="14"/>
        <v>2</v>
      </c>
      <c r="O48" s="308">
        <f t="shared" si="14"/>
        <v>2</v>
      </c>
      <c r="P48" s="308">
        <f t="shared" si="14"/>
        <v>2</v>
      </c>
      <c r="Q48" s="308">
        <f t="shared" si="14"/>
        <v>2</v>
      </c>
      <c r="R48" s="308">
        <f t="shared" si="14"/>
        <v>2</v>
      </c>
      <c r="S48" s="308">
        <f t="shared" si="14"/>
        <v>2</v>
      </c>
      <c r="T48" s="308">
        <f t="shared" si="14"/>
        <v>2</v>
      </c>
      <c r="U48" s="308">
        <f t="shared" si="14"/>
        <v>2</v>
      </c>
      <c r="V48" s="308">
        <f t="shared" si="14"/>
        <v>2</v>
      </c>
      <c r="W48" s="308">
        <f t="shared" si="14"/>
        <v>2</v>
      </c>
      <c r="X48" s="308">
        <f t="shared" si="14"/>
        <v>2</v>
      </c>
      <c r="Y48" s="308">
        <f t="shared" si="14"/>
        <v>2</v>
      </c>
      <c r="Z48" s="308">
        <f t="shared" si="14"/>
        <v>2</v>
      </c>
      <c r="AA48" s="308">
        <f t="shared" si="14"/>
        <v>2</v>
      </c>
      <c r="AB48" s="308"/>
      <c r="AC48" s="308"/>
      <c r="AD48" s="308">
        <f t="shared" ref="AD48:AG48" si="15">COUNTA(#REF!,#REF!)</f>
        <v>2</v>
      </c>
      <c r="AE48" s="308">
        <f t="shared" si="15"/>
        <v>2</v>
      </c>
      <c r="AF48" s="308">
        <f t="shared" si="15"/>
        <v>2</v>
      </c>
      <c r="AG48" s="308">
        <f t="shared" si="15"/>
        <v>2</v>
      </c>
      <c r="AH48" s="308"/>
      <c r="AI48" s="308"/>
      <c r="AJ48" s="308"/>
      <c r="AK48" s="308"/>
      <c r="AL48" s="234"/>
      <c r="AM48" s="255"/>
      <c r="AN48" s="225"/>
    </row>
    <row r="49" ht="14.25" customHeight="1">
      <c r="A49" s="309"/>
      <c r="B49" s="310"/>
      <c r="C49" s="309"/>
      <c r="D49" s="309"/>
      <c r="E49" s="309"/>
      <c r="F49" s="311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  <c r="AH49" s="312"/>
      <c r="AI49" s="312"/>
      <c r="AJ49" s="312"/>
      <c r="AK49" s="312"/>
      <c r="AL49" s="314"/>
      <c r="AM49" s="312"/>
      <c r="AN49" s="225"/>
    </row>
    <row r="50" ht="14.25" customHeight="1">
      <c r="A50" s="315"/>
      <c r="B50" s="316"/>
      <c r="C50" s="317"/>
      <c r="D50" s="318" t="s">
        <v>159</v>
      </c>
      <c r="E50" s="318"/>
      <c r="F50" s="319"/>
      <c r="G50" s="321">
        <f t="shared" ref="G50:AA50" si="16">COUNTA(G6,G7:G11,#REF!,G21:G22,G41,G20:G39,G26)</f>
        <v>9</v>
      </c>
      <c r="H50" s="321">
        <f t="shared" si="16"/>
        <v>12</v>
      </c>
      <c r="I50" s="321">
        <f t="shared" si="16"/>
        <v>10</v>
      </c>
      <c r="J50" s="321">
        <f t="shared" si="16"/>
        <v>13</v>
      </c>
      <c r="K50" s="321">
        <f t="shared" si="16"/>
        <v>11</v>
      </c>
      <c r="L50" s="321">
        <f t="shared" si="16"/>
        <v>15</v>
      </c>
      <c r="M50" s="321">
        <f t="shared" si="16"/>
        <v>11</v>
      </c>
      <c r="N50" s="321">
        <f t="shared" si="16"/>
        <v>11</v>
      </c>
      <c r="O50" s="321">
        <f t="shared" si="16"/>
        <v>12</v>
      </c>
      <c r="P50" s="321">
        <f t="shared" si="16"/>
        <v>12</v>
      </c>
      <c r="Q50" s="321">
        <f t="shared" si="16"/>
        <v>10</v>
      </c>
      <c r="R50" s="321">
        <f t="shared" si="16"/>
        <v>11</v>
      </c>
      <c r="S50" s="321">
        <f t="shared" si="16"/>
        <v>12</v>
      </c>
      <c r="T50" s="321">
        <f t="shared" si="16"/>
        <v>10</v>
      </c>
      <c r="U50" s="321">
        <f t="shared" si="16"/>
        <v>9</v>
      </c>
      <c r="V50" s="321">
        <f t="shared" si="16"/>
        <v>12</v>
      </c>
      <c r="W50" s="321">
        <f t="shared" si="16"/>
        <v>10</v>
      </c>
      <c r="X50" s="321">
        <f t="shared" si="16"/>
        <v>13</v>
      </c>
      <c r="Y50" s="321">
        <f t="shared" si="16"/>
        <v>15</v>
      </c>
      <c r="Z50" s="321">
        <f t="shared" si="16"/>
        <v>13</v>
      </c>
      <c r="AA50" s="321">
        <f t="shared" si="16"/>
        <v>9</v>
      </c>
      <c r="AB50" s="321"/>
      <c r="AC50" s="321"/>
      <c r="AD50" s="321">
        <f t="shared" ref="AD50:AG50" si="17">COUNTA(AD6,AD7:AD11,#REF!,AD21:AD22,AD41,AD20:AD39,AD26)</f>
        <v>10</v>
      </c>
      <c r="AE50" s="321">
        <f t="shared" si="17"/>
        <v>12</v>
      </c>
      <c r="AF50" s="321">
        <f t="shared" si="17"/>
        <v>13</v>
      </c>
      <c r="AG50" s="321">
        <f t="shared" si="17"/>
        <v>11</v>
      </c>
      <c r="AH50" s="321"/>
      <c r="AI50" s="321"/>
      <c r="AJ50" s="321"/>
      <c r="AK50" s="321">
        <f>COUNTA(AK6,AK7:AK11,#REF!,AK21:AK22,AK41,AK20:AK39,AK26)</f>
        <v>12</v>
      </c>
      <c r="AL50" s="324">
        <f t="shared" ref="AL50:AL53" si="20">SUM(G50:AG50)</f>
        <v>286</v>
      </c>
      <c r="AM50" s="325">
        <v>250.0</v>
      </c>
      <c r="AN50" s="225"/>
    </row>
    <row r="51" ht="14.25" customHeight="1">
      <c r="A51" s="326"/>
      <c r="B51" s="327"/>
      <c r="C51" s="328"/>
      <c r="D51" s="329" t="s">
        <v>160</v>
      </c>
      <c r="E51" s="329"/>
      <c r="F51" s="330"/>
      <c r="G51" s="331">
        <f t="shared" ref="G51:AA51" si="18">COUNTA(G6,#REF!,#REF!,G11,G20:G39,G21:G41)</f>
        <v>17</v>
      </c>
      <c r="H51" s="331">
        <f t="shared" si="18"/>
        <v>14</v>
      </c>
      <c r="I51" s="331">
        <f t="shared" si="18"/>
        <v>13</v>
      </c>
      <c r="J51" s="331">
        <f t="shared" si="18"/>
        <v>16</v>
      </c>
      <c r="K51" s="331">
        <f t="shared" si="18"/>
        <v>14</v>
      </c>
      <c r="L51" s="331">
        <f t="shared" si="18"/>
        <v>20</v>
      </c>
      <c r="M51" s="331">
        <f t="shared" si="18"/>
        <v>19</v>
      </c>
      <c r="N51" s="331">
        <f t="shared" si="18"/>
        <v>19</v>
      </c>
      <c r="O51" s="331">
        <f t="shared" si="18"/>
        <v>18</v>
      </c>
      <c r="P51" s="331">
        <f t="shared" si="18"/>
        <v>15</v>
      </c>
      <c r="Q51" s="331">
        <f t="shared" si="18"/>
        <v>14</v>
      </c>
      <c r="R51" s="331">
        <f t="shared" si="18"/>
        <v>14</v>
      </c>
      <c r="S51" s="331">
        <f t="shared" si="18"/>
        <v>14</v>
      </c>
      <c r="T51" s="331">
        <f t="shared" si="18"/>
        <v>17</v>
      </c>
      <c r="U51" s="331">
        <f t="shared" si="18"/>
        <v>17</v>
      </c>
      <c r="V51" s="331">
        <f t="shared" si="18"/>
        <v>14</v>
      </c>
      <c r="W51" s="331">
        <f t="shared" si="18"/>
        <v>13</v>
      </c>
      <c r="X51" s="331">
        <f t="shared" si="18"/>
        <v>16</v>
      </c>
      <c r="Y51" s="331">
        <f t="shared" si="18"/>
        <v>18</v>
      </c>
      <c r="Z51" s="331">
        <f t="shared" si="18"/>
        <v>16</v>
      </c>
      <c r="AA51" s="331">
        <f t="shared" si="18"/>
        <v>15</v>
      </c>
      <c r="AB51" s="331"/>
      <c r="AC51" s="331"/>
      <c r="AD51" s="331">
        <f t="shared" ref="AD51:AG51" si="19">COUNTA(AD6,#REF!,#REF!,AD11,AD20:AD39,AD21:AD41)</f>
        <v>13</v>
      </c>
      <c r="AE51" s="331">
        <f t="shared" si="19"/>
        <v>16</v>
      </c>
      <c r="AF51" s="331">
        <f t="shared" si="19"/>
        <v>18</v>
      </c>
      <c r="AG51" s="331">
        <f t="shared" si="19"/>
        <v>14</v>
      </c>
      <c r="AH51" s="331"/>
      <c r="AI51" s="331"/>
      <c r="AJ51" s="331"/>
      <c r="AK51" s="331">
        <f>COUNTA(AK6,#REF!,#REF!,AK11,AK20:AK39,AK21:AK41)</f>
        <v>15</v>
      </c>
      <c r="AL51" s="332">
        <f t="shared" si="20"/>
        <v>394</v>
      </c>
      <c r="AM51" s="325"/>
      <c r="AN51" s="225"/>
    </row>
    <row r="52" ht="14.25" customHeight="1">
      <c r="A52" s="333"/>
      <c r="B52" s="334"/>
      <c r="C52" s="335"/>
      <c r="D52" s="336" t="s">
        <v>161</v>
      </c>
      <c r="E52" s="336"/>
      <c r="F52" s="338"/>
      <c r="G52" s="339">
        <f t="shared" ref="G52:AA52" si="21">COUNTA(G20:G39,G26,G41:G42)</f>
        <v>8</v>
      </c>
      <c r="H52" s="339">
        <f t="shared" si="21"/>
        <v>5</v>
      </c>
      <c r="I52" s="339">
        <f t="shared" si="21"/>
        <v>5</v>
      </c>
      <c r="J52" s="339">
        <f t="shared" si="21"/>
        <v>8</v>
      </c>
      <c r="K52" s="339">
        <f t="shared" si="21"/>
        <v>5</v>
      </c>
      <c r="L52" s="339">
        <f t="shared" si="21"/>
        <v>8</v>
      </c>
      <c r="M52" s="339">
        <f t="shared" si="21"/>
        <v>10</v>
      </c>
      <c r="N52" s="339">
        <f t="shared" si="21"/>
        <v>8</v>
      </c>
      <c r="O52" s="339">
        <f t="shared" si="21"/>
        <v>7</v>
      </c>
      <c r="P52" s="339">
        <f t="shared" si="21"/>
        <v>7</v>
      </c>
      <c r="Q52" s="339">
        <f t="shared" si="21"/>
        <v>5</v>
      </c>
      <c r="R52" s="339">
        <f t="shared" si="21"/>
        <v>5</v>
      </c>
      <c r="S52" s="339">
        <f t="shared" si="21"/>
        <v>7</v>
      </c>
      <c r="T52" s="339">
        <f t="shared" si="21"/>
        <v>7</v>
      </c>
      <c r="U52" s="339">
        <f t="shared" si="21"/>
        <v>7</v>
      </c>
      <c r="V52" s="339">
        <f t="shared" si="21"/>
        <v>7</v>
      </c>
      <c r="W52" s="339">
        <f t="shared" si="21"/>
        <v>5</v>
      </c>
      <c r="X52" s="339">
        <f t="shared" si="21"/>
        <v>6</v>
      </c>
      <c r="Y52" s="339">
        <f t="shared" si="21"/>
        <v>9</v>
      </c>
      <c r="Z52" s="339">
        <f t="shared" si="21"/>
        <v>6</v>
      </c>
      <c r="AA52" s="339">
        <f t="shared" si="21"/>
        <v>7</v>
      </c>
      <c r="AB52" s="339"/>
      <c r="AC52" s="339"/>
      <c r="AD52" s="339">
        <f t="shared" ref="AD52:AG52" si="22">COUNTA(AD20:AD39,AD26,AD41:AD42)</f>
        <v>5</v>
      </c>
      <c r="AE52" s="339">
        <f t="shared" si="22"/>
        <v>7</v>
      </c>
      <c r="AF52" s="339">
        <f t="shared" si="22"/>
        <v>7</v>
      </c>
      <c r="AG52" s="339">
        <f t="shared" si="22"/>
        <v>5</v>
      </c>
      <c r="AH52" s="339"/>
      <c r="AI52" s="339"/>
      <c r="AJ52" s="339"/>
      <c r="AK52" s="339">
        <f>COUNTA(AK20:AK39,AK26,AK41:AK42)</f>
        <v>7</v>
      </c>
      <c r="AL52" s="340">
        <f t="shared" si="20"/>
        <v>166</v>
      </c>
      <c r="AM52" s="341">
        <f>AM50*AL54</f>
        <v>231750</v>
      </c>
      <c r="AN52" s="225"/>
    </row>
    <row r="53" ht="14.25" customHeight="1">
      <c r="A53" s="342"/>
      <c r="B53" s="343"/>
      <c r="C53" s="344"/>
      <c r="D53" s="345" t="s">
        <v>162</v>
      </c>
      <c r="E53" s="345"/>
      <c r="F53" s="346"/>
      <c r="G53" s="347">
        <f t="shared" ref="G53:AA53" si="23">COUNTA(#REF!,#REF!,G26,#REF!)</f>
        <v>3</v>
      </c>
      <c r="H53" s="347">
        <f t="shared" si="23"/>
        <v>3</v>
      </c>
      <c r="I53" s="347">
        <f t="shared" si="23"/>
        <v>3</v>
      </c>
      <c r="J53" s="347">
        <f t="shared" si="23"/>
        <v>4</v>
      </c>
      <c r="K53" s="347">
        <f t="shared" si="23"/>
        <v>3</v>
      </c>
      <c r="L53" s="347">
        <f t="shared" si="23"/>
        <v>3</v>
      </c>
      <c r="M53" s="347">
        <f t="shared" si="23"/>
        <v>4</v>
      </c>
      <c r="N53" s="347">
        <f t="shared" si="23"/>
        <v>3</v>
      </c>
      <c r="O53" s="347">
        <f t="shared" si="23"/>
        <v>3</v>
      </c>
      <c r="P53" s="347">
        <f t="shared" si="23"/>
        <v>3</v>
      </c>
      <c r="Q53" s="347">
        <f t="shared" si="23"/>
        <v>3</v>
      </c>
      <c r="R53" s="347">
        <f t="shared" si="23"/>
        <v>3</v>
      </c>
      <c r="S53" s="347">
        <f t="shared" si="23"/>
        <v>4</v>
      </c>
      <c r="T53" s="347">
        <f t="shared" si="23"/>
        <v>3</v>
      </c>
      <c r="U53" s="347">
        <f t="shared" si="23"/>
        <v>3</v>
      </c>
      <c r="V53" s="347">
        <f t="shared" si="23"/>
        <v>4</v>
      </c>
      <c r="W53" s="347">
        <f t="shared" si="23"/>
        <v>3</v>
      </c>
      <c r="X53" s="347">
        <f t="shared" si="23"/>
        <v>3</v>
      </c>
      <c r="Y53" s="347">
        <f t="shared" si="23"/>
        <v>4</v>
      </c>
      <c r="Z53" s="347">
        <f t="shared" si="23"/>
        <v>3</v>
      </c>
      <c r="AA53" s="347">
        <f t="shared" si="23"/>
        <v>4</v>
      </c>
      <c r="AB53" s="347"/>
      <c r="AC53" s="347"/>
      <c r="AD53" s="347">
        <f t="shared" ref="AD53:AG53" si="24">COUNTA(#REF!,#REF!,AD26,#REF!)</f>
        <v>3</v>
      </c>
      <c r="AE53" s="347">
        <f t="shared" si="24"/>
        <v>3</v>
      </c>
      <c r="AF53" s="347">
        <f t="shared" si="24"/>
        <v>3</v>
      </c>
      <c r="AG53" s="347">
        <f t="shared" si="24"/>
        <v>3</v>
      </c>
      <c r="AH53" s="347"/>
      <c r="AI53" s="347"/>
      <c r="AJ53" s="347"/>
      <c r="AK53" s="347">
        <f>COUNTA(#REF!,#REF!,AK26,#REF!)</f>
        <v>3</v>
      </c>
      <c r="AL53" s="347">
        <f t="shared" si="20"/>
        <v>81</v>
      </c>
      <c r="AM53" s="348"/>
      <c r="AN53" s="225"/>
    </row>
    <row r="54" ht="14.25" customHeight="1">
      <c r="A54" s="349" t="s">
        <v>163</v>
      </c>
      <c r="B54" s="147"/>
      <c r="C54" s="147"/>
      <c r="D54" s="147"/>
      <c r="E54" s="147"/>
      <c r="F54" s="148"/>
      <c r="G54" s="350">
        <f t="shared" ref="G54:AA54" si="25">SUM(G50:G53)</f>
        <v>37</v>
      </c>
      <c r="H54" s="350">
        <f t="shared" si="25"/>
        <v>34</v>
      </c>
      <c r="I54" s="350">
        <f t="shared" si="25"/>
        <v>31</v>
      </c>
      <c r="J54" s="350">
        <f t="shared" si="25"/>
        <v>41</v>
      </c>
      <c r="K54" s="350">
        <f t="shared" si="25"/>
        <v>33</v>
      </c>
      <c r="L54" s="350">
        <f t="shared" si="25"/>
        <v>46</v>
      </c>
      <c r="M54" s="350">
        <f t="shared" si="25"/>
        <v>44</v>
      </c>
      <c r="N54" s="350">
        <f t="shared" si="25"/>
        <v>41</v>
      </c>
      <c r="O54" s="350">
        <f t="shared" si="25"/>
        <v>40</v>
      </c>
      <c r="P54" s="350">
        <f t="shared" si="25"/>
        <v>37</v>
      </c>
      <c r="Q54" s="350">
        <f t="shared" si="25"/>
        <v>32</v>
      </c>
      <c r="R54" s="350">
        <f t="shared" si="25"/>
        <v>33</v>
      </c>
      <c r="S54" s="350">
        <f t="shared" si="25"/>
        <v>37</v>
      </c>
      <c r="T54" s="350">
        <f t="shared" si="25"/>
        <v>37</v>
      </c>
      <c r="U54" s="350">
        <f t="shared" si="25"/>
        <v>36</v>
      </c>
      <c r="V54" s="350">
        <f t="shared" si="25"/>
        <v>37</v>
      </c>
      <c r="W54" s="350">
        <f t="shared" si="25"/>
        <v>31</v>
      </c>
      <c r="X54" s="350">
        <f t="shared" si="25"/>
        <v>38</v>
      </c>
      <c r="Y54" s="350">
        <f t="shared" si="25"/>
        <v>46</v>
      </c>
      <c r="Z54" s="350">
        <f t="shared" si="25"/>
        <v>38</v>
      </c>
      <c r="AA54" s="350">
        <f t="shared" si="25"/>
        <v>35</v>
      </c>
      <c r="AB54" s="350"/>
      <c r="AC54" s="350"/>
      <c r="AD54" s="350">
        <f t="shared" ref="AD54:AG54" si="26">SUM(AD50:AD53)</f>
        <v>31</v>
      </c>
      <c r="AE54" s="350">
        <f t="shared" si="26"/>
        <v>38</v>
      </c>
      <c r="AF54" s="350">
        <f t="shared" si="26"/>
        <v>41</v>
      </c>
      <c r="AG54" s="350">
        <f t="shared" si="26"/>
        <v>33</v>
      </c>
      <c r="AH54" s="350"/>
      <c r="AI54" s="350"/>
      <c r="AJ54" s="350"/>
      <c r="AK54" s="350">
        <f t="shared" ref="AK54:AL54" si="27">SUM(AK50:AK53)</f>
        <v>37</v>
      </c>
      <c r="AL54" s="350">
        <f t="shared" si="27"/>
        <v>927</v>
      </c>
      <c r="AM54" s="351"/>
      <c r="AN54" s="225"/>
    </row>
    <row r="55" ht="14.25" customHeight="1">
      <c r="A55" s="309"/>
      <c r="B55" s="352" t="s">
        <v>164</v>
      </c>
      <c r="C55" s="352"/>
      <c r="D55" s="352"/>
      <c r="E55" s="352"/>
      <c r="F55" s="311"/>
      <c r="G55" s="311"/>
      <c r="H55" s="311"/>
      <c r="I55" s="311"/>
      <c r="J55" s="311"/>
      <c r="K55" s="311"/>
      <c r="L55" s="311"/>
      <c r="M55" s="311"/>
      <c r="N55" s="311"/>
      <c r="O55" s="312"/>
      <c r="P55" s="312"/>
      <c r="Q55" s="311"/>
      <c r="R55" s="311"/>
      <c r="S55" s="311"/>
      <c r="T55" s="311"/>
      <c r="U55" s="312"/>
      <c r="V55" s="312"/>
      <c r="W55" s="312"/>
      <c r="X55" s="311"/>
      <c r="Y55" s="311"/>
      <c r="Z55" s="311"/>
      <c r="AA55" s="311"/>
      <c r="AB55" s="311"/>
      <c r="AC55" s="311"/>
      <c r="AD55" s="312"/>
      <c r="AE55" s="312"/>
      <c r="AF55" s="312"/>
      <c r="AG55" s="312"/>
      <c r="AH55" s="312"/>
      <c r="AI55" s="312"/>
      <c r="AJ55" s="312"/>
      <c r="AK55" s="312"/>
      <c r="AL55" s="312"/>
      <c r="AM55" s="353"/>
      <c r="AN55" s="225"/>
    </row>
    <row r="56" ht="14.25" customHeight="1">
      <c r="A56" s="309"/>
      <c r="B56" s="352" t="s">
        <v>165</v>
      </c>
      <c r="C56" s="309"/>
      <c r="D56" s="309"/>
      <c r="E56" s="309"/>
      <c r="F56" s="311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225"/>
    </row>
    <row r="57" ht="14.25" customHeight="1">
      <c r="A57" s="309"/>
      <c r="B57" s="352" t="s">
        <v>166</v>
      </c>
      <c r="C57" s="354"/>
      <c r="D57" s="354"/>
      <c r="E57" s="309"/>
      <c r="F57" s="311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  <c r="Z57" s="312"/>
      <c r="AA57" s="312"/>
      <c r="AB57" s="312"/>
      <c r="AC57" s="312"/>
      <c r="AD57" s="312"/>
      <c r="AE57" s="312"/>
      <c r="AF57" s="312"/>
      <c r="AG57" s="312"/>
      <c r="AH57" s="312"/>
      <c r="AI57" s="312"/>
      <c r="AJ57" s="312"/>
      <c r="AK57" s="312"/>
      <c r="AL57" s="312"/>
      <c r="AM57" s="312"/>
      <c r="AN57" s="225"/>
    </row>
    <row r="58" ht="14.25" customHeight="1">
      <c r="A58" s="309"/>
      <c r="B58" s="352"/>
      <c r="C58" s="354"/>
      <c r="D58" s="354"/>
      <c r="E58" s="311" t="s">
        <v>167</v>
      </c>
      <c r="G58" s="312"/>
      <c r="H58" s="312"/>
      <c r="I58" s="312"/>
      <c r="J58" s="312"/>
      <c r="K58" s="312" t="s">
        <v>168</v>
      </c>
      <c r="S58" s="312"/>
      <c r="T58" s="312"/>
      <c r="U58" s="312"/>
      <c r="V58" s="312"/>
      <c r="W58" s="312"/>
      <c r="X58" s="312"/>
      <c r="Y58" s="312"/>
      <c r="Z58" s="312"/>
      <c r="AA58" s="312"/>
      <c r="AB58" s="312"/>
      <c r="AC58" s="312"/>
      <c r="AD58" s="312"/>
      <c r="AE58" s="312"/>
      <c r="AF58" s="312"/>
      <c r="AG58" s="312"/>
      <c r="AH58" s="312"/>
      <c r="AI58" s="312"/>
      <c r="AJ58" s="312"/>
      <c r="AK58" s="312"/>
      <c r="AL58" s="312"/>
      <c r="AM58" s="312"/>
      <c r="AN58" s="225"/>
    </row>
    <row r="59" ht="14.25" customHeight="1">
      <c r="A59" s="309"/>
      <c r="B59" s="310"/>
      <c r="C59" s="309"/>
      <c r="D59" s="309"/>
      <c r="E59" s="309"/>
      <c r="F59" s="311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312"/>
      <c r="AF59" s="312"/>
      <c r="AG59" s="312"/>
      <c r="AH59" s="312"/>
      <c r="AI59" s="312"/>
      <c r="AJ59" s="312"/>
      <c r="AK59" s="312"/>
      <c r="AL59" s="312"/>
      <c r="AM59" s="312"/>
      <c r="AN59" s="225"/>
    </row>
    <row r="60" ht="14.25" customHeight="1">
      <c r="A60" s="309"/>
      <c r="B60" s="310"/>
      <c r="C60" s="309"/>
      <c r="D60" s="309"/>
      <c r="E60" s="311" t="s">
        <v>169</v>
      </c>
      <c r="G60" s="312"/>
      <c r="H60" s="312"/>
      <c r="I60" s="312"/>
      <c r="J60" s="312"/>
      <c r="K60" s="312"/>
      <c r="L60" s="312"/>
      <c r="M60" s="312"/>
      <c r="N60" s="312" t="s">
        <v>170</v>
      </c>
      <c r="O60" s="312"/>
      <c r="P60" s="312"/>
      <c r="Q60" s="312" t="s">
        <v>171</v>
      </c>
      <c r="R60" s="312"/>
      <c r="S60" s="312"/>
      <c r="T60" s="312"/>
      <c r="U60" s="312"/>
      <c r="V60" s="312"/>
      <c r="W60" s="312"/>
      <c r="X60" s="312"/>
      <c r="Y60" s="312"/>
      <c r="Z60" s="312"/>
      <c r="AA60" s="312"/>
      <c r="AB60" s="312"/>
      <c r="AC60" s="312"/>
      <c r="AD60" s="312"/>
      <c r="AE60" s="312"/>
      <c r="AF60" s="312"/>
      <c r="AG60" s="312"/>
      <c r="AH60" s="312"/>
      <c r="AI60" s="312"/>
      <c r="AJ60" s="312"/>
      <c r="AK60" s="312"/>
      <c r="AL60" s="312"/>
      <c r="AM60" s="312"/>
      <c r="AN60" s="225"/>
    </row>
    <row r="61" ht="14.25" customHeight="1">
      <c r="A61" s="309"/>
      <c r="B61" s="310"/>
      <c r="C61" s="309"/>
      <c r="D61" s="309"/>
      <c r="E61" s="309"/>
      <c r="F61" s="355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1"/>
      <c r="R61" s="312"/>
      <c r="S61" s="312"/>
      <c r="T61" s="312"/>
      <c r="U61" s="312"/>
      <c r="V61" s="312"/>
      <c r="W61" s="312"/>
      <c r="X61" s="312"/>
      <c r="Y61" s="312"/>
      <c r="Z61" s="312"/>
      <c r="AA61" s="312"/>
      <c r="AB61" s="312"/>
      <c r="AC61" s="312"/>
      <c r="AD61" s="312"/>
      <c r="AE61" s="312"/>
      <c r="AF61" s="312"/>
      <c r="AG61" s="312"/>
      <c r="AH61" s="312"/>
      <c r="AI61" s="312"/>
      <c r="AJ61" s="312"/>
      <c r="AK61" s="312"/>
      <c r="AL61" s="312"/>
      <c r="AM61" s="312"/>
      <c r="AN61" s="225"/>
    </row>
    <row r="62" ht="14.25" customHeight="1">
      <c r="A62" s="309"/>
      <c r="B62" s="310"/>
      <c r="C62" s="309"/>
      <c r="D62" s="309"/>
      <c r="E62" s="355" t="s">
        <v>172</v>
      </c>
      <c r="G62" s="312"/>
      <c r="H62" s="312"/>
      <c r="I62" s="312"/>
      <c r="J62" s="312"/>
      <c r="K62" s="312"/>
      <c r="L62" s="312"/>
      <c r="M62" s="312"/>
      <c r="N62" s="312" t="s">
        <v>170</v>
      </c>
      <c r="O62" s="312"/>
      <c r="P62" s="312"/>
      <c r="Q62" s="312" t="s">
        <v>171</v>
      </c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2"/>
      <c r="AN62" s="225"/>
    </row>
    <row r="63" ht="14.25" customHeight="1"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  <c r="AC63" s="358"/>
      <c r="AD63" s="358"/>
      <c r="AE63" s="358"/>
      <c r="AF63" s="358"/>
      <c r="AG63" s="358"/>
      <c r="AH63" s="358"/>
      <c r="AI63" s="358"/>
      <c r="AJ63" s="358"/>
      <c r="AK63" s="358"/>
      <c r="AL63" s="358"/>
      <c r="AM63" s="358"/>
    </row>
    <row r="64" ht="14.25" customHeight="1"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  <c r="AB64" s="358"/>
      <c r="AC64" s="358"/>
      <c r="AD64" s="358"/>
      <c r="AE64" s="358"/>
      <c r="AF64" s="358"/>
      <c r="AG64" s="358"/>
      <c r="AH64" s="358"/>
      <c r="AI64" s="358"/>
      <c r="AJ64" s="358"/>
      <c r="AK64" s="358"/>
      <c r="AL64" s="358"/>
      <c r="AM64" s="358"/>
    </row>
    <row r="65" ht="14.25" customHeight="1"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  <c r="AD65" s="358"/>
      <c r="AE65" s="358"/>
      <c r="AF65" s="358"/>
      <c r="AG65" s="358"/>
      <c r="AH65" s="358"/>
      <c r="AI65" s="358"/>
      <c r="AJ65" s="358"/>
      <c r="AK65" s="358"/>
      <c r="AL65" s="358"/>
      <c r="AM65" s="358"/>
    </row>
    <row r="66" ht="14.25" customHeight="1"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  <c r="AB66" s="358"/>
      <c r="AC66" s="358"/>
      <c r="AD66" s="358"/>
      <c r="AE66" s="358"/>
      <c r="AF66" s="358"/>
      <c r="AG66" s="358"/>
      <c r="AH66" s="358"/>
      <c r="AI66" s="358"/>
      <c r="AJ66" s="358"/>
      <c r="AK66" s="358"/>
      <c r="AL66" s="358"/>
      <c r="AM66" s="358"/>
    </row>
    <row r="67" ht="14.25" customHeight="1"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  <c r="AA67" s="358"/>
      <c r="AB67" s="358"/>
      <c r="AC67" s="358"/>
      <c r="AD67" s="358"/>
      <c r="AE67" s="358"/>
      <c r="AF67" s="358"/>
      <c r="AG67" s="358"/>
      <c r="AH67" s="358"/>
      <c r="AI67" s="358"/>
      <c r="AJ67" s="358"/>
      <c r="AK67" s="358"/>
      <c r="AL67" s="358"/>
      <c r="AM67" s="358"/>
    </row>
    <row r="68" ht="14.25" customHeight="1"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358"/>
      <c r="AB68" s="358"/>
      <c r="AC68" s="358"/>
      <c r="AD68" s="358"/>
      <c r="AE68" s="358"/>
      <c r="AF68" s="358"/>
      <c r="AG68" s="358"/>
      <c r="AH68" s="358"/>
      <c r="AI68" s="358"/>
      <c r="AJ68" s="358"/>
      <c r="AK68" s="358"/>
      <c r="AL68" s="358"/>
      <c r="AM68" s="358"/>
    </row>
    <row r="69" ht="14.25" customHeight="1"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358"/>
      <c r="AB69" s="358"/>
      <c r="AC69" s="358"/>
      <c r="AD69" s="358"/>
      <c r="AE69" s="358"/>
      <c r="AF69" s="358"/>
      <c r="AG69" s="358"/>
      <c r="AH69" s="358"/>
      <c r="AI69" s="358"/>
      <c r="AJ69" s="358"/>
      <c r="AK69" s="358"/>
      <c r="AL69" s="358"/>
      <c r="AM69" s="358"/>
    </row>
    <row r="70" ht="14.25" customHeight="1"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  <c r="AA70" s="358"/>
      <c r="AB70" s="358"/>
      <c r="AC70" s="358"/>
      <c r="AD70" s="358"/>
      <c r="AE70" s="358"/>
      <c r="AF70" s="358"/>
      <c r="AG70" s="358"/>
      <c r="AH70" s="358"/>
      <c r="AI70" s="358"/>
      <c r="AJ70" s="358"/>
      <c r="AK70" s="358"/>
      <c r="AL70" s="358"/>
      <c r="AM70" s="358"/>
    </row>
    <row r="71" ht="14.25" customHeight="1"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  <c r="AA71" s="358"/>
      <c r="AB71" s="358"/>
      <c r="AC71" s="358"/>
      <c r="AD71" s="358"/>
      <c r="AE71" s="358"/>
      <c r="AF71" s="358"/>
      <c r="AG71" s="358"/>
      <c r="AH71" s="358"/>
      <c r="AI71" s="358"/>
      <c r="AJ71" s="358"/>
      <c r="AK71" s="358"/>
      <c r="AL71" s="358"/>
      <c r="AM71" s="358"/>
    </row>
    <row r="72" ht="14.25" customHeight="1"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  <c r="AA72" s="358"/>
      <c r="AB72" s="358"/>
      <c r="AC72" s="358"/>
      <c r="AD72" s="358"/>
      <c r="AE72" s="358"/>
      <c r="AF72" s="358"/>
      <c r="AG72" s="358"/>
      <c r="AH72" s="358"/>
      <c r="AI72" s="358"/>
      <c r="AJ72" s="358"/>
      <c r="AK72" s="358"/>
      <c r="AL72" s="358"/>
      <c r="AM72" s="358"/>
    </row>
    <row r="73" ht="14.25" customHeight="1"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  <c r="AD73" s="358"/>
      <c r="AE73" s="358"/>
      <c r="AF73" s="358"/>
      <c r="AG73" s="358"/>
      <c r="AH73" s="358"/>
      <c r="AI73" s="358"/>
      <c r="AJ73" s="358"/>
      <c r="AK73" s="358"/>
      <c r="AL73" s="358"/>
      <c r="AM73" s="358"/>
    </row>
    <row r="74" ht="14.25" customHeight="1"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358"/>
      <c r="AB74" s="358"/>
      <c r="AC74" s="358"/>
      <c r="AD74" s="358"/>
      <c r="AE74" s="358"/>
      <c r="AF74" s="358"/>
      <c r="AG74" s="358"/>
      <c r="AH74" s="358"/>
      <c r="AI74" s="358"/>
      <c r="AJ74" s="358"/>
      <c r="AK74" s="358"/>
      <c r="AL74" s="358"/>
      <c r="AM74" s="358"/>
    </row>
    <row r="75" ht="14.25" customHeight="1"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</row>
    <row r="76" ht="14.25" customHeight="1"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  <c r="AB76" s="358"/>
      <c r="AC76" s="358"/>
      <c r="AD76" s="358"/>
      <c r="AE76" s="358"/>
      <c r="AF76" s="358"/>
      <c r="AG76" s="358"/>
      <c r="AH76" s="358"/>
      <c r="AI76" s="358"/>
      <c r="AJ76" s="358"/>
      <c r="AK76" s="358"/>
      <c r="AL76" s="358"/>
      <c r="AM76" s="358"/>
    </row>
    <row r="77" ht="14.25" customHeight="1"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  <c r="AA77" s="358"/>
      <c r="AB77" s="358"/>
      <c r="AC77" s="358"/>
      <c r="AD77" s="358"/>
      <c r="AE77" s="358"/>
      <c r="AF77" s="358"/>
      <c r="AG77" s="358"/>
      <c r="AH77" s="358"/>
      <c r="AI77" s="358"/>
      <c r="AJ77" s="358"/>
      <c r="AK77" s="358"/>
      <c r="AL77" s="358"/>
      <c r="AM77" s="358"/>
    </row>
    <row r="78" ht="14.25" customHeight="1"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  <c r="AA78" s="358"/>
      <c r="AB78" s="358"/>
      <c r="AC78" s="358"/>
      <c r="AD78" s="358"/>
      <c r="AE78" s="358"/>
      <c r="AF78" s="358"/>
      <c r="AG78" s="358"/>
      <c r="AH78" s="358"/>
      <c r="AI78" s="358"/>
      <c r="AJ78" s="358"/>
      <c r="AK78" s="358"/>
      <c r="AL78" s="358"/>
      <c r="AM78" s="358"/>
    </row>
    <row r="79" ht="14.25" customHeight="1"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358"/>
      <c r="AB79" s="358"/>
      <c r="AC79" s="358"/>
      <c r="AD79" s="358"/>
      <c r="AE79" s="358"/>
      <c r="AF79" s="358"/>
      <c r="AG79" s="358"/>
      <c r="AH79" s="358"/>
      <c r="AI79" s="358"/>
      <c r="AJ79" s="358"/>
      <c r="AK79" s="358"/>
      <c r="AL79" s="358"/>
      <c r="AM79" s="358"/>
    </row>
    <row r="80" ht="14.25" customHeight="1"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358"/>
      <c r="AB80" s="358"/>
      <c r="AC80" s="358"/>
      <c r="AD80" s="358"/>
      <c r="AE80" s="358"/>
      <c r="AF80" s="358"/>
      <c r="AG80" s="358"/>
      <c r="AH80" s="358"/>
      <c r="AI80" s="358"/>
      <c r="AJ80" s="358"/>
      <c r="AK80" s="358"/>
      <c r="AL80" s="358"/>
      <c r="AM80" s="358"/>
    </row>
    <row r="81" ht="14.25" customHeight="1"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358"/>
      <c r="AB81" s="358"/>
      <c r="AC81" s="358"/>
      <c r="AD81" s="358"/>
      <c r="AE81" s="358"/>
      <c r="AF81" s="358"/>
      <c r="AG81" s="358"/>
      <c r="AH81" s="358"/>
      <c r="AI81" s="358"/>
      <c r="AJ81" s="358"/>
      <c r="AK81" s="358"/>
      <c r="AL81" s="358"/>
      <c r="AM81" s="358"/>
    </row>
    <row r="82" ht="14.25" customHeight="1"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358"/>
      <c r="AB82" s="358"/>
      <c r="AC82" s="358"/>
      <c r="AD82" s="358"/>
      <c r="AE82" s="358"/>
      <c r="AF82" s="358"/>
      <c r="AG82" s="358"/>
      <c r="AH82" s="358"/>
      <c r="AI82" s="358"/>
      <c r="AJ82" s="358"/>
      <c r="AK82" s="358"/>
      <c r="AL82" s="358"/>
      <c r="AM82" s="358"/>
    </row>
    <row r="83" ht="14.25" customHeight="1"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  <c r="AA83" s="358"/>
      <c r="AB83" s="358"/>
      <c r="AC83" s="358"/>
      <c r="AD83" s="358"/>
      <c r="AE83" s="358"/>
      <c r="AF83" s="358"/>
      <c r="AG83" s="358"/>
      <c r="AH83" s="358"/>
      <c r="AI83" s="358"/>
      <c r="AJ83" s="358"/>
      <c r="AK83" s="358"/>
      <c r="AL83" s="358"/>
      <c r="AM83" s="358"/>
    </row>
    <row r="84" ht="14.25" customHeight="1"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58"/>
      <c r="AD84" s="358"/>
      <c r="AE84" s="358"/>
      <c r="AF84" s="358"/>
      <c r="AG84" s="358"/>
      <c r="AH84" s="358"/>
      <c r="AI84" s="358"/>
      <c r="AJ84" s="358"/>
      <c r="AK84" s="358"/>
      <c r="AL84" s="358"/>
      <c r="AM84" s="358"/>
    </row>
    <row r="85" ht="14.25" customHeight="1"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58"/>
      <c r="AD85" s="358"/>
      <c r="AE85" s="358"/>
      <c r="AF85" s="358"/>
      <c r="AG85" s="358"/>
      <c r="AH85" s="358"/>
      <c r="AI85" s="358"/>
      <c r="AJ85" s="358"/>
      <c r="AK85" s="358"/>
      <c r="AL85" s="358"/>
      <c r="AM85" s="358"/>
    </row>
    <row r="86" ht="14.25" customHeight="1"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358"/>
      <c r="AB86" s="358"/>
      <c r="AC86" s="358"/>
      <c r="AD86" s="358"/>
      <c r="AE86" s="358"/>
      <c r="AF86" s="358"/>
      <c r="AG86" s="358"/>
      <c r="AH86" s="358"/>
      <c r="AI86" s="358"/>
      <c r="AJ86" s="358"/>
      <c r="AK86" s="358"/>
      <c r="AL86" s="358"/>
      <c r="AM86" s="358"/>
    </row>
    <row r="87" ht="14.25" customHeight="1"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  <c r="AD87" s="358"/>
      <c r="AE87" s="358"/>
      <c r="AF87" s="358"/>
      <c r="AG87" s="358"/>
      <c r="AH87" s="358"/>
      <c r="AI87" s="358"/>
      <c r="AJ87" s="358"/>
      <c r="AK87" s="358"/>
      <c r="AL87" s="358"/>
      <c r="AM87" s="358"/>
    </row>
    <row r="88" ht="14.25" customHeight="1"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  <c r="AA88" s="358"/>
      <c r="AB88" s="358"/>
      <c r="AC88" s="358"/>
      <c r="AD88" s="358"/>
      <c r="AE88" s="358"/>
      <c r="AF88" s="358"/>
      <c r="AG88" s="358"/>
      <c r="AH88" s="358"/>
      <c r="AI88" s="358"/>
      <c r="AJ88" s="358"/>
      <c r="AK88" s="358"/>
      <c r="AL88" s="358"/>
      <c r="AM88" s="358"/>
    </row>
    <row r="89" ht="14.25" customHeight="1"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  <c r="AB89" s="358"/>
      <c r="AC89" s="358"/>
      <c r="AD89" s="358"/>
      <c r="AE89" s="358"/>
      <c r="AF89" s="358"/>
      <c r="AG89" s="358"/>
      <c r="AH89" s="358"/>
      <c r="AI89" s="358"/>
      <c r="AJ89" s="358"/>
      <c r="AK89" s="358"/>
      <c r="AL89" s="358"/>
      <c r="AM89" s="358"/>
    </row>
    <row r="90" ht="14.25" customHeight="1"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  <c r="AA90" s="358"/>
      <c r="AB90" s="358"/>
      <c r="AC90" s="358"/>
      <c r="AD90" s="358"/>
      <c r="AE90" s="358"/>
      <c r="AF90" s="358"/>
      <c r="AG90" s="358"/>
      <c r="AH90" s="358"/>
      <c r="AI90" s="358"/>
      <c r="AJ90" s="358"/>
      <c r="AK90" s="358"/>
      <c r="AL90" s="358"/>
      <c r="AM90" s="358"/>
    </row>
    <row r="91" ht="14.25" customHeight="1"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358"/>
      <c r="AB91" s="358"/>
      <c r="AC91" s="358"/>
      <c r="AD91" s="358"/>
      <c r="AE91" s="358"/>
      <c r="AF91" s="358"/>
      <c r="AG91" s="358"/>
      <c r="AH91" s="358"/>
      <c r="AI91" s="358"/>
      <c r="AJ91" s="358"/>
      <c r="AK91" s="358"/>
      <c r="AL91" s="358"/>
      <c r="AM91" s="358"/>
    </row>
    <row r="92" ht="14.25" customHeight="1"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358"/>
      <c r="AB92" s="358"/>
      <c r="AC92" s="358"/>
      <c r="AD92" s="358"/>
      <c r="AE92" s="358"/>
      <c r="AF92" s="358"/>
      <c r="AG92" s="358"/>
      <c r="AH92" s="358"/>
      <c r="AI92" s="358"/>
      <c r="AJ92" s="358"/>
      <c r="AK92" s="358"/>
      <c r="AL92" s="358"/>
      <c r="AM92" s="358"/>
    </row>
    <row r="93" ht="14.25" customHeight="1"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358"/>
      <c r="AB93" s="358"/>
      <c r="AC93" s="358"/>
      <c r="AD93" s="358"/>
      <c r="AE93" s="358"/>
      <c r="AF93" s="358"/>
      <c r="AG93" s="358"/>
      <c r="AH93" s="358"/>
      <c r="AI93" s="358"/>
      <c r="AJ93" s="358"/>
      <c r="AK93" s="358"/>
      <c r="AL93" s="358"/>
      <c r="AM93" s="358"/>
    </row>
    <row r="94" ht="14.25" customHeight="1"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  <c r="AA94" s="358"/>
      <c r="AB94" s="358"/>
      <c r="AC94" s="358"/>
      <c r="AD94" s="358"/>
      <c r="AE94" s="358"/>
      <c r="AF94" s="358"/>
      <c r="AG94" s="358"/>
      <c r="AH94" s="358"/>
      <c r="AI94" s="358"/>
      <c r="AJ94" s="358"/>
      <c r="AK94" s="358"/>
      <c r="AL94" s="358"/>
      <c r="AM94" s="358"/>
    </row>
    <row r="95" ht="14.25" customHeight="1"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</row>
    <row r="96" ht="14.25" customHeight="1"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  <c r="AA96" s="358"/>
      <c r="AB96" s="358"/>
      <c r="AC96" s="358"/>
      <c r="AD96" s="358"/>
      <c r="AE96" s="358"/>
      <c r="AF96" s="358"/>
      <c r="AG96" s="358"/>
      <c r="AH96" s="358"/>
      <c r="AI96" s="358"/>
      <c r="AJ96" s="358"/>
      <c r="AK96" s="358"/>
      <c r="AL96" s="358"/>
      <c r="AM96" s="358"/>
    </row>
    <row r="97" ht="14.25" customHeight="1"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358"/>
      <c r="AB97" s="358"/>
      <c r="AC97" s="358"/>
      <c r="AD97" s="358"/>
      <c r="AE97" s="358"/>
      <c r="AF97" s="358"/>
      <c r="AG97" s="358"/>
      <c r="AH97" s="358"/>
      <c r="AI97" s="358"/>
      <c r="AJ97" s="358"/>
      <c r="AK97" s="358"/>
      <c r="AL97" s="358"/>
      <c r="AM97" s="358"/>
    </row>
    <row r="98" ht="14.25" customHeight="1"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  <c r="AA98" s="358"/>
      <c r="AB98" s="358"/>
      <c r="AC98" s="358"/>
      <c r="AD98" s="358"/>
      <c r="AE98" s="358"/>
      <c r="AF98" s="358"/>
      <c r="AG98" s="358"/>
      <c r="AH98" s="358"/>
      <c r="AI98" s="358"/>
      <c r="AJ98" s="358"/>
      <c r="AK98" s="358"/>
      <c r="AL98" s="358"/>
      <c r="AM98" s="358"/>
    </row>
    <row r="99" ht="14.25" customHeight="1"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  <c r="AA99" s="358"/>
      <c r="AB99" s="358"/>
      <c r="AC99" s="358"/>
      <c r="AD99" s="358"/>
      <c r="AE99" s="358"/>
      <c r="AF99" s="358"/>
      <c r="AG99" s="358"/>
      <c r="AH99" s="358"/>
      <c r="AI99" s="358"/>
      <c r="AJ99" s="358"/>
      <c r="AK99" s="358"/>
      <c r="AL99" s="358"/>
      <c r="AM99" s="358"/>
    </row>
    <row r="100" ht="14.25" customHeight="1"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  <c r="AA100" s="358"/>
      <c r="AB100" s="358"/>
      <c r="AC100" s="358"/>
      <c r="AD100" s="358"/>
      <c r="AE100" s="358"/>
      <c r="AF100" s="358"/>
      <c r="AG100" s="358"/>
      <c r="AH100" s="358"/>
      <c r="AI100" s="358"/>
      <c r="AJ100" s="358"/>
      <c r="AK100" s="358"/>
      <c r="AL100" s="358"/>
      <c r="AM100" s="358"/>
    </row>
    <row r="101" ht="14.25" customHeight="1"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  <c r="AA101" s="358"/>
      <c r="AB101" s="358"/>
      <c r="AC101" s="358"/>
      <c r="AD101" s="358"/>
      <c r="AE101" s="358"/>
      <c r="AF101" s="358"/>
      <c r="AG101" s="358"/>
      <c r="AH101" s="358"/>
      <c r="AI101" s="358"/>
      <c r="AJ101" s="358"/>
      <c r="AK101" s="358"/>
      <c r="AL101" s="358"/>
      <c r="AM101" s="358"/>
    </row>
    <row r="102" ht="14.25" customHeight="1"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358"/>
      <c r="AB102" s="358"/>
      <c r="AC102" s="358"/>
      <c r="AD102" s="358"/>
      <c r="AE102" s="358"/>
      <c r="AF102" s="358"/>
      <c r="AG102" s="358"/>
      <c r="AH102" s="358"/>
      <c r="AI102" s="358"/>
      <c r="AJ102" s="358"/>
      <c r="AK102" s="358"/>
      <c r="AL102" s="358"/>
      <c r="AM102" s="358"/>
    </row>
    <row r="103" ht="14.25" customHeight="1"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358"/>
      <c r="AB103" s="358"/>
      <c r="AC103" s="358"/>
      <c r="AD103" s="358"/>
      <c r="AE103" s="358"/>
      <c r="AF103" s="358"/>
      <c r="AG103" s="358"/>
      <c r="AH103" s="358"/>
      <c r="AI103" s="358"/>
      <c r="AJ103" s="358"/>
      <c r="AK103" s="358"/>
      <c r="AL103" s="358"/>
      <c r="AM103" s="358"/>
    </row>
    <row r="104" ht="14.25" customHeight="1"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  <c r="AA104" s="358"/>
      <c r="AB104" s="358"/>
      <c r="AC104" s="358"/>
      <c r="AD104" s="358"/>
      <c r="AE104" s="358"/>
      <c r="AF104" s="358"/>
      <c r="AG104" s="358"/>
      <c r="AH104" s="358"/>
      <c r="AI104" s="358"/>
      <c r="AJ104" s="358"/>
      <c r="AK104" s="358"/>
      <c r="AL104" s="358"/>
      <c r="AM104" s="358"/>
    </row>
    <row r="105" ht="14.25" customHeight="1"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  <c r="AA105" s="358"/>
      <c r="AB105" s="358"/>
      <c r="AC105" s="358"/>
      <c r="AD105" s="358"/>
      <c r="AE105" s="358"/>
      <c r="AF105" s="358"/>
      <c r="AG105" s="358"/>
      <c r="AH105" s="358"/>
      <c r="AI105" s="358"/>
      <c r="AJ105" s="358"/>
      <c r="AK105" s="358"/>
      <c r="AL105" s="358"/>
      <c r="AM105" s="358"/>
    </row>
    <row r="106" ht="14.25" customHeight="1"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  <c r="AA106" s="358"/>
      <c r="AB106" s="358"/>
      <c r="AC106" s="358"/>
      <c r="AD106" s="358"/>
      <c r="AE106" s="358"/>
      <c r="AF106" s="358"/>
      <c r="AG106" s="358"/>
      <c r="AH106" s="358"/>
      <c r="AI106" s="358"/>
      <c r="AJ106" s="358"/>
      <c r="AK106" s="358"/>
      <c r="AL106" s="358"/>
      <c r="AM106" s="358"/>
    </row>
    <row r="107" ht="14.25" customHeight="1"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358"/>
      <c r="AB107" s="358"/>
      <c r="AC107" s="358"/>
      <c r="AD107" s="358"/>
      <c r="AE107" s="358"/>
      <c r="AF107" s="358"/>
      <c r="AG107" s="358"/>
      <c r="AH107" s="358"/>
      <c r="AI107" s="358"/>
      <c r="AJ107" s="358"/>
      <c r="AK107" s="358"/>
      <c r="AL107" s="358"/>
      <c r="AM107" s="358"/>
    </row>
    <row r="108" ht="14.25" customHeight="1"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358"/>
      <c r="AB108" s="358"/>
      <c r="AC108" s="358"/>
      <c r="AD108" s="358"/>
      <c r="AE108" s="358"/>
      <c r="AF108" s="358"/>
      <c r="AG108" s="358"/>
      <c r="AH108" s="358"/>
      <c r="AI108" s="358"/>
      <c r="AJ108" s="358"/>
      <c r="AK108" s="358"/>
      <c r="AL108" s="358"/>
      <c r="AM108" s="358"/>
    </row>
    <row r="109" ht="14.25" customHeight="1"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358"/>
      <c r="AB109" s="358"/>
      <c r="AC109" s="358"/>
      <c r="AD109" s="358"/>
      <c r="AE109" s="358"/>
      <c r="AF109" s="358"/>
      <c r="AG109" s="358"/>
      <c r="AH109" s="358"/>
      <c r="AI109" s="358"/>
      <c r="AJ109" s="358"/>
      <c r="AK109" s="358"/>
      <c r="AL109" s="358"/>
      <c r="AM109" s="358"/>
    </row>
    <row r="110" ht="14.25" customHeight="1"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  <c r="AD110" s="358"/>
      <c r="AE110" s="358"/>
      <c r="AF110" s="358"/>
      <c r="AG110" s="358"/>
      <c r="AH110" s="358"/>
      <c r="AI110" s="358"/>
      <c r="AJ110" s="358"/>
      <c r="AK110" s="358"/>
      <c r="AL110" s="358"/>
      <c r="AM110" s="358"/>
    </row>
    <row r="111" ht="14.25" customHeight="1"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  <c r="AD111" s="358"/>
      <c r="AE111" s="358"/>
      <c r="AF111" s="358"/>
      <c r="AG111" s="358"/>
      <c r="AH111" s="358"/>
      <c r="AI111" s="358"/>
      <c r="AJ111" s="358"/>
      <c r="AK111" s="358"/>
      <c r="AL111" s="358"/>
      <c r="AM111" s="358"/>
    </row>
    <row r="112" ht="14.25" customHeight="1"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</row>
    <row r="113" ht="14.25" customHeight="1"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358"/>
      <c r="AB113" s="358"/>
      <c r="AC113" s="358"/>
      <c r="AD113" s="358"/>
      <c r="AE113" s="358"/>
      <c r="AF113" s="358"/>
      <c r="AG113" s="358"/>
      <c r="AH113" s="358"/>
      <c r="AI113" s="358"/>
      <c r="AJ113" s="358"/>
      <c r="AK113" s="358"/>
      <c r="AL113" s="358"/>
      <c r="AM113" s="358"/>
    </row>
    <row r="114" ht="14.25" customHeight="1"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  <c r="AA114" s="358"/>
      <c r="AB114" s="358"/>
      <c r="AC114" s="358"/>
      <c r="AD114" s="358"/>
      <c r="AE114" s="358"/>
      <c r="AF114" s="358"/>
      <c r="AG114" s="358"/>
      <c r="AH114" s="358"/>
      <c r="AI114" s="358"/>
      <c r="AJ114" s="358"/>
      <c r="AK114" s="358"/>
      <c r="AL114" s="358"/>
      <c r="AM114" s="358"/>
    </row>
    <row r="115" ht="14.25" customHeight="1"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</row>
    <row r="116" ht="14.25" customHeight="1"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  <c r="AA116" s="358"/>
      <c r="AB116" s="358"/>
      <c r="AC116" s="358"/>
      <c r="AD116" s="358"/>
      <c r="AE116" s="358"/>
      <c r="AF116" s="358"/>
      <c r="AG116" s="358"/>
      <c r="AH116" s="358"/>
      <c r="AI116" s="358"/>
      <c r="AJ116" s="358"/>
      <c r="AK116" s="358"/>
      <c r="AL116" s="358"/>
      <c r="AM116" s="358"/>
    </row>
    <row r="117" ht="14.25" customHeight="1"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  <c r="AA117" s="358"/>
      <c r="AB117" s="358"/>
      <c r="AC117" s="358"/>
      <c r="AD117" s="358"/>
      <c r="AE117" s="358"/>
      <c r="AF117" s="358"/>
      <c r="AG117" s="358"/>
      <c r="AH117" s="358"/>
      <c r="AI117" s="358"/>
      <c r="AJ117" s="358"/>
      <c r="AK117" s="358"/>
      <c r="AL117" s="358"/>
      <c r="AM117" s="358"/>
    </row>
    <row r="118" ht="14.25" customHeight="1"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  <c r="AA118" s="358"/>
      <c r="AB118" s="358"/>
      <c r="AC118" s="358"/>
      <c r="AD118" s="358"/>
      <c r="AE118" s="358"/>
      <c r="AF118" s="358"/>
      <c r="AG118" s="358"/>
      <c r="AH118" s="358"/>
      <c r="AI118" s="358"/>
      <c r="AJ118" s="358"/>
      <c r="AK118" s="358"/>
      <c r="AL118" s="358"/>
      <c r="AM118" s="358"/>
    </row>
    <row r="119" ht="14.25" customHeight="1"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358"/>
      <c r="AB119" s="358"/>
      <c r="AC119" s="358"/>
      <c r="AD119" s="358"/>
      <c r="AE119" s="358"/>
      <c r="AF119" s="358"/>
      <c r="AG119" s="358"/>
      <c r="AH119" s="358"/>
      <c r="AI119" s="358"/>
      <c r="AJ119" s="358"/>
      <c r="AK119" s="358"/>
      <c r="AL119" s="358"/>
      <c r="AM119" s="358"/>
    </row>
    <row r="120" ht="14.25" customHeight="1"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358"/>
      <c r="AB120" s="358"/>
      <c r="AC120" s="358"/>
      <c r="AD120" s="358"/>
      <c r="AE120" s="358"/>
      <c r="AF120" s="358"/>
      <c r="AG120" s="358"/>
      <c r="AH120" s="358"/>
      <c r="AI120" s="358"/>
      <c r="AJ120" s="358"/>
      <c r="AK120" s="358"/>
      <c r="AL120" s="358"/>
      <c r="AM120" s="358"/>
    </row>
    <row r="121" ht="14.25" customHeight="1"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  <c r="AA121" s="358"/>
      <c r="AB121" s="358"/>
      <c r="AC121" s="358"/>
      <c r="AD121" s="358"/>
      <c r="AE121" s="358"/>
      <c r="AF121" s="358"/>
      <c r="AG121" s="358"/>
      <c r="AH121" s="358"/>
      <c r="AI121" s="358"/>
      <c r="AJ121" s="358"/>
      <c r="AK121" s="358"/>
      <c r="AL121" s="358"/>
      <c r="AM121" s="358"/>
    </row>
    <row r="122" ht="14.25" customHeight="1"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  <c r="AA122" s="358"/>
      <c r="AB122" s="358"/>
      <c r="AC122" s="358"/>
      <c r="AD122" s="358"/>
      <c r="AE122" s="358"/>
      <c r="AF122" s="358"/>
      <c r="AG122" s="358"/>
      <c r="AH122" s="358"/>
      <c r="AI122" s="358"/>
      <c r="AJ122" s="358"/>
      <c r="AK122" s="358"/>
      <c r="AL122" s="358"/>
      <c r="AM122" s="358"/>
    </row>
    <row r="123" ht="14.25" customHeight="1"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358"/>
      <c r="AB123" s="358"/>
      <c r="AC123" s="358"/>
      <c r="AD123" s="358"/>
      <c r="AE123" s="358"/>
      <c r="AF123" s="358"/>
      <c r="AG123" s="358"/>
      <c r="AH123" s="358"/>
      <c r="AI123" s="358"/>
      <c r="AJ123" s="358"/>
      <c r="AK123" s="358"/>
      <c r="AL123" s="358"/>
      <c r="AM123" s="358"/>
    </row>
    <row r="124" ht="14.25" customHeight="1"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358"/>
      <c r="AB124" s="358"/>
      <c r="AC124" s="358"/>
      <c r="AD124" s="358"/>
      <c r="AE124" s="358"/>
      <c r="AF124" s="358"/>
      <c r="AG124" s="358"/>
      <c r="AH124" s="358"/>
      <c r="AI124" s="358"/>
      <c r="AJ124" s="358"/>
      <c r="AK124" s="358"/>
      <c r="AL124" s="358"/>
      <c r="AM124" s="358"/>
    </row>
    <row r="125" ht="14.25" customHeight="1"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  <c r="AA125" s="358"/>
      <c r="AB125" s="358"/>
      <c r="AC125" s="358"/>
      <c r="AD125" s="358"/>
      <c r="AE125" s="358"/>
      <c r="AF125" s="358"/>
      <c r="AG125" s="358"/>
      <c r="AH125" s="358"/>
      <c r="AI125" s="358"/>
      <c r="AJ125" s="358"/>
      <c r="AK125" s="358"/>
      <c r="AL125" s="358"/>
      <c r="AM125" s="358"/>
    </row>
    <row r="126" ht="14.25" customHeight="1"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  <c r="AA126" s="358"/>
      <c r="AB126" s="358"/>
      <c r="AC126" s="358"/>
      <c r="AD126" s="358"/>
      <c r="AE126" s="358"/>
      <c r="AF126" s="358"/>
      <c r="AG126" s="358"/>
      <c r="AH126" s="358"/>
      <c r="AI126" s="358"/>
      <c r="AJ126" s="358"/>
      <c r="AK126" s="358"/>
      <c r="AL126" s="358"/>
      <c r="AM126" s="358"/>
    </row>
    <row r="127" ht="14.25" customHeight="1"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  <c r="AA127" s="358"/>
      <c r="AB127" s="358"/>
      <c r="AC127" s="358"/>
      <c r="AD127" s="358"/>
      <c r="AE127" s="358"/>
      <c r="AF127" s="358"/>
      <c r="AG127" s="358"/>
      <c r="AH127" s="358"/>
      <c r="AI127" s="358"/>
      <c r="AJ127" s="358"/>
      <c r="AK127" s="358"/>
      <c r="AL127" s="358"/>
      <c r="AM127" s="358"/>
    </row>
    <row r="128" ht="14.25" customHeight="1"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358"/>
      <c r="AB128" s="358"/>
      <c r="AC128" s="358"/>
      <c r="AD128" s="358"/>
      <c r="AE128" s="358"/>
      <c r="AF128" s="358"/>
      <c r="AG128" s="358"/>
      <c r="AH128" s="358"/>
      <c r="AI128" s="358"/>
      <c r="AJ128" s="358"/>
      <c r="AK128" s="358"/>
      <c r="AL128" s="358"/>
      <c r="AM128" s="358"/>
    </row>
    <row r="129" ht="14.25" customHeight="1"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358"/>
      <c r="AB129" s="358"/>
      <c r="AC129" s="358"/>
      <c r="AD129" s="358"/>
      <c r="AE129" s="358"/>
      <c r="AF129" s="358"/>
      <c r="AG129" s="358"/>
      <c r="AH129" s="358"/>
      <c r="AI129" s="358"/>
      <c r="AJ129" s="358"/>
      <c r="AK129" s="358"/>
      <c r="AL129" s="358"/>
      <c r="AM129" s="358"/>
    </row>
    <row r="130" ht="14.25" customHeight="1"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  <c r="AA130" s="358"/>
      <c r="AB130" s="358"/>
      <c r="AC130" s="358"/>
      <c r="AD130" s="358"/>
      <c r="AE130" s="358"/>
      <c r="AF130" s="358"/>
      <c r="AG130" s="358"/>
      <c r="AH130" s="358"/>
      <c r="AI130" s="358"/>
      <c r="AJ130" s="358"/>
      <c r="AK130" s="358"/>
      <c r="AL130" s="358"/>
      <c r="AM130" s="358"/>
    </row>
    <row r="131" ht="14.25" customHeight="1"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</row>
    <row r="132" ht="14.25" customHeight="1"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358"/>
      <c r="AB132" s="358"/>
      <c r="AC132" s="358"/>
      <c r="AD132" s="358"/>
      <c r="AE132" s="358"/>
      <c r="AF132" s="358"/>
      <c r="AG132" s="358"/>
      <c r="AH132" s="358"/>
      <c r="AI132" s="358"/>
      <c r="AJ132" s="358"/>
      <c r="AK132" s="358"/>
      <c r="AL132" s="358"/>
      <c r="AM132" s="358"/>
    </row>
    <row r="133" ht="14.25" customHeight="1"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358"/>
      <c r="AB133" s="358"/>
      <c r="AC133" s="358"/>
      <c r="AD133" s="358"/>
      <c r="AE133" s="358"/>
      <c r="AF133" s="358"/>
      <c r="AG133" s="358"/>
      <c r="AH133" s="358"/>
      <c r="AI133" s="358"/>
      <c r="AJ133" s="358"/>
      <c r="AK133" s="358"/>
      <c r="AL133" s="358"/>
      <c r="AM133" s="358"/>
    </row>
    <row r="134" ht="14.25" customHeight="1"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  <c r="AA134" s="358"/>
      <c r="AB134" s="358"/>
      <c r="AC134" s="358"/>
      <c r="AD134" s="358"/>
      <c r="AE134" s="358"/>
      <c r="AF134" s="358"/>
      <c r="AG134" s="358"/>
      <c r="AH134" s="358"/>
      <c r="AI134" s="358"/>
      <c r="AJ134" s="358"/>
      <c r="AK134" s="358"/>
      <c r="AL134" s="358"/>
      <c r="AM134" s="358"/>
    </row>
    <row r="135" ht="14.25" customHeight="1"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358"/>
      <c r="AB135" s="358"/>
      <c r="AC135" s="358"/>
      <c r="AD135" s="358"/>
      <c r="AE135" s="358"/>
      <c r="AF135" s="358"/>
      <c r="AG135" s="358"/>
      <c r="AH135" s="358"/>
      <c r="AI135" s="358"/>
      <c r="AJ135" s="358"/>
      <c r="AK135" s="358"/>
      <c r="AL135" s="358"/>
      <c r="AM135" s="358"/>
    </row>
    <row r="136" ht="14.25" customHeight="1"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358"/>
      <c r="AB136" s="358"/>
      <c r="AC136" s="358"/>
      <c r="AD136" s="358"/>
      <c r="AE136" s="358"/>
      <c r="AF136" s="358"/>
      <c r="AG136" s="358"/>
      <c r="AH136" s="358"/>
      <c r="AI136" s="358"/>
      <c r="AJ136" s="358"/>
      <c r="AK136" s="358"/>
      <c r="AL136" s="358"/>
      <c r="AM136" s="358"/>
    </row>
    <row r="137" ht="14.25" customHeight="1"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  <c r="AA137" s="358"/>
      <c r="AB137" s="358"/>
      <c r="AC137" s="358"/>
      <c r="AD137" s="358"/>
      <c r="AE137" s="358"/>
      <c r="AF137" s="358"/>
      <c r="AG137" s="358"/>
      <c r="AH137" s="358"/>
      <c r="AI137" s="358"/>
      <c r="AJ137" s="358"/>
      <c r="AK137" s="358"/>
      <c r="AL137" s="358"/>
      <c r="AM137" s="358"/>
    </row>
    <row r="138" ht="14.25" customHeight="1"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  <c r="AA138" s="358"/>
      <c r="AB138" s="358"/>
      <c r="AC138" s="358"/>
      <c r="AD138" s="358"/>
      <c r="AE138" s="358"/>
      <c r="AF138" s="358"/>
      <c r="AG138" s="358"/>
      <c r="AH138" s="358"/>
      <c r="AI138" s="358"/>
      <c r="AJ138" s="358"/>
      <c r="AK138" s="358"/>
      <c r="AL138" s="358"/>
      <c r="AM138" s="358"/>
    </row>
    <row r="139" ht="14.25" customHeight="1"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  <c r="AA139" s="358"/>
      <c r="AB139" s="358"/>
      <c r="AC139" s="358"/>
      <c r="AD139" s="358"/>
      <c r="AE139" s="358"/>
      <c r="AF139" s="358"/>
      <c r="AG139" s="358"/>
      <c r="AH139" s="358"/>
      <c r="AI139" s="358"/>
      <c r="AJ139" s="358"/>
      <c r="AK139" s="358"/>
      <c r="AL139" s="358"/>
      <c r="AM139" s="358"/>
    </row>
    <row r="140" ht="14.25" customHeight="1"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  <c r="AA140" s="358"/>
      <c r="AB140" s="358"/>
      <c r="AC140" s="358"/>
      <c r="AD140" s="358"/>
      <c r="AE140" s="358"/>
      <c r="AF140" s="358"/>
      <c r="AG140" s="358"/>
      <c r="AH140" s="358"/>
      <c r="AI140" s="358"/>
      <c r="AJ140" s="358"/>
      <c r="AK140" s="358"/>
      <c r="AL140" s="358"/>
      <c r="AM140" s="358"/>
    </row>
    <row r="141" ht="14.25" customHeight="1"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  <c r="AA141" s="358"/>
      <c r="AB141" s="358"/>
      <c r="AC141" s="358"/>
      <c r="AD141" s="358"/>
      <c r="AE141" s="358"/>
      <c r="AF141" s="358"/>
      <c r="AG141" s="358"/>
      <c r="AH141" s="358"/>
      <c r="AI141" s="358"/>
      <c r="AJ141" s="358"/>
      <c r="AK141" s="358"/>
      <c r="AL141" s="358"/>
      <c r="AM141" s="358"/>
    </row>
    <row r="142" ht="14.25" customHeight="1"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358"/>
      <c r="AB142" s="358"/>
      <c r="AC142" s="358"/>
      <c r="AD142" s="358"/>
      <c r="AE142" s="358"/>
      <c r="AF142" s="358"/>
      <c r="AG142" s="358"/>
      <c r="AH142" s="358"/>
      <c r="AI142" s="358"/>
      <c r="AJ142" s="358"/>
      <c r="AK142" s="358"/>
      <c r="AL142" s="358"/>
      <c r="AM142" s="358"/>
    </row>
    <row r="143" ht="14.25" customHeight="1"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358"/>
      <c r="AB143" s="358"/>
      <c r="AC143" s="358"/>
      <c r="AD143" s="358"/>
      <c r="AE143" s="358"/>
      <c r="AF143" s="358"/>
      <c r="AG143" s="358"/>
      <c r="AH143" s="358"/>
      <c r="AI143" s="358"/>
      <c r="AJ143" s="358"/>
      <c r="AK143" s="358"/>
      <c r="AL143" s="358"/>
      <c r="AM143" s="358"/>
    </row>
    <row r="144" ht="14.25" customHeight="1"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358"/>
      <c r="AB144" s="358"/>
      <c r="AC144" s="358"/>
      <c r="AD144" s="358"/>
      <c r="AE144" s="358"/>
      <c r="AF144" s="358"/>
      <c r="AG144" s="358"/>
      <c r="AH144" s="358"/>
      <c r="AI144" s="358"/>
      <c r="AJ144" s="358"/>
      <c r="AK144" s="358"/>
      <c r="AL144" s="358"/>
      <c r="AM144" s="358"/>
    </row>
    <row r="145" ht="14.25" customHeight="1"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  <c r="AA145" s="358"/>
      <c r="AB145" s="358"/>
      <c r="AC145" s="358"/>
      <c r="AD145" s="358"/>
      <c r="AE145" s="358"/>
      <c r="AF145" s="358"/>
      <c r="AG145" s="358"/>
      <c r="AH145" s="358"/>
      <c r="AI145" s="358"/>
      <c r="AJ145" s="358"/>
      <c r="AK145" s="358"/>
      <c r="AL145" s="358"/>
      <c r="AM145" s="358"/>
    </row>
    <row r="146" ht="14.25" customHeight="1"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358"/>
      <c r="AB146" s="358"/>
      <c r="AC146" s="358"/>
      <c r="AD146" s="358"/>
      <c r="AE146" s="358"/>
      <c r="AF146" s="358"/>
      <c r="AG146" s="358"/>
      <c r="AH146" s="358"/>
      <c r="AI146" s="358"/>
      <c r="AJ146" s="358"/>
      <c r="AK146" s="358"/>
      <c r="AL146" s="358"/>
      <c r="AM146" s="358"/>
    </row>
    <row r="147" ht="14.25" customHeight="1"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  <c r="AD147" s="358"/>
      <c r="AE147" s="358"/>
      <c r="AF147" s="358"/>
      <c r="AG147" s="358"/>
      <c r="AH147" s="358"/>
      <c r="AI147" s="358"/>
      <c r="AJ147" s="358"/>
      <c r="AK147" s="358"/>
      <c r="AL147" s="358"/>
      <c r="AM147" s="358"/>
    </row>
    <row r="148" ht="14.25" customHeight="1"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358"/>
      <c r="AB148" s="358"/>
      <c r="AC148" s="358"/>
      <c r="AD148" s="358"/>
      <c r="AE148" s="358"/>
      <c r="AF148" s="358"/>
      <c r="AG148" s="358"/>
      <c r="AH148" s="358"/>
      <c r="AI148" s="358"/>
      <c r="AJ148" s="358"/>
      <c r="AK148" s="358"/>
      <c r="AL148" s="358"/>
      <c r="AM148" s="358"/>
    </row>
    <row r="149" ht="14.25" customHeight="1"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358"/>
      <c r="AB149" s="358"/>
      <c r="AC149" s="358"/>
      <c r="AD149" s="358"/>
      <c r="AE149" s="358"/>
      <c r="AF149" s="358"/>
      <c r="AG149" s="358"/>
      <c r="AH149" s="358"/>
      <c r="AI149" s="358"/>
      <c r="AJ149" s="358"/>
      <c r="AK149" s="358"/>
      <c r="AL149" s="358"/>
      <c r="AM149" s="358"/>
    </row>
    <row r="150" ht="14.25" customHeight="1"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  <c r="AA150" s="358"/>
      <c r="AB150" s="358"/>
      <c r="AC150" s="358"/>
      <c r="AD150" s="358"/>
      <c r="AE150" s="358"/>
      <c r="AF150" s="358"/>
      <c r="AG150" s="358"/>
      <c r="AH150" s="358"/>
      <c r="AI150" s="358"/>
      <c r="AJ150" s="358"/>
      <c r="AK150" s="358"/>
      <c r="AL150" s="358"/>
      <c r="AM150" s="358"/>
    </row>
    <row r="151" ht="14.25" customHeight="1"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  <c r="AA151" s="358"/>
      <c r="AB151" s="358"/>
      <c r="AC151" s="358"/>
      <c r="AD151" s="358"/>
      <c r="AE151" s="358"/>
      <c r="AF151" s="358"/>
      <c r="AG151" s="358"/>
      <c r="AH151" s="358"/>
      <c r="AI151" s="358"/>
      <c r="AJ151" s="358"/>
      <c r="AK151" s="358"/>
      <c r="AL151" s="358"/>
      <c r="AM151" s="358"/>
    </row>
    <row r="152" ht="14.25" customHeight="1"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358"/>
      <c r="AB152" s="358"/>
      <c r="AC152" s="358"/>
      <c r="AD152" s="358"/>
      <c r="AE152" s="358"/>
      <c r="AF152" s="358"/>
      <c r="AG152" s="358"/>
      <c r="AH152" s="358"/>
      <c r="AI152" s="358"/>
      <c r="AJ152" s="358"/>
      <c r="AK152" s="358"/>
      <c r="AL152" s="358"/>
      <c r="AM152" s="358"/>
    </row>
    <row r="153" ht="14.25" customHeight="1"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358"/>
      <c r="AB153" s="358"/>
      <c r="AC153" s="358"/>
      <c r="AD153" s="358"/>
      <c r="AE153" s="358"/>
      <c r="AF153" s="358"/>
      <c r="AG153" s="358"/>
      <c r="AH153" s="358"/>
      <c r="AI153" s="358"/>
      <c r="AJ153" s="358"/>
      <c r="AK153" s="358"/>
      <c r="AL153" s="358"/>
      <c r="AM153" s="358"/>
    </row>
    <row r="154" ht="14.25" customHeight="1"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  <c r="AA154" s="358"/>
      <c r="AB154" s="358"/>
      <c r="AC154" s="358"/>
      <c r="AD154" s="358"/>
      <c r="AE154" s="358"/>
      <c r="AF154" s="358"/>
      <c r="AG154" s="358"/>
      <c r="AH154" s="358"/>
      <c r="AI154" s="358"/>
      <c r="AJ154" s="358"/>
      <c r="AK154" s="358"/>
      <c r="AL154" s="358"/>
      <c r="AM154" s="358"/>
    </row>
    <row r="155" ht="14.25" customHeight="1"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358"/>
      <c r="AB155" s="358"/>
      <c r="AC155" s="358"/>
      <c r="AD155" s="358"/>
      <c r="AE155" s="358"/>
      <c r="AF155" s="358"/>
      <c r="AG155" s="358"/>
      <c r="AH155" s="358"/>
      <c r="AI155" s="358"/>
      <c r="AJ155" s="358"/>
      <c r="AK155" s="358"/>
      <c r="AL155" s="358"/>
      <c r="AM155" s="358"/>
    </row>
    <row r="156" ht="14.25" customHeight="1"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  <c r="AA156" s="358"/>
      <c r="AB156" s="358"/>
      <c r="AC156" s="358"/>
      <c r="AD156" s="358"/>
      <c r="AE156" s="358"/>
      <c r="AF156" s="358"/>
      <c r="AG156" s="358"/>
      <c r="AH156" s="358"/>
      <c r="AI156" s="358"/>
      <c r="AJ156" s="358"/>
      <c r="AK156" s="358"/>
      <c r="AL156" s="358"/>
      <c r="AM156" s="358"/>
    </row>
    <row r="157" ht="14.25" customHeight="1"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  <c r="AA157" s="358"/>
      <c r="AB157" s="358"/>
      <c r="AC157" s="358"/>
      <c r="AD157" s="358"/>
      <c r="AE157" s="358"/>
      <c r="AF157" s="358"/>
      <c r="AG157" s="358"/>
      <c r="AH157" s="358"/>
      <c r="AI157" s="358"/>
      <c r="AJ157" s="358"/>
      <c r="AK157" s="358"/>
      <c r="AL157" s="358"/>
      <c r="AM157" s="358"/>
    </row>
    <row r="158" ht="14.25" customHeight="1"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358"/>
      <c r="AB158" s="358"/>
      <c r="AC158" s="358"/>
      <c r="AD158" s="358"/>
      <c r="AE158" s="358"/>
      <c r="AF158" s="358"/>
      <c r="AG158" s="358"/>
      <c r="AH158" s="358"/>
      <c r="AI158" s="358"/>
      <c r="AJ158" s="358"/>
      <c r="AK158" s="358"/>
      <c r="AL158" s="358"/>
      <c r="AM158" s="358"/>
    </row>
    <row r="159" ht="14.25" customHeight="1"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358"/>
      <c r="AB159" s="358"/>
      <c r="AC159" s="358"/>
      <c r="AD159" s="358"/>
      <c r="AE159" s="358"/>
      <c r="AF159" s="358"/>
      <c r="AG159" s="358"/>
      <c r="AH159" s="358"/>
      <c r="AI159" s="358"/>
      <c r="AJ159" s="358"/>
      <c r="AK159" s="358"/>
      <c r="AL159" s="358"/>
      <c r="AM159" s="358"/>
    </row>
    <row r="160" ht="14.25" customHeight="1"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  <c r="AA160" s="358"/>
      <c r="AB160" s="358"/>
      <c r="AC160" s="358"/>
      <c r="AD160" s="358"/>
      <c r="AE160" s="358"/>
      <c r="AF160" s="358"/>
      <c r="AG160" s="358"/>
      <c r="AH160" s="358"/>
      <c r="AI160" s="358"/>
      <c r="AJ160" s="358"/>
      <c r="AK160" s="358"/>
      <c r="AL160" s="358"/>
      <c r="AM160" s="358"/>
    </row>
    <row r="161" ht="14.25" customHeight="1"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358"/>
      <c r="AB161" s="358"/>
      <c r="AC161" s="358"/>
      <c r="AD161" s="358"/>
      <c r="AE161" s="358"/>
      <c r="AF161" s="358"/>
      <c r="AG161" s="358"/>
      <c r="AH161" s="358"/>
      <c r="AI161" s="358"/>
      <c r="AJ161" s="358"/>
      <c r="AK161" s="358"/>
      <c r="AL161" s="358"/>
      <c r="AM161" s="358"/>
    </row>
    <row r="162" ht="14.25" customHeight="1"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  <c r="AA162" s="358"/>
      <c r="AB162" s="358"/>
      <c r="AC162" s="358"/>
      <c r="AD162" s="358"/>
      <c r="AE162" s="358"/>
      <c r="AF162" s="358"/>
      <c r="AG162" s="358"/>
      <c r="AH162" s="358"/>
      <c r="AI162" s="358"/>
      <c r="AJ162" s="358"/>
      <c r="AK162" s="358"/>
      <c r="AL162" s="358"/>
      <c r="AM162" s="358"/>
    </row>
    <row r="163" ht="14.25" customHeight="1"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  <c r="AA163" s="358"/>
      <c r="AB163" s="358"/>
      <c r="AC163" s="358"/>
      <c r="AD163" s="358"/>
      <c r="AE163" s="358"/>
      <c r="AF163" s="358"/>
      <c r="AG163" s="358"/>
      <c r="AH163" s="358"/>
      <c r="AI163" s="358"/>
      <c r="AJ163" s="358"/>
      <c r="AK163" s="358"/>
      <c r="AL163" s="358"/>
      <c r="AM163" s="358"/>
    </row>
    <row r="164" ht="14.25" customHeight="1"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358"/>
      <c r="AB164" s="358"/>
      <c r="AC164" s="358"/>
      <c r="AD164" s="358"/>
      <c r="AE164" s="358"/>
      <c r="AF164" s="358"/>
      <c r="AG164" s="358"/>
      <c r="AH164" s="358"/>
      <c r="AI164" s="358"/>
      <c r="AJ164" s="358"/>
      <c r="AK164" s="358"/>
      <c r="AL164" s="358"/>
      <c r="AM164" s="358"/>
    </row>
    <row r="165" ht="14.25" customHeight="1"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358"/>
      <c r="AB165" s="358"/>
      <c r="AC165" s="358"/>
      <c r="AD165" s="358"/>
      <c r="AE165" s="358"/>
      <c r="AF165" s="358"/>
      <c r="AG165" s="358"/>
      <c r="AH165" s="358"/>
      <c r="AI165" s="358"/>
      <c r="AJ165" s="358"/>
      <c r="AK165" s="358"/>
      <c r="AL165" s="358"/>
      <c r="AM165" s="358"/>
    </row>
    <row r="166" ht="14.25" customHeight="1"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358"/>
      <c r="AB166" s="358"/>
      <c r="AC166" s="358"/>
      <c r="AD166" s="358"/>
      <c r="AE166" s="358"/>
      <c r="AF166" s="358"/>
      <c r="AG166" s="358"/>
      <c r="AH166" s="358"/>
      <c r="AI166" s="358"/>
      <c r="AJ166" s="358"/>
      <c r="AK166" s="358"/>
      <c r="AL166" s="358"/>
      <c r="AM166" s="358"/>
    </row>
    <row r="167" ht="14.25" customHeight="1"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  <c r="AA167" s="358"/>
      <c r="AB167" s="358"/>
      <c r="AC167" s="358"/>
      <c r="AD167" s="358"/>
      <c r="AE167" s="358"/>
      <c r="AF167" s="358"/>
      <c r="AG167" s="358"/>
      <c r="AH167" s="358"/>
      <c r="AI167" s="358"/>
      <c r="AJ167" s="358"/>
      <c r="AK167" s="358"/>
      <c r="AL167" s="358"/>
      <c r="AM167" s="358"/>
    </row>
    <row r="168" ht="14.25" customHeight="1"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  <c r="AA168" s="358"/>
      <c r="AB168" s="358"/>
      <c r="AC168" s="358"/>
      <c r="AD168" s="358"/>
      <c r="AE168" s="358"/>
      <c r="AF168" s="358"/>
      <c r="AG168" s="358"/>
      <c r="AH168" s="358"/>
      <c r="AI168" s="358"/>
      <c r="AJ168" s="358"/>
      <c r="AK168" s="358"/>
      <c r="AL168" s="358"/>
      <c r="AM168" s="358"/>
    </row>
    <row r="169" ht="14.25" customHeight="1"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358"/>
      <c r="AB169" s="358"/>
      <c r="AC169" s="358"/>
      <c r="AD169" s="358"/>
      <c r="AE169" s="358"/>
      <c r="AF169" s="358"/>
      <c r="AG169" s="358"/>
      <c r="AH169" s="358"/>
      <c r="AI169" s="358"/>
      <c r="AJ169" s="358"/>
      <c r="AK169" s="358"/>
      <c r="AL169" s="358"/>
      <c r="AM169" s="358"/>
    </row>
    <row r="170" ht="14.25" customHeight="1"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358"/>
      <c r="AB170" s="358"/>
      <c r="AC170" s="358"/>
      <c r="AD170" s="358"/>
      <c r="AE170" s="358"/>
      <c r="AF170" s="358"/>
      <c r="AG170" s="358"/>
      <c r="AH170" s="358"/>
      <c r="AI170" s="358"/>
      <c r="AJ170" s="358"/>
      <c r="AK170" s="358"/>
      <c r="AL170" s="358"/>
      <c r="AM170" s="358"/>
    </row>
    <row r="171" ht="14.25" customHeight="1"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358"/>
      <c r="AI171" s="358"/>
      <c r="AJ171" s="358"/>
      <c r="AK171" s="358"/>
      <c r="AL171" s="358"/>
      <c r="AM171" s="358"/>
    </row>
    <row r="172" ht="14.25" customHeight="1"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358"/>
      <c r="AI172" s="358"/>
      <c r="AJ172" s="358"/>
      <c r="AK172" s="358"/>
      <c r="AL172" s="358"/>
      <c r="AM172" s="358"/>
    </row>
    <row r="173" ht="14.25" customHeight="1"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358"/>
      <c r="AI173" s="358"/>
      <c r="AJ173" s="358"/>
      <c r="AK173" s="358"/>
      <c r="AL173" s="358"/>
      <c r="AM173" s="358"/>
    </row>
    <row r="174" ht="14.25" customHeight="1"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358"/>
      <c r="AI174" s="358"/>
      <c r="AJ174" s="358"/>
      <c r="AK174" s="358"/>
      <c r="AL174" s="358"/>
      <c r="AM174" s="358"/>
    </row>
    <row r="175" ht="14.25" customHeight="1"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358"/>
      <c r="AB175" s="358"/>
      <c r="AC175" s="358"/>
      <c r="AD175" s="358"/>
      <c r="AE175" s="358"/>
      <c r="AF175" s="358"/>
      <c r="AG175" s="358"/>
      <c r="AH175" s="358"/>
      <c r="AI175" s="358"/>
      <c r="AJ175" s="358"/>
      <c r="AK175" s="358"/>
      <c r="AL175" s="358"/>
      <c r="AM175" s="358"/>
    </row>
    <row r="176" ht="14.25" customHeight="1"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  <c r="AA176" s="358"/>
      <c r="AB176" s="358"/>
      <c r="AC176" s="358"/>
      <c r="AD176" s="358"/>
      <c r="AE176" s="358"/>
      <c r="AF176" s="358"/>
      <c r="AG176" s="358"/>
      <c r="AH176" s="358"/>
      <c r="AI176" s="358"/>
      <c r="AJ176" s="358"/>
      <c r="AK176" s="358"/>
      <c r="AL176" s="358"/>
      <c r="AM176" s="358"/>
    </row>
    <row r="177" ht="14.25" customHeight="1"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358"/>
      <c r="AB177" s="358"/>
      <c r="AC177" s="358"/>
      <c r="AD177" s="358"/>
      <c r="AE177" s="358"/>
      <c r="AF177" s="358"/>
      <c r="AG177" s="358"/>
      <c r="AH177" s="358"/>
      <c r="AI177" s="358"/>
      <c r="AJ177" s="358"/>
      <c r="AK177" s="358"/>
      <c r="AL177" s="358"/>
      <c r="AM177" s="358"/>
    </row>
    <row r="178" ht="14.25" customHeight="1"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  <c r="AA178" s="358"/>
      <c r="AB178" s="358"/>
      <c r="AC178" s="358"/>
      <c r="AD178" s="358"/>
      <c r="AE178" s="358"/>
      <c r="AF178" s="358"/>
      <c r="AG178" s="358"/>
      <c r="AH178" s="358"/>
      <c r="AI178" s="358"/>
      <c r="AJ178" s="358"/>
      <c r="AK178" s="358"/>
      <c r="AL178" s="358"/>
      <c r="AM178" s="358"/>
    </row>
    <row r="179" ht="14.25" customHeight="1"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  <c r="AA179" s="358"/>
      <c r="AB179" s="358"/>
      <c r="AC179" s="358"/>
      <c r="AD179" s="358"/>
      <c r="AE179" s="358"/>
      <c r="AF179" s="358"/>
      <c r="AG179" s="358"/>
      <c r="AH179" s="358"/>
      <c r="AI179" s="358"/>
      <c r="AJ179" s="358"/>
      <c r="AK179" s="358"/>
      <c r="AL179" s="358"/>
      <c r="AM179" s="358"/>
    </row>
    <row r="180" ht="14.25" customHeight="1"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358"/>
      <c r="AB180" s="358"/>
      <c r="AC180" s="358"/>
      <c r="AD180" s="358"/>
      <c r="AE180" s="358"/>
      <c r="AF180" s="358"/>
      <c r="AG180" s="358"/>
      <c r="AH180" s="358"/>
      <c r="AI180" s="358"/>
      <c r="AJ180" s="358"/>
      <c r="AK180" s="358"/>
      <c r="AL180" s="358"/>
      <c r="AM180" s="358"/>
    </row>
    <row r="181" ht="14.25" customHeight="1"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358"/>
      <c r="AB181" s="358"/>
      <c r="AC181" s="358"/>
      <c r="AD181" s="358"/>
      <c r="AE181" s="358"/>
      <c r="AF181" s="358"/>
      <c r="AG181" s="358"/>
      <c r="AH181" s="358"/>
      <c r="AI181" s="358"/>
      <c r="AJ181" s="358"/>
      <c r="AK181" s="358"/>
      <c r="AL181" s="358"/>
      <c r="AM181" s="358"/>
    </row>
    <row r="182" ht="14.25" customHeight="1"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  <c r="AA182" s="358"/>
      <c r="AB182" s="358"/>
      <c r="AC182" s="358"/>
      <c r="AD182" s="358"/>
      <c r="AE182" s="358"/>
      <c r="AF182" s="358"/>
      <c r="AG182" s="358"/>
      <c r="AH182" s="358"/>
      <c r="AI182" s="358"/>
      <c r="AJ182" s="358"/>
      <c r="AK182" s="358"/>
      <c r="AL182" s="358"/>
      <c r="AM182" s="358"/>
    </row>
    <row r="183" ht="14.25" customHeight="1"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358"/>
      <c r="AB183" s="358"/>
      <c r="AC183" s="358"/>
      <c r="AD183" s="358"/>
      <c r="AE183" s="358"/>
      <c r="AF183" s="358"/>
      <c r="AG183" s="358"/>
      <c r="AH183" s="358"/>
      <c r="AI183" s="358"/>
      <c r="AJ183" s="358"/>
      <c r="AK183" s="358"/>
      <c r="AL183" s="358"/>
      <c r="AM183" s="358"/>
    </row>
    <row r="184" ht="14.25" customHeight="1"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  <c r="AA184" s="358"/>
      <c r="AB184" s="358"/>
      <c r="AC184" s="358"/>
      <c r="AD184" s="358"/>
      <c r="AE184" s="358"/>
      <c r="AF184" s="358"/>
      <c r="AG184" s="358"/>
      <c r="AH184" s="358"/>
      <c r="AI184" s="358"/>
      <c r="AJ184" s="358"/>
      <c r="AK184" s="358"/>
      <c r="AL184" s="358"/>
      <c r="AM184" s="358"/>
    </row>
    <row r="185" ht="14.25" customHeight="1"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  <c r="AA185" s="358"/>
      <c r="AB185" s="358"/>
      <c r="AC185" s="358"/>
      <c r="AD185" s="358"/>
      <c r="AE185" s="358"/>
      <c r="AF185" s="358"/>
      <c r="AG185" s="358"/>
      <c r="AH185" s="358"/>
      <c r="AI185" s="358"/>
      <c r="AJ185" s="358"/>
      <c r="AK185" s="358"/>
      <c r="AL185" s="358"/>
      <c r="AM185" s="358"/>
    </row>
    <row r="186" ht="14.25" customHeight="1"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358"/>
      <c r="AB186" s="358"/>
      <c r="AC186" s="358"/>
      <c r="AD186" s="358"/>
      <c r="AE186" s="358"/>
      <c r="AF186" s="358"/>
      <c r="AG186" s="358"/>
      <c r="AH186" s="358"/>
      <c r="AI186" s="358"/>
      <c r="AJ186" s="358"/>
      <c r="AK186" s="358"/>
      <c r="AL186" s="358"/>
      <c r="AM186" s="358"/>
    </row>
    <row r="187" ht="14.25" customHeight="1"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358"/>
      <c r="AB187" s="358"/>
      <c r="AC187" s="358"/>
      <c r="AD187" s="358"/>
      <c r="AE187" s="358"/>
      <c r="AF187" s="358"/>
      <c r="AG187" s="358"/>
      <c r="AH187" s="358"/>
      <c r="AI187" s="358"/>
      <c r="AJ187" s="358"/>
      <c r="AK187" s="358"/>
      <c r="AL187" s="358"/>
      <c r="AM187" s="358"/>
    </row>
    <row r="188" ht="14.25" customHeight="1"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  <c r="AB188" s="358"/>
      <c r="AC188" s="358"/>
      <c r="AD188" s="358"/>
      <c r="AE188" s="358"/>
      <c r="AF188" s="358"/>
      <c r="AG188" s="358"/>
      <c r="AH188" s="358"/>
      <c r="AI188" s="358"/>
      <c r="AJ188" s="358"/>
      <c r="AK188" s="358"/>
      <c r="AL188" s="358"/>
      <c r="AM188" s="358"/>
    </row>
    <row r="189" ht="14.25" customHeight="1"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358"/>
      <c r="AB189" s="358"/>
      <c r="AC189" s="358"/>
      <c r="AD189" s="358"/>
      <c r="AE189" s="358"/>
      <c r="AF189" s="358"/>
      <c r="AG189" s="358"/>
      <c r="AH189" s="358"/>
      <c r="AI189" s="358"/>
      <c r="AJ189" s="358"/>
      <c r="AK189" s="358"/>
      <c r="AL189" s="358"/>
      <c r="AM189" s="358"/>
    </row>
    <row r="190" ht="14.25" customHeight="1"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  <c r="AA190" s="358"/>
      <c r="AB190" s="358"/>
      <c r="AC190" s="358"/>
      <c r="AD190" s="358"/>
      <c r="AE190" s="358"/>
      <c r="AF190" s="358"/>
      <c r="AG190" s="358"/>
      <c r="AH190" s="358"/>
      <c r="AI190" s="358"/>
      <c r="AJ190" s="358"/>
      <c r="AK190" s="358"/>
      <c r="AL190" s="358"/>
      <c r="AM190" s="358"/>
    </row>
    <row r="191" ht="14.25" customHeight="1"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  <c r="AA191" s="358"/>
      <c r="AB191" s="358"/>
      <c r="AC191" s="358"/>
      <c r="AD191" s="358"/>
      <c r="AE191" s="358"/>
      <c r="AF191" s="358"/>
      <c r="AG191" s="358"/>
      <c r="AH191" s="358"/>
      <c r="AI191" s="358"/>
      <c r="AJ191" s="358"/>
      <c r="AK191" s="358"/>
      <c r="AL191" s="358"/>
      <c r="AM191" s="358"/>
    </row>
    <row r="192" ht="14.25" customHeight="1"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358"/>
      <c r="AB192" s="358"/>
      <c r="AC192" s="358"/>
      <c r="AD192" s="358"/>
      <c r="AE192" s="358"/>
      <c r="AF192" s="358"/>
      <c r="AG192" s="358"/>
      <c r="AH192" s="358"/>
      <c r="AI192" s="358"/>
      <c r="AJ192" s="358"/>
      <c r="AK192" s="358"/>
      <c r="AL192" s="358"/>
      <c r="AM192" s="358"/>
    </row>
    <row r="193" ht="14.25" customHeight="1"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358"/>
      <c r="AB193" s="358"/>
      <c r="AC193" s="358"/>
      <c r="AD193" s="358"/>
      <c r="AE193" s="358"/>
      <c r="AF193" s="358"/>
      <c r="AG193" s="358"/>
      <c r="AH193" s="358"/>
      <c r="AI193" s="358"/>
      <c r="AJ193" s="358"/>
      <c r="AK193" s="358"/>
      <c r="AL193" s="358"/>
      <c r="AM193" s="358"/>
    </row>
    <row r="194" ht="14.25" customHeight="1"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  <c r="AA194" s="358"/>
      <c r="AB194" s="358"/>
      <c r="AC194" s="358"/>
      <c r="AD194" s="358"/>
      <c r="AE194" s="358"/>
      <c r="AF194" s="358"/>
      <c r="AG194" s="358"/>
      <c r="AH194" s="358"/>
      <c r="AI194" s="358"/>
      <c r="AJ194" s="358"/>
      <c r="AK194" s="358"/>
      <c r="AL194" s="358"/>
      <c r="AM194" s="358"/>
    </row>
    <row r="195" ht="14.25" customHeight="1"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  <c r="AA195" s="358"/>
      <c r="AB195" s="358"/>
      <c r="AC195" s="358"/>
      <c r="AD195" s="358"/>
      <c r="AE195" s="358"/>
      <c r="AF195" s="358"/>
      <c r="AG195" s="358"/>
      <c r="AH195" s="358"/>
      <c r="AI195" s="358"/>
      <c r="AJ195" s="358"/>
      <c r="AK195" s="358"/>
      <c r="AL195" s="358"/>
      <c r="AM195" s="358"/>
    </row>
    <row r="196" ht="14.25" customHeight="1"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  <c r="AA196" s="358"/>
      <c r="AB196" s="358"/>
      <c r="AC196" s="358"/>
      <c r="AD196" s="358"/>
      <c r="AE196" s="358"/>
      <c r="AF196" s="358"/>
      <c r="AG196" s="358"/>
      <c r="AH196" s="358"/>
      <c r="AI196" s="358"/>
      <c r="AJ196" s="358"/>
      <c r="AK196" s="358"/>
      <c r="AL196" s="358"/>
      <c r="AM196" s="358"/>
    </row>
    <row r="197" ht="14.25" customHeight="1"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  <c r="AA197" s="358"/>
      <c r="AB197" s="358"/>
      <c r="AC197" s="358"/>
      <c r="AD197" s="358"/>
      <c r="AE197" s="358"/>
      <c r="AF197" s="358"/>
      <c r="AG197" s="358"/>
      <c r="AH197" s="358"/>
      <c r="AI197" s="358"/>
      <c r="AJ197" s="358"/>
      <c r="AK197" s="358"/>
      <c r="AL197" s="358"/>
      <c r="AM197" s="358"/>
    </row>
    <row r="198" ht="14.25" customHeight="1"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358"/>
      <c r="AB198" s="358"/>
      <c r="AC198" s="358"/>
      <c r="AD198" s="358"/>
      <c r="AE198" s="358"/>
      <c r="AF198" s="358"/>
      <c r="AG198" s="358"/>
      <c r="AH198" s="358"/>
      <c r="AI198" s="358"/>
      <c r="AJ198" s="358"/>
      <c r="AK198" s="358"/>
      <c r="AL198" s="358"/>
      <c r="AM198" s="358"/>
    </row>
    <row r="199" ht="14.25" customHeight="1"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  <c r="AA199" s="358"/>
      <c r="AB199" s="358"/>
      <c r="AC199" s="358"/>
      <c r="AD199" s="358"/>
      <c r="AE199" s="358"/>
      <c r="AF199" s="358"/>
      <c r="AG199" s="358"/>
      <c r="AH199" s="358"/>
      <c r="AI199" s="358"/>
      <c r="AJ199" s="358"/>
      <c r="AK199" s="358"/>
      <c r="AL199" s="358"/>
      <c r="AM199" s="358"/>
    </row>
    <row r="200" ht="14.25" customHeight="1"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  <c r="AA200" s="358"/>
      <c r="AB200" s="358"/>
      <c r="AC200" s="358"/>
      <c r="AD200" s="358"/>
      <c r="AE200" s="358"/>
      <c r="AF200" s="358"/>
      <c r="AG200" s="358"/>
      <c r="AH200" s="358"/>
      <c r="AI200" s="358"/>
      <c r="AJ200" s="358"/>
      <c r="AK200" s="358"/>
      <c r="AL200" s="358"/>
      <c r="AM200" s="358"/>
    </row>
    <row r="201" ht="14.25" customHeight="1"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358"/>
      <c r="AB201" s="358"/>
      <c r="AC201" s="358"/>
      <c r="AD201" s="358"/>
      <c r="AE201" s="358"/>
      <c r="AF201" s="358"/>
      <c r="AG201" s="358"/>
      <c r="AH201" s="358"/>
      <c r="AI201" s="358"/>
      <c r="AJ201" s="358"/>
      <c r="AK201" s="358"/>
      <c r="AL201" s="358"/>
      <c r="AM201" s="358"/>
    </row>
    <row r="202" ht="14.25" customHeight="1"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358"/>
      <c r="AB202" s="358"/>
      <c r="AC202" s="358"/>
      <c r="AD202" s="358"/>
      <c r="AE202" s="358"/>
      <c r="AF202" s="358"/>
      <c r="AG202" s="358"/>
      <c r="AH202" s="358"/>
      <c r="AI202" s="358"/>
      <c r="AJ202" s="358"/>
      <c r="AK202" s="358"/>
      <c r="AL202" s="358"/>
      <c r="AM202" s="358"/>
    </row>
    <row r="203" ht="14.25" customHeight="1"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  <c r="AA203" s="358"/>
      <c r="AB203" s="358"/>
      <c r="AC203" s="358"/>
      <c r="AD203" s="358"/>
      <c r="AE203" s="358"/>
      <c r="AF203" s="358"/>
      <c r="AG203" s="358"/>
      <c r="AH203" s="358"/>
      <c r="AI203" s="358"/>
      <c r="AJ203" s="358"/>
      <c r="AK203" s="358"/>
      <c r="AL203" s="358"/>
      <c r="AM203" s="358"/>
    </row>
    <row r="204" ht="14.25" customHeight="1"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  <c r="AA204" s="358"/>
      <c r="AB204" s="358"/>
      <c r="AC204" s="358"/>
      <c r="AD204" s="358"/>
      <c r="AE204" s="358"/>
      <c r="AF204" s="358"/>
      <c r="AG204" s="358"/>
      <c r="AH204" s="358"/>
      <c r="AI204" s="358"/>
      <c r="AJ204" s="358"/>
      <c r="AK204" s="358"/>
      <c r="AL204" s="358"/>
      <c r="AM204" s="358"/>
    </row>
    <row r="205" ht="14.25" customHeight="1"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  <c r="AA205" s="358"/>
      <c r="AB205" s="358"/>
      <c r="AC205" s="358"/>
      <c r="AD205" s="358"/>
      <c r="AE205" s="358"/>
      <c r="AF205" s="358"/>
      <c r="AG205" s="358"/>
      <c r="AH205" s="358"/>
      <c r="AI205" s="358"/>
      <c r="AJ205" s="358"/>
      <c r="AK205" s="358"/>
      <c r="AL205" s="358"/>
      <c r="AM205" s="358"/>
    </row>
    <row r="206" ht="14.25" customHeight="1"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  <c r="AA206" s="358"/>
      <c r="AB206" s="358"/>
      <c r="AC206" s="358"/>
      <c r="AD206" s="358"/>
      <c r="AE206" s="358"/>
      <c r="AF206" s="358"/>
      <c r="AG206" s="358"/>
      <c r="AH206" s="358"/>
      <c r="AI206" s="358"/>
      <c r="AJ206" s="358"/>
      <c r="AK206" s="358"/>
      <c r="AL206" s="358"/>
      <c r="AM206" s="358"/>
    </row>
    <row r="207" ht="14.25" customHeight="1"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  <c r="AA207" s="358"/>
      <c r="AB207" s="358"/>
      <c r="AC207" s="358"/>
      <c r="AD207" s="358"/>
      <c r="AE207" s="358"/>
      <c r="AF207" s="358"/>
      <c r="AG207" s="358"/>
      <c r="AH207" s="358"/>
      <c r="AI207" s="358"/>
      <c r="AJ207" s="358"/>
      <c r="AK207" s="358"/>
      <c r="AL207" s="358"/>
      <c r="AM207" s="358"/>
    </row>
    <row r="208" ht="14.25" customHeight="1"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  <c r="AA208" s="358"/>
      <c r="AB208" s="358"/>
      <c r="AC208" s="358"/>
      <c r="AD208" s="358"/>
      <c r="AE208" s="358"/>
      <c r="AF208" s="358"/>
      <c r="AG208" s="358"/>
      <c r="AH208" s="358"/>
      <c r="AI208" s="358"/>
      <c r="AJ208" s="358"/>
      <c r="AK208" s="358"/>
      <c r="AL208" s="358"/>
      <c r="AM208" s="358"/>
    </row>
    <row r="209" ht="14.25" customHeight="1"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358"/>
      <c r="AB209" s="358"/>
      <c r="AC209" s="358"/>
      <c r="AD209" s="358"/>
      <c r="AE209" s="358"/>
      <c r="AF209" s="358"/>
      <c r="AG209" s="358"/>
      <c r="AH209" s="358"/>
      <c r="AI209" s="358"/>
      <c r="AJ209" s="358"/>
      <c r="AK209" s="358"/>
      <c r="AL209" s="358"/>
      <c r="AM209" s="358"/>
    </row>
    <row r="210" ht="14.25" customHeight="1"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  <c r="AA210" s="358"/>
      <c r="AB210" s="358"/>
      <c r="AC210" s="358"/>
      <c r="AD210" s="358"/>
      <c r="AE210" s="358"/>
      <c r="AF210" s="358"/>
      <c r="AG210" s="358"/>
      <c r="AH210" s="358"/>
      <c r="AI210" s="358"/>
      <c r="AJ210" s="358"/>
      <c r="AK210" s="358"/>
      <c r="AL210" s="358"/>
      <c r="AM210" s="358"/>
    </row>
    <row r="211" ht="14.25" customHeight="1"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  <c r="AA211" s="358"/>
      <c r="AB211" s="358"/>
      <c r="AC211" s="358"/>
      <c r="AD211" s="358"/>
      <c r="AE211" s="358"/>
      <c r="AF211" s="358"/>
      <c r="AG211" s="358"/>
      <c r="AH211" s="358"/>
      <c r="AI211" s="358"/>
      <c r="AJ211" s="358"/>
      <c r="AK211" s="358"/>
      <c r="AL211" s="358"/>
      <c r="AM211" s="358"/>
    </row>
    <row r="212" ht="14.25" customHeight="1"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358"/>
      <c r="AB212" s="358"/>
      <c r="AC212" s="358"/>
      <c r="AD212" s="358"/>
      <c r="AE212" s="358"/>
      <c r="AF212" s="358"/>
      <c r="AG212" s="358"/>
      <c r="AH212" s="358"/>
      <c r="AI212" s="358"/>
      <c r="AJ212" s="358"/>
      <c r="AK212" s="358"/>
      <c r="AL212" s="358"/>
      <c r="AM212" s="358"/>
    </row>
    <row r="213" ht="14.25" customHeight="1"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358"/>
      <c r="AB213" s="358"/>
      <c r="AC213" s="358"/>
      <c r="AD213" s="358"/>
      <c r="AE213" s="358"/>
      <c r="AF213" s="358"/>
      <c r="AG213" s="358"/>
      <c r="AH213" s="358"/>
      <c r="AI213" s="358"/>
      <c r="AJ213" s="358"/>
      <c r="AK213" s="358"/>
      <c r="AL213" s="358"/>
      <c r="AM213" s="358"/>
    </row>
    <row r="214" ht="14.25" customHeight="1"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  <c r="AA214" s="358"/>
      <c r="AB214" s="358"/>
      <c r="AC214" s="358"/>
      <c r="AD214" s="358"/>
      <c r="AE214" s="358"/>
      <c r="AF214" s="358"/>
      <c r="AG214" s="358"/>
      <c r="AH214" s="358"/>
      <c r="AI214" s="358"/>
      <c r="AJ214" s="358"/>
      <c r="AK214" s="358"/>
      <c r="AL214" s="358"/>
      <c r="AM214" s="358"/>
    </row>
    <row r="215" ht="14.25" customHeight="1"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358"/>
      <c r="AB215" s="358"/>
      <c r="AC215" s="358"/>
      <c r="AD215" s="358"/>
      <c r="AE215" s="358"/>
      <c r="AF215" s="358"/>
      <c r="AG215" s="358"/>
      <c r="AH215" s="358"/>
      <c r="AI215" s="358"/>
      <c r="AJ215" s="358"/>
      <c r="AK215" s="358"/>
      <c r="AL215" s="358"/>
      <c r="AM215" s="358"/>
    </row>
    <row r="216" ht="14.25" customHeight="1"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  <c r="AA216" s="358"/>
      <c r="AB216" s="358"/>
      <c r="AC216" s="358"/>
      <c r="AD216" s="358"/>
      <c r="AE216" s="358"/>
      <c r="AF216" s="358"/>
      <c r="AG216" s="358"/>
      <c r="AH216" s="358"/>
      <c r="AI216" s="358"/>
      <c r="AJ216" s="358"/>
      <c r="AK216" s="358"/>
      <c r="AL216" s="358"/>
      <c r="AM216" s="358"/>
    </row>
    <row r="217" ht="14.25" customHeight="1"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  <c r="AA217" s="358"/>
      <c r="AB217" s="358"/>
      <c r="AC217" s="358"/>
      <c r="AD217" s="358"/>
      <c r="AE217" s="358"/>
      <c r="AF217" s="358"/>
      <c r="AG217" s="358"/>
      <c r="AH217" s="358"/>
      <c r="AI217" s="358"/>
      <c r="AJ217" s="358"/>
      <c r="AK217" s="358"/>
      <c r="AL217" s="358"/>
      <c r="AM217" s="358"/>
    </row>
    <row r="218" ht="14.25" customHeight="1"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358"/>
      <c r="AB218" s="358"/>
      <c r="AC218" s="358"/>
      <c r="AD218" s="358"/>
      <c r="AE218" s="358"/>
      <c r="AF218" s="358"/>
      <c r="AG218" s="358"/>
      <c r="AH218" s="358"/>
      <c r="AI218" s="358"/>
      <c r="AJ218" s="358"/>
      <c r="AK218" s="358"/>
      <c r="AL218" s="358"/>
      <c r="AM218" s="358"/>
    </row>
    <row r="219" ht="14.25" customHeight="1"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358"/>
      <c r="AB219" s="358"/>
      <c r="AC219" s="358"/>
      <c r="AD219" s="358"/>
      <c r="AE219" s="358"/>
      <c r="AF219" s="358"/>
      <c r="AG219" s="358"/>
      <c r="AH219" s="358"/>
      <c r="AI219" s="358"/>
      <c r="AJ219" s="358"/>
      <c r="AK219" s="358"/>
      <c r="AL219" s="358"/>
      <c r="AM219" s="358"/>
    </row>
    <row r="220" ht="14.25" customHeight="1"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358"/>
      <c r="AB220" s="358"/>
      <c r="AC220" s="358"/>
      <c r="AD220" s="358"/>
      <c r="AE220" s="358"/>
      <c r="AF220" s="358"/>
      <c r="AG220" s="358"/>
      <c r="AH220" s="358"/>
      <c r="AI220" s="358"/>
      <c r="AJ220" s="358"/>
      <c r="AK220" s="358"/>
      <c r="AL220" s="358"/>
      <c r="AM220" s="358"/>
    </row>
    <row r="221" ht="14.25" customHeight="1"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  <c r="AA221" s="358"/>
      <c r="AB221" s="358"/>
      <c r="AC221" s="358"/>
      <c r="AD221" s="358"/>
      <c r="AE221" s="358"/>
      <c r="AF221" s="358"/>
      <c r="AG221" s="358"/>
      <c r="AH221" s="358"/>
      <c r="AI221" s="358"/>
      <c r="AJ221" s="358"/>
      <c r="AK221" s="358"/>
      <c r="AL221" s="358"/>
      <c r="AM221" s="358"/>
    </row>
    <row r="222" ht="14.25" customHeight="1"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  <c r="AA222" s="358"/>
      <c r="AB222" s="358"/>
      <c r="AC222" s="358"/>
      <c r="AD222" s="358"/>
      <c r="AE222" s="358"/>
      <c r="AF222" s="358"/>
      <c r="AG222" s="358"/>
      <c r="AH222" s="358"/>
      <c r="AI222" s="358"/>
      <c r="AJ222" s="358"/>
      <c r="AK222" s="358"/>
      <c r="AL222" s="358"/>
      <c r="AM222" s="358"/>
    </row>
    <row r="223" ht="14.25" customHeight="1"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358"/>
      <c r="AB223" s="358"/>
      <c r="AC223" s="358"/>
      <c r="AD223" s="358"/>
      <c r="AE223" s="358"/>
      <c r="AF223" s="358"/>
      <c r="AG223" s="358"/>
      <c r="AH223" s="358"/>
      <c r="AI223" s="358"/>
      <c r="AJ223" s="358"/>
      <c r="AK223" s="358"/>
      <c r="AL223" s="358"/>
      <c r="AM223" s="358"/>
    </row>
    <row r="224" ht="14.25" customHeight="1"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358"/>
      <c r="AB224" s="358"/>
      <c r="AC224" s="358"/>
      <c r="AD224" s="358"/>
      <c r="AE224" s="358"/>
      <c r="AF224" s="358"/>
      <c r="AG224" s="358"/>
      <c r="AH224" s="358"/>
      <c r="AI224" s="358"/>
      <c r="AJ224" s="358"/>
      <c r="AK224" s="358"/>
      <c r="AL224" s="358"/>
      <c r="AM224" s="358"/>
    </row>
    <row r="225" ht="14.25" customHeight="1"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358"/>
      <c r="AB225" s="358"/>
      <c r="AC225" s="358"/>
      <c r="AD225" s="358"/>
      <c r="AE225" s="358"/>
      <c r="AF225" s="358"/>
      <c r="AG225" s="358"/>
      <c r="AH225" s="358"/>
      <c r="AI225" s="358"/>
      <c r="AJ225" s="358"/>
      <c r="AK225" s="358"/>
      <c r="AL225" s="358"/>
      <c r="AM225" s="358"/>
    </row>
    <row r="226" ht="14.25" customHeight="1"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358"/>
      <c r="AB226" s="358"/>
      <c r="AC226" s="358"/>
      <c r="AD226" s="358"/>
      <c r="AE226" s="358"/>
      <c r="AF226" s="358"/>
      <c r="AG226" s="358"/>
      <c r="AH226" s="358"/>
      <c r="AI226" s="358"/>
      <c r="AJ226" s="358"/>
      <c r="AK226" s="358"/>
      <c r="AL226" s="358"/>
      <c r="AM226" s="358"/>
    </row>
    <row r="227" ht="14.25" customHeight="1"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  <c r="AA227" s="358"/>
      <c r="AB227" s="358"/>
      <c r="AC227" s="358"/>
      <c r="AD227" s="358"/>
      <c r="AE227" s="358"/>
      <c r="AF227" s="358"/>
      <c r="AG227" s="358"/>
      <c r="AH227" s="358"/>
      <c r="AI227" s="358"/>
      <c r="AJ227" s="358"/>
      <c r="AK227" s="358"/>
      <c r="AL227" s="358"/>
      <c r="AM227" s="358"/>
    </row>
    <row r="228" ht="14.25" customHeight="1"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  <c r="AA228" s="358"/>
      <c r="AB228" s="358"/>
      <c r="AC228" s="358"/>
      <c r="AD228" s="358"/>
      <c r="AE228" s="358"/>
      <c r="AF228" s="358"/>
      <c r="AG228" s="358"/>
      <c r="AH228" s="358"/>
      <c r="AI228" s="358"/>
      <c r="AJ228" s="358"/>
      <c r="AK228" s="358"/>
      <c r="AL228" s="358"/>
      <c r="AM228" s="358"/>
    </row>
    <row r="229" ht="14.25" customHeight="1"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358"/>
      <c r="AB229" s="358"/>
      <c r="AC229" s="358"/>
      <c r="AD229" s="358"/>
      <c r="AE229" s="358"/>
      <c r="AF229" s="358"/>
      <c r="AG229" s="358"/>
      <c r="AH229" s="358"/>
      <c r="AI229" s="358"/>
      <c r="AJ229" s="358"/>
      <c r="AK229" s="358"/>
      <c r="AL229" s="358"/>
      <c r="AM229" s="358"/>
    </row>
    <row r="230" ht="14.25" customHeight="1"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358"/>
      <c r="AB230" s="358"/>
      <c r="AC230" s="358"/>
      <c r="AD230" s="358"/>
      <c r="AE230" s="358"/>
      <c r="AF230" s="358"/>
      <c r="AG230" s="358"/>
      <c r="AH230" s="358"/>
      <c r="AI230" s="358"/>
      <c r="AJ230" s="358"/>
      <c r="AK230" s="358"/>
      <c r="AL230" s="358"/>
      <c r="AM230" s="358"/>
    </row>
    <row r="231" ht="14.25" customHeight="1"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358"/>
      <c r="AB231" s="358"/>
      <c r="AC231" s="358"/>
      <c r="AD231" s="358"/>
      <c r="AE231" s="358"/>
      <c r="AF231" s="358"/>
      <c r="AG231" s="358"/>
      <c r="AH231" s="358"/>
      <c r="AI231" s="358"/>
      <c r="AJ231" s="358"/>
      <c r="AK231" s="358"/>
      <c r="AL231" s="358"/>
      <c r="AM231" s="358"/>
    </row>
    <row r="232" ht="14.25" customHeight="1"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358"/>
      <c r="AB232" s="358"/>
      <c r="AC232" s="358"/>
      <c r="AD232" s="358"/>
      <c r="AE232" s="358"/>
      <c r="AF232" s="358"/>
      <c r="AG232" s="358"/>
      <c r="AH232" s="358"/>
      <c r="AI232" s="358"/>
      <c r="AJ232" s="358"/>
      <c r="AK232" s="358"/>
      <c r="AL232" s="358"/>
      <c r="AM232" s="358"/>
    </row>
    <row r="233" ht="14.25" customHeight="1"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  <c r="AA233" s="358"/>
      <c r="AB233" s="358"/>
      <c r="AC233" s="358"/>
      <c r="AD233" s="358"/>
      <c r="AE233" s="358"/>
      <c r="AF233" s="358"/>
      <c r="AG233" s="358"/>
      <c r="AH233" s="358"/>
      <c r="AI233" s="358"/>
      <c r="AJ233" s="358"/>
      <c r="AK233" s="358"/>
      <c r="AL233" s="358"/>
      <c r="AM233" s="358"/>
    </row>
    <row r="234" ht="14.25" customHeight="1"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  <c r="AA234" s="358"/>
      <c r="AB234" s="358"/>
      <c r="AC234" s="358"/>
      <c r="AD234" s="358"/>
      <c r="AE234" s="358"/>
      <c r="AF234" s="358"/>
      <c r="AG234" s="358"/>
      <c r="AH234" s="358"/>
      <c r="AI234" s="358"/>
      <c r="AJ234" s="358"/>
      <c r="AK234" s="358"/>
      <c r="AL234" s="358"/>
      <c r="AM234" s="358"/>
    </row>
    <row r="235" ht="14.25" customHeight="1"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358"/>
      <c r="AB235" s="358"/>
      <c r="AC235" s="358"/>
      <c r="AD235" s="358"/>
      <c r="AE235" s="358"/>
      <c r="AF235" s="358"/>
      <c r="AG235" s="358"/>
      <c r="AH235" s="358"/>
      <c r="AI235" s="358"/>
      <c r="AJ235" s="358"/>
      <c r="AK235" s="358"/>
      <c r="AL235" s="358"/>
      <c r="AM235" s="358"/>
    </row>
    <row r="236" ht="14.25" customHeight="1"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358"/>
      <c r="AB236" s="358"/>
      <c r="AC236" s="358"/>
      <c r="AD236" s="358"/>
      <c r="AE236" s="358"/>
      <c r="AF236" s="358"/>
      <c r="AG236" s="358"/>
      <c r="AH236" s="358"/>
      <c r="AI236" s="358"/>
      <c r="AJ236" s="358"/>
      <c r="AK236" s="358"/>
      <c r="AL236" s="358"/>
      <c r="AM236" s="358"/>
    </row>
    <row r="237" ht="14.25" customHeight="1"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  <c r="AA237" s="358"/>
      <c r="AB237" s="358"/>
      <c r="AC237" s="358"/>
      <c r="AD237" s="358"/>
      <c r="AE237" s="358"/>
      <c r="AF237" s="358"/>
      <c r="AG237" s="358"/>
      <c r="AH237" s="358"/>
      <c r="AI237" s="358"/>
      <c r="AJ237" s="358"/>
      <c r="AK237" s="358"/>
      <c r="AL237" s="358"/>
      <c r="AM237" s="358"/>
    </row>
    <row r="238" ht="14.25" customHeight="1"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  <c r="AA238" s="358"/>
      <c r="AB238" s="358"/>
      <c r="AC238" s="358"/>
      <c r="AD238" s="358"/>
      <c r="AE238" s="358"/>
      <c r="AF238" s="358"/>
      <c r="AG238" s="358"/>
      <c r="AH238" s="358"/>
      <c r="AI238" s="358"/>
      <c r="AJ238" s="358"/>
      <c r="AK238" s="358"/>
      <c r="AL238" s="358"/>
      <c r="AM238" s="358"/>
    </row>
    <row r="239" ht="14.25" customHeight="1"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  <c r="AA239" s="358"/>
      <c r="AB239" s="358"/>
      <c r="AC239" s="358"/>
      <c r="AD239" s="358"/>
      <c r="AE239" s="358"/>
      <c r="AF239" s="358"/>
      <c r="AG239" s="358"/>
      <c r="AH239" s="358"/>
      <c r="AI239" s="358"/>
      <c r="AJ239" s="358"/>
      <c r="AK239" s="358"/>
      <c r="AL239" s="358"/>
      <c r="AM239" s="358"/>
    </row>
    <row r="240" ht="14.25" customHeight="1"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  <c r="AA240" s="358"/>
      <c r="AB240" s="358"/>
      <c r="AC240" s="358"/>
      <c r="AD240" s="358"/>
      <c r="AE240" s="358"/>
      <c r="AF240" s="358"/>
      <c r="AG240" s="358"/>
      <c r="AH240" s="358"/>
      <c r="AI240" s="358"/>
      <c r="AJ240" s="358"/>
      <c r="AK240" s="358"/>
      <c r="AL240" s="358"/>
      <c r="AM240" s="358"/>
    </row>
    <row r="241" ht="14.25" customHeight="1"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  <c r="AA241" s="358"/>
      <c r="AB241" s="358"/>
      <c r="AC241" s="358"/>
      <c r="AD241" s="358"/>
      <c r="AE241" s="358"/>
      <c r="AF241" s="358"/>
      <c r="AG241" s="358"/>
      <c r="AH241" s="358"/>
      <c r="AI241" s="358"/>
      <c r="AJ241" s="358"/>
      <c r="AK241" s="358"/>
      <c r="AL241" s="358"/>
      <c r="AM241" s="358"/>
    </row>
    <row r="242" ht="14.25" customHeight="1"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358"/>
      <c r="AB242" s="358"/>
      <c r="AC242" s="358"/>
      <c r="AD242" s="358"/>
      <c r="AE242" s="358"/>
      <c r="AF242" s="358"/>
      <c r="AG242" s="358"/>
      <c r="AH242" s="358"/>
      <c r="AI242" s="358"/>
      <c r="AJ242" s="358"/>
      <c r="AK242" s="358"/>
      <c r="AL242" s="358"/>
      <c r="AM242" s="358"/>
    </row>
    <row r="243" ht="14.25" customHeight="1"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  <c r="AA243" s="358"/>
      <c r="AB243" s="358"/>
      <c r="AC243" s="358"/>
      <c r="AD243" s="358"/>
      <c r="AE243" s="358"/>
      <c r="AF243" s="358"/>
      <c r="AG243" s="358"/>
      <c r="AH243" s="358"/>
      <c r="AI243" s="358"/>
      <c r="AJ243" s="358"/>
      <c r="AK243" s="358"/>
      <c r="AL243" s="358"/>
      <c r="AM243" s="358"/>
    </row>
    <row r="244" ht="14.25" customHeight="1"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  <c r="AA244" s="358"/>
      <c r="AB244" s="358"/>
      <c r="AC244" s="358"/>
      <c r="AD244" s="358"/>
      <c r="AE244" s="358"/>
      <c r="AF244" s="358"/>
      <c r="AG244" s="358"/>
      <c r="AH244" s="358"/>
      <c r="AI244" s="358"/>
      <c r="AJ244" s="358"/>
      <c r="AK244" s="358"/>
      <c r="AL244" s="358"/>
      <c r="AM244" s="358"/>
    </row>
    <row r="245" ht="14.25" customHeight="1"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358"/>
      <c r="AB245" s="358"/>
      <c r="AC245" s="358"/>
      <c r="AD245" s="358"/>
      <c r="AE245" s="358"/>
      <c r="AF245" s="358"/>
      <c r="AG245" s="358"/>
      <c r="AH245" s="358"/>
      <c r="AI245" s="358"/>
      <c r="AJ245" s="358"/>
      <c r="AK245" s="358"/>
      <c r="AL245" s="358"/>
      <c r="AM245" s="358"/>
    </row>
    <row r="246" ht="14.25" customHeight="1"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358"/>
      <c r="AB246" s="358"/>
      <c r="AC246" s="358"/>
      <c r="AD246" s="358"/>
      <c r="AE246" s="358"/>
      <c r="AF246" s="358"/>
      <c r="AG246" s="358"/>
      <c r="AH246" s="358"/>
      <c r="AI246" s="358"/>
      <c r="AJ246" s="358"/>
      <c r="AK246" s="358"/>
      <c r="AL246" s="358"/>
      <c r="AM246" s="358"/>
    </row>
    <row r="247" ht="14.25" customHeight="1"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  <c r="AA247" s="358"/>
      <c r="AB247" s="358"/>
      <c r="AC247" s="358"/>
      <c r="AD247" s="358"/>
      <c r="AE247" s="358"/>
      <c r="AF247" s="358"/>
      <c r="AG247" s="358"/>
      <c r="AH247" s="358"/>
      <c r="AI247" s="358"/>
      <c r="AJ247" s="358"/>
      <c r="AK247" s="358"/>
      <c r="AL247" s="358"/>
      <c r="AM247" s="358"/>
    </row>
    <row r="248" ht="14.25" customHeight="1"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  <c r="AA248" s="358"/>
      <c r="AB248" s="358"/>
      <c r="AC248" s="358"/>
      <c r="AD248" s="358"/>
      <c r="AE248" s="358"/>
      <c r="AF248" s="358"/>
      <c r="AG248" s="358"/>
      <c r="AH248" s="358"/>
      <c r="AI248" s="358"/>
      <c r="AJ248" s="358"/>
      <c r="AK248" s="358"/>
      <c r="AL248" s="358"/>
      <c r="AM248" s="358"/>
    </row>
    <row r="249" ht="14.25" customHeight="1"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  <c r="AA249" s="358"/>
      <c r="AB249" s="358"/>
      <c r="AC249" s="358"/>
      <c r="AD249" s="358"/>
      <c r="AE249" s="358"/>
      <c r="AF249" s="358"/>
      <c r="AG249" s="358"/>
      <c r="AH249" s="358"/>
      <c r="AI249" s="358"/>
      <c r="AJ249" s="358"/>
      <c r="AK249" s="358"/>
      <c r="AL249" s="358"/>
      <c r="AM249" s="358"/>
    </row>
    <row r="250" ht="14.25" customHeight="1"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  <c r="AA250" s="358"/>
      <c r="AB250" s="358"/>
      <c r="AC250" s="358"/>
      <c r="AD250" s="358"/>
      <c r="AE250" s="358"/>
      <c r="AF250" s="358"/>
      <c r="AG250" s="358"/>
      <c r="AH250" s="358"/>
      <c r="AI250" s="358"/>
      <c r="AJ250" s="358"/>
      <c r="AK250" s="358"/>
      <c r="AL250" s="358"/>
      <c r="AM250" s="358"/>
    </row>
    <row r="251" ht="14.25" customHeight="1"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358"/>
      <c r="AB251" s="358"/>
      <c r="AC251" s="358"/>
      <c r="AD251" s="358"/>
      <c r="AE251" s="358"/>
      <c r="AF251" s="358"/>
      <c r="AG251" s="358"/>
      <c r="AH251" s="358"/>
      <c r="AI251" s="358"/>
      <c r="AJ251" s="358"/>
      <c r="AK251" s="358"/>
      <c r="AL251" s="358"/>
      <c r="AM251" s="358"/>
    </row>
    <row r="252" ht="14.25" customHeight="1"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358"/>
      <c r="AB252" s="358"/>
      <c r="AC252" s="358"/>
      <c r="AD252" s="358"/>
      <c r="AE252" s="358"/>
      <c r="AF252" s="358"/>
      <c r="AG252" s="358"/>
      <c r="AH252" s="358"/>
      <c r="AI252" s="358"/>
      <c r="AJ252" s="358"/>
      <c r="AK252" s="358"/>
      <c r="AL252" s="358"/>
      <c r="AM252" s="358"/>
    </row>
    <row r="253" ht="14.25" customHeight="1"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  <c r="AA253" s="358"/>
      <c r="AB253" s="358"/>
      <c r="AC253" s="358"/>
      <c r="AD253" s="358"/>
      <c r="AE253" s="358"/>
      <c r="AF253" s="358"/>
      <c r="AG253" s="358"/>
      <c r="AH253" s="358"/>
      <c r="AI253" s="358"/>
      <c r="AJ253" s="358"/>
      <c r="AK253" s="358"/>
      <c r="AL253" s="358"/>
      <c r="AM253" s="358"/>
    </row>
    <row r="254" ht="14.25" customHeight="1"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  <c r="AA254" s="358"/>
      <c r="AB254" s="358"/>
      <c r="AC254" s="358"/>
      <c r="AD254" s="358"/>
      <c r="AE254" s="358"/>
      <c r="AF254" s="358"/>
      <c r="AG254" s="358"/>
      <c r="AH254" s="358"/>
      <c r="AI254" s="358"/>
      <c r="AJ254" s="358"/>
      <c r="AK254" s="358"/>
      <c r="AL254" s="358"/>
      <c r="AM254" s="358"/>
    </row>
    <row r="255" ht="14.25" customHeight="1"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  <c r="AA255" s="358"/>
      <c r="AB255" s="358"/>
      <c r="AC255" s="358"/>
      <c r="AD255" s="358"/>
      <c r="AE255" s="358"/>
      <c r="AF255" s="358"/>
      <c r="AG255" s="358"/>
      <c r="AH255" s="358"/>
      <c r="AI255" s="358"/>
      <c r="AJ255" s="358"/>
      <c r="AK255" s="358"/>
      <c r="AL255" s="358"/>
      <c r="AM255" s="358"/>
    </row>
    <row r="256" ht="14.25" customHeight="1"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358"/>
      <c r="AB256" s="358"/>
      <c r="AC256" s="358"/>
      <c r="AD256" s="358"/>
      <c r="AE256" s="358"/>
      <c r="AF256" s="358"/>
      <c r="AG256" s="358"/>
      <c r="AH256" s="358"/>
      <c r="AI256" s="358"/>
      <c r="AJ256" s="358"/>
      <c r="AK256" s="358"/>
      <c r="AL256" s="358"/>
      <c r="AM256" s="358"/>
    </row>
    <row r="257" ht="14.25" customHeight="1"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  <c r="AB257" s="358"/>
      <c r="AC257" s="358"/>
      <c r="AD257" s="358"/>
      <c r="AE257" s="358"/>
      <c r="AF257" s="358"/>
      <c r="AG257" s="358"/>
      <c r="AH257" s="358"/>
      <c r="AI257" s="358"/>
      <c r="AJ257" s="358"/>
      <c r="AK257" s="358"/>
      <c r="AL257" s="358"/>
      <c r="AM257" s="358"/>
    </row>
    <row r="258" ht="14.25" customHeight="1"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358"/>
      <c r="AB258" s="358"/>
      <c r="AC258" s="358"/>
      <c r="AD258" s="358"/>
      <c r="AE258" s="358"/>
      <c r="AF258" s="358"/>
      <c r="AG258" s="358"/>
      <c r="AH258" s="358"/>
      <c r="AI258" s="358"/>
      <c r="AJ258" s="358"/>
      <c r="AK258" s="358"/>
      <c r="AL258" s="358"/>
      <c r="AM258" s="358"/>
    </row>
    <row r="259" ht="14.25" customHeight="1"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  <c r="AA259" s="358"/>
      <c r="AB259" s="358"/>
      <c r="AC259" s="358"/>
      <c r="AD259" s="358"/>
      <c r="AE259" s="358"/>
      <c r="AF259" s="358"/>
      <c r="AG259" s="358"/>
      <c r="AH259" s="358"/>
      <c r="AI259" s="358"/>
      <c r="AJ259" s="358"/>
      <c r="AK259" s="358"/>
      <c r="AL259" s="358"/>
      <c r="AM259" s="358"/>
    </row>
    <row r="260" ht="14.25" customHeight="1"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  <c r="AA260" s="358"/>
      <c r="AB260" s="358"/>
      <c r="AC260" s="358"/>
      <c r="AD260" s="358"/>
      <c r="AE260" s="358"/>
      <c r="AF260" s="358"/>
      <c r="AG260" s="358"/>
      <c r="AH260" s="358"/>
      <c r="AI260" s="358"/>
      <c r="AJ260" s="358"/>
      <c r="AK260" s="358"/>
      <c r="AL260" s="358"/>
      <c r="AM260" s="358"/>
    </row>
    <row r="261" ht="14.25" customHeight="1"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358"/>
      <c r="AB261" s="358"/>
      <c r="AC261" s="358"/>
      <c r="AD261" s="358"/>
      <c r="AE261" s="358"/>
      <c r="AF261" s="358"/>
      <c r="AG261" s="358"/>
      <c r="AH261" s="358"/>
      <c r="AI261" s="358"/>
      <c r="AJ261" s="358"/>
      <c r="AK261" s="358"/>
      <c r="AL261" s="358"/>
      <c r="AM261" s="358"/>
    </row>
    <row r="262" ht="14.25" customHeight="1"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  <c r="AA262" s="358"/>
      <c r="AB262" s="358"/>
      <c r="AC262" s="358"/>
      <c r="AD262" s="358"/>
      <c r="AE262" s="358"/>
      <c r="AF262" s="358"/>
      <c r="AG262" s="358"/>
      <c r="AH262" s="358"/>
      <c r="AI262" s="358"/>
      <c r="AJ262" s="358"/>
      <c r="AK262" s="358"/>
      <c r="AL262" s="358"/>
      <c r="AM262" s="358"/>
    </row>
    <row r="263" ht="14.25" customHeight="1"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  <c r="AA263" s="358"/>
      <c r="AB263" s="358"/>
      <c r="AC263" s="358"/>
      <c r="AD263" s="358"/>
      <c r="AE263" s="358"/>
      <c r="AF263" s="358"/>
      <c r="AG263" s="358"/>
      <c r="AH263" s="358"/>
      <c r="AI263" s="358"/>
      <c r="AJ263" s="358"/>
      <c r="AK263" s="358"/>
      <c r="AL263" s="358"/>
      <c r="AM263" s="358"/>
    </row>
    <row r="264" ht="14.25" customHeight="1"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  <c r="AA264" s="358"/>
      <c r="AB264" s="358"/>
      <c r="AC264" s="358"/>
      <c r="AD264" s="358"/>
      <c r="AE264" s="358"/>
      <c r="AF264" s="358"/>
      <c r="AG264" s="358"/>
      <c r="AH264" s="358"/>
      <c r="AI264" s="358"/>
      <c r="AJ264" s="358"/>
      <c r="AK264" s="358"/>
      <c r="AL264" s="358"/>
      <c r="AM264" s="358"/>
    </row>
    <row r="265" ht="14.25" customHeight="1"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  <c r="AA265" s="358"/>
      <c r="AB265" s="358"/>
      <c r="AC265" s="358"/>
      <c r="AD265" s="358"/>
      <c r="AE265" s="358"/>
      <c r="AF265" s="358"/>
      <c r="AG265" s="358"/>
      <c r="AH265" s="358"/>
      <c r="AI265" s="358"/>
      <c r="AJ265" s="358"/>
      <c r="AK265" s="358"/>
      <c r="AL265" s="358"/>
      <c r="AM265" s="358"/>
    </row>
    <row r="266" ht="14.25" customHeight="1"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  <c r="AA266" s="358"/>
      <c r="AB266" s="358"/>
      <c r="AC266" s="358"/>
      <c r="AD266" s="358"/>
      <c r="AE266" s="358"/>
      <c r="AF266" s="358"/>
      <c r="AG266" s="358"/>
      <c r="AH266" s="358"/>
      <c r="AI266" s="358"/>
      <c r="AJ266" s="358"/>
      <c r="AK266" s="358"/>
      <c r="AL266" s="358"/>
      <c r="AM266" s="358"/>
    </row>
    <row r="267" ht="14.25" customHeight="1"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358"/>
      <c r="AB267" s="358"/>
      <c r="AC267" s="358"/>
      <c r="AD267" s="358"/>
      <c r="AE267" s="358"/>
      <c r="AF267" s="358"/>
      <c r="AG267" s="358"/>
      <c r="AH267" s="358"/>
      <c r="AI267" s="358"/>
      <c r="AJ267" s="358"/>
      <c r="AK267" s="358"/>
      <c r="AL267" s="358"/>
      <c r="AM267" s="358"/>
    </row>
    <row r="268" ht="14.25" customHeight="1"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  <c r="AA268" s="358"/>
      <c r="AB268" s="358"/>
      <c r="AC268" s="358"/>
      <c r="AD268" s="358"/>
      <c r="AE268" s="358"/>
      <c r="AF268" s="358"/>
      <c r="AG268" s="358"/>
      <c r="AH268" s="358"/>
      <c r="AI268" s="358"/>
      <c r="AJ268" s="358"/>
      <c r="AK268" s="358"/>
      <c r="AL268" s="358"/>
      <c r="AM268" s="358"/>
    </row>
    <row r="269" ht="14.25" customHeight="1"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  <c r="AA269" s="358"/>
      <c r="AB269" s="358"/>
      <c r="AC269" s="358"/>
      <c r="AD269" s="358"/>
      <c r="AE269" s="358"/>
      <c r="AF269" s="358"/>
      <c r="AG269" s="358"/>
      <c r="AH269" s="358"/>
      <c r="AI269" s="358"/>
      <c r="AJ269" s="358"/>
      <c r="AK269" s="358"/>
      <c r="AL269" s="358"/>
      <c r="AM269" s="358"/>
    </row>
    <row r="270" ht="14.25" customHeight="1"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  <c r="AA270" s="358"/>
      <c r="AB270" s="358"/>
      <c r="AC270" s="358"/>
      <c r="AD270" s="358"/>
      <c r="AE270" s="358"/>
      <c r="AF270" s="358"/>
      <c r="AG270" s="358"/>
      <c r="AH270" s="358"/>
      <c r="AI270" s="358"/>
      <c r="AJ270" s="358"/>
      <c r="AK270" s="358"/>
      <c r="AL270" s="358"/>
      <c r="AM270" s="358"/>
    </row>
    <row r="271" ht="14.25" customHeight="1"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  <c r="AA271" s="358"/>
      <c r="AB271" s="358"/>
      <c r="AC271" s="358"/>
      <c r="AD271" s="358"/>
      <c r="AE271" s="358"/>
      <c r="AF271" s="358"/>
      <c r="AG271" s="358"/>
      <c r="AH271" s="358"/>
      <c r="AI271" s="358"/>
      <c r="AJ271" s="358"/>
      <c r="AK271" s="358"/>
      <c r="AL271" s="358"/>
      <c r="AM271" s="358"/>
    </row>
    <row r="272" ht="14.25" customHeight="1"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  <c r="AA272" s="358"/>
      <c r="AB272" s="358"/>
      <c r="AC272" s="358"/>
      <c r="AD272" s="358"/>
      <c r="AE272" s="358"/>
      <c r="AF272" s="358"/>
      <c r="AG272" s="358"/>
      <c r="AH272" s="358"/>
      <c r="AI272" s="358"/>
      <c r="AJ272" s="358"/>
      <c r="AK272" s="358"/>
      <c r="AL272" s="358"/>
      <c r="AM272" s="358"/>
    </row>
    <row r="273" ht="14.25" customHeight="1"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  <c r="AA273" s="358"/>
      <c r="AB273" s="358"/>
      <c r="AC273" s="358"/>
      <c r="AD273" s="358"/>
      <c r="AE273" s="358"/>
      <c r="AF273" s="358"/>
      <c r="AG273" s="358"/>
      <c r="AH273" s="358"/>
      <c r="AI273" s="358"/>
      <c r="AJ273" s="358"/>
      <c r="AK273" s="358"/>
      <c r="AL273" s="358"/>
      <c r="AM273" s="358"/>
    </row>
    <row r="274" ht="14.25" customHeight="1"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  <c r="AA274" s="358"/>
      <c r="AB274" s="358"/>
      <c r="AC274" s="358"/>
      <c r="AD274" s="358"/>
      <c r="AE274" s="358"/>
      <c r="AF274" s="358"/>
      <c r="AG274" s="358"/>
      <c r="AH274" s="358"/>
      <c r="AI274" s="358"/>
      <c r="AJ274" s="358"/>
      <c r="AK274" s="358"/>
      <c r="AL274" s="358"/>
      <c r="AM274" s="358"/>
    </row>
    <row r="275" ht="14.25" customHeight="1"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  <c r="AA275" s="358"/>
      <c r="AB275" s="358"/>
      <c r="AC275" s="358"/>
      <c r="AD275" s="358"/>
      <c r="AE275" s="358"/>
      <c r="AF275" s="358"/>
      <c r="AG275" s="358"/>
      <c r="AH275" s="358"/>
      <c r="AI275" s="358"/>
      <c r="AJ275" s="358"/>
      <c r="AK275" s="358"/>
      <c r="AL275" s="358"/>
      <c r="AM275" s="358"/>
    </row>
    <row r="276" ht="14.25" customHeight="1"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  <c r="AA276" s="358"/>
      <c r="AB276" s="358"/>
      <c r="AC276" s="358"/>
      <c r="AD276" s="358"/>
      <c r="AE276" s="358"/>
      <c r="AF276" s="358"/>
      <c r="AG276" s="358"/>
      <c r="AH276" s="358"/>
      <c r="AI276" s="358"/>
      <c r="AJ276" s="358"/>
      <c r="AK276" s="358"/>
      <c r="AL276" s="358"/>
      <c r="AM276" s="358"/>
    </row>
    <row r="277" ht="14.25" customHeight="1"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  <c r="AA277" s="358"/>
      <c r="AB277" s="358"/>
      <c r="AC277" s="358"/>
      <c r="AD277" s="358"/>
      <c r="AE277" s="358"/>
      <c r="AF277" s="358"/>
      <c r="AG277" s="358"/>
      <c r="AH277" s="358"/>
      <c r="AI277" s="358"/>
      <c r="AJ277" s="358"/>
      <c r="AK277" s="358"/>
      <c r="AL277" s="358"/>
      <c r="AM277" s="358"/>
    </row>
    <row r="278" ht="14.25" customHeight="1"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  <c r="AA278" s="358"/>
      <c r="AB278" s="358"/>
      <c r="AC278" s="358"/>
      <c r="AD278" s="358"/>
      <c r="AE278" s="358"/>
      <c r="AF278" s="358"/>
      <c r="AG278" s="358"/>
      <c r="AH278" s="358"/>
      <c r="AI278" s="358"/>
      <c r="AJ278" s="358"/>
      <c r="AK278" s="358"/>
      <c r="AL278" s="358"/>
      <c r="AM278" s="358"/>
    </row>
    <row r="279" ht="14.25" customHeight="1"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  <c r="AA279" s="358"/>
      <c r="AB279" s="358"/>
      <c r="AC279" s="358"/>
      <c r="AD279" s="358"/>
      <c r="AE279" s="358"/>
      <c r="AF279" s="358"/>
      <c r="AG279" s="358"/>
      <c r="AH279" s="358"/>
      <c r="AI279" s="358"/>
      <c r="AJ279" s="358"/>
      <c r="AK279" s="358"/>
      <c r="AL279" s="358"/>
      <c r="AM279" s="358"/>
    </row>
    <row r="280" ht="14.25" customHeight="1"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  <c r="AA280" s="358"/>
      <c r="AB280" s="358"/>
      <c r="AC280" s="358"/>
      <c r="AD280" s="358"/>
      <c r="AE280" s="358"/>
      <c r="AF280" s="358"/>
      <c r="AG280" s="358"/>
      <c r="AH280" s="358"/>
      <c r="AI280" s="358"/>
      <c r="AJ280" s="358"/>
      <c r="AK280" s="358"/>
      <c r="AL280" s="358"/>
      <c r="AM280" s="358"/>
    </row>
    <row r="281" ht="14.25" customHeight="1"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  <c r="AA281" s="358"/>
      <c r="AB281" s="358"/>
      <c r="AC281" s="358"/>
      <c r="AD281" s="358"/>
      <c r="AE281" s="358"/>
      <c r="AF281" s="358"/>
      <c r="AG281" s="358"/>
      <c r="AH281" s="358"/>
      <c r="AI281" s="358"/>
      <c r="AJ281" s="358"/>
      <c r="AK281" s="358"/>
      <c r="AL281" s="358"/>
      <c r="AM281" s="358"/>
    </row>
    <row r="282" ht="14.25" customHeight="1"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  <c r="AA282" s="358"/>
      <c r="AB282" s="358"/>
      <c r="AC282" s="358"/>
      <c r="AD282" s="358"/>
      <c r="AE282" s="358"/>
      <c r="AF282" s="358"/>
      <c r="AG282" s="358"/>
      <c r="AH282" s="358"/>
      <c r="AI282" s="358"/>
      <c r="AJ282" s="358"/>
      <c r="AK282" s="358"/>
      <c r="AL282" s="358"/>
      <c r="AM282" s="358"/>
    </row>
    <row r="283" ht="14.25" customHeight="1"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  <c r="AA283" s="358"/>
      <c r="AB283" s="358"/>
      <c r="AC283" s="358"/>
      <c r="AD283" s="358"/>
      <c r="AE283" s="358"/>
      <c r="AF283" s="358"/>
      <c r="AG283" s="358"/>
      <c r="AH283" s="358"/>
      <c r="AI283" s="358"/>
      <c r="AJ283" s="358"/>
      <c r="AK283" s="358"/>
      <c r="AL283" s="358"/>
      <c r="AM283" s="358"/>
    </row>
    <row r="284" ht="14.25" customHeight="1"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  <c r="AA284" s="358"/>
      <c r="AB284" s="358"/>
      <c r="AC284" s="358"/>
      <c r="AD284" s="358"/>
      <c r="AE284" s="358"/>
      <c r="AF284" s="358"/>
      <c r="AG284" s="358"/>
      <c r="AH284" s="358"/>
      <c r="AI284" s="358"/>
      <c r="AJ284" s="358"/>
      <c r="AK284" s="358"/>
      <c r="AL284" s="358"/>
      <c r="AM284" s="358"/>
    </row>
    <row r="285" ht="14.25" customHeight="1"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  <c r="AA285" s="358"/>
      <c r="AB285" s="358"/>
      <c r="AC285" s="358"/>
      <c r="AD285" s="358"/>
      <c r="AE285" s="358"/>
      <c r="AF285" s="358"/>
      <c r="AG285" s="358"/>
      <c r="AH285" s="358"/>
      <c r="AI285" s="358"/>
      <c r="AJ285" s="358"/>
      <c r="AK285" s="358"/>
      <c r="AL285" s="358"/>
      <c r="AM285" s="358"/>
    </row>
    <row r="286" ht="14.25" customHeight="1"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  <c r="AA286" s="358"/>
      <c r="AB286" s="358"/>
      <c r="AC286" s="358"/>
      <c r="AD286" s="358"/>
      <c r="AE286" s="358"/>
      <c r="AF286" s="358"/>
      <c r="AG286" s="358"/>
      <c r="AH286" s="358"/>
      <c r="AI286" s="358"/>
      <c r="AJ286" s="358"/>
      <c r="AK286" s="358"/>
      <c r="AL286" s="358"/>
      <c r="AM286" s="358"/>
    </row>
    <row r="287" ht="14.25" customHeight="1"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  <c r="AA287" s="358"/>
      <c r="AB287" s="358"/>
      <c r="AC287" s="358"/>
      <c r="AD287" s="358"/>
      <c r="AE287" s="358"/>
      <c r="AF287" s="358"/>
      <c r="AG287" s="358"/>
      <c r="AH287" s="358"/>
      <c r="AI287" s="358"/>
      <c r="AJ287" s="358"/>
      <c r="AK287" s="358"/>
      <c r="AL287" s="358"/>
      <c r="AM287" s="358"/>
    </row>
    <row r="288" ht="14.25" customHeight="1"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  <c r="AA288" s="358"/>
      <c r="AB288" s="358"/>
      <c r="AC288" s="358"/>
      <c r="AD288" s="358"/>
      <c r="AE288" s="358"/>
      <c r="AF288" s="358"/>
      <c r="AG288" s="358"/>
      <c r="AH288" s="358"/>
      <c r="AI288" s="358"/>
      <c r="AJ288" s="358"/>
      <c r="AK288" s="358"/>
      <c r="AL288" s="358"/>
      <c r="AM288" s="358"/>
    </row>
    <row r="289" ht="14.25" customHeight="1"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  <c r="AA289" s="358"/>
      <c r="AB289" s="358"/>
      <c r="AC289" s="358"/>
      <c r="AD289" s="358"/>
      <c r="AE289" s="358"/>
      <c r="AF289" s="358"/>
      <c r="AG289" s="358"/>
      <c r="AH289" s="358"/>
      <c r="AI289" s="358"/>
      <c r="AJ289" s="358"/>
      <c r="AK289" s="358"/>
      <c r="AL289" s="358"/>
      <c r="AM289" s="358"/>
    </row>
    <row r="290" ht="14.25" customHeight="1"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  <c r="AA290" s="358"/>
      <c r="AB290" s="358"/>
      <c r="AC290" s="358"/>
      <c r="AD290" s="358"/>
      <c r="AE290" s="358"/>
      <c r="AF290" s="358"/>
      <c r="AG290" s="358"/>
      <c r="AH290" s="358"/>
      <c r="AI290" s="358"/>
      <c r="AJ290" s="358"/>
      <c r="AK290" s="358"/>
      <c r="AL290" s="358"/>
      <c r="AM290" s="358"/>
    </row>
    <row r="291" ht="14.25" customHeight="1"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  <c r="AA291" s="358"/>
      <c r="AB291" s="358"/>
      <c r="AC291" s="358"/>
      <c r="AD291" s="358"/>
      <c r="AE291" s="358"/>
      <c r="AF291" s="358"/>
      <c r="AG291" s="358"/>
      <c r="AH291" s="358"/>
      <c r="AI291" s="358"/>
      <c r="AJ291" s="358"/>
      <c r="AK291" s="358"/>
      <c r="AL291" s="358"/>
      <c r="AM291" s="358"/>
    </row>
    <row r="292" ht="14.25" customHeight="1"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  <c r="AA292" s="358"/>
      <c r="AB292" s="358"/>
      <c r="AC292" s="358"/>
      <c r="AD292" s="358"/>
      <c r="AE292" s="358"/>
      <c r="AF292" s="358"/>
      <c r="AG292" s="358"/>
      <c r="AH292" s="358"/>
      <c r="AI292" s="358"/>
      <c r="AJ292" s="358"/>
      <c r="AK292" s="358"/>
      <c r="AL292" s="358"/>
      <c r="AM292" s="358"/>
    </row>
    <row r="293" ht="14.25" customHeight="1"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  <c r="AA293" s="358"/>
      <c r="AB293" s="358"/>
      <c r="AC293" s="358"/>
      <c r="AD293" s="358"/>
      <c r="AE293" s="358"/>
      <c r="AF293" s="358"/>
      <c r="AG293" s="358"/>
      <c r="AH293" s="358"/>
      <c r="AI293" s="358"/>
      <c r="AJ293" s="358"/>
      <c r="AK293" s="358"/>
      <c r="AL293" s="358"/>
      <c r="AM293" s="358"/>
    </row>
    <row r="294" ht="14.25" customHeight="1"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  <c r="AA294" s="358"/>
      <c r="AB294" s="358"/>
      <c r="AC294" s="358"/>
      <c r="AD294" s="358"/>
      <c r="AE294" s="358"/>
      <c r="AF294" s="358"/>
      <c r="AG294" s="358"/>
      <c r="AH294" s="358"/>
      <c r="AI294" s="358"/>
      <c r="AJ294" s="358"/>
      <c r="AK294" s="358"/>
      <c r="AL294" s="358"/>
      <c r="AM294" s="358"/>
    </row>
    <row r="295" ht="14.25" customHeight="1"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  <c r="AA295" s="358"/>
      <c r="AB295" s="358"/>
      <c r="AC295" s="358"/>
      <c r="AD295" s="358"/>
      <c r="AE295" s="358"/>
      <c r="AF295" s="358"/>
      <c r="AG295" s="358"/>
      <c r="AH295" s="358"/>
      <c r="AI295" s="358"/>
      <c r="AJ295" s="358"/>
      <c r="AK295" s="358"/>
      <c r="AL295" s="358"/>
      <c r="AM295" s="358"/>
    </row>
    <row r="296" ht="14.25" customHeight="1"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  <c r="AA296" s="358"/>
      <c r="AB296" s="358"/>
      <c r="AC296" s="358"/>
      <c r="AD296" s="358"/>
      <c r="AE296" s="358"/>
      <c r="AF296" s="358"/>
      <c r="AG296" s="358"/>
      <c r="AH296" s="358"/>
      <c r="AI296" s="358"/>
      <c r="AJ296" s="358"/>
      <c r="AK296" s="358"/>
      <c r="AL296" s="358"/>
      <c r="AM296" s="358"/>
    </row>
    <row r="297" ht="14.25" customHeight="1"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  <c r="AA297" s="358"/>
      <c r="AB297" s="358"/>
      <c r="AC297" s="358"/>
      <c r="AD297" s="358"/>
      <c r="AE297" s="358"/>
      <c r="AF297" s="358"/>
      <c r="AG297" s="358"/>
      <c r="AH297" s="358"/>
      <c r="AI297" s="358"/>
      <c r="AJ297" s="358"/>
      <c r="AK297" s="358"/>
      <c r="AL297" s="358"/>
      <c r="AM297" s="358"/>
    </row>
    <row r="298" ht="14.25" customHeight="1"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  <c r="AA298" s="358"/>
      <c r="AB298" s="358"/>
      <c r="AC298" s="358"/>
      <c r="AD298" s="358"/>
      <c r="AE298" s="358"/>
      <c r="AF298" s="358"/>
      <c r="AG298" s="358"/>
      <c r="AH298" s="358"/>
      <c r="AI298" s="358"/>
      <c r="AJ298" s="358"/>
      <c r="AK298" s="358"/>
      <c r="AL298" s="358"/>
      <c r="AM298" s="358"/>
    </row>
    <row r="299" ht="14.25" customHeight="1"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  <c r="AA299" s="358"/>
      <c r="AB299" s="358"/>
      <c r="AC299" s="358"/>
      <c r="AD299" s="358"/>
      <c r="AE299" s="358"/>
      <c r="AF299" s="358"/>
      <c r="AG299" s="358"/>
      <c r="AH299" s="358"/>
      <c r="AI299" s="358"/>
      <c r="AJ299" s="358"/>
      <c r="AK299" s="358"/>
      <c r="AL299" s="358"/>
      <c r="AM299" s="358"/>
    </row>
    <row r="300" ht="14.25" customHeight="1"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  <c r="AA300" s="358"/>
      <c r="AB300" s="358"/>
      <c r="AC300" s="358"/>
      <c r="AD300" s="358"/>
      <c r="AE300" s="358"/>
      <c r="AF300" s="358"/>
      <c r="AG300" s="358"/>
      <c r="AH300" s="358"/>
      <c r="AI300" s="358"/>
      <c r="AJ300" s="358"/>
      <c r="AK300" s="358"/>
      <c r="AL300" s="358"/>
      <c r="AM300" s="358"/>
    </row>
    <row r="301" ht="14.25" customHeight="1"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  <c r="AA301" s="358"/>
      <c r="AB301" s="358"/>
      <c r="AC301" s="358"/>
      <c r="AD301" s="358"/>
      <c r="AE301" s="358"/>
      <c r="AF301" s="358"/>
      <c r="AG301" s="358"/>
      <c r="AH301" s="358"/>
      <c r="AI301" s="358"/>
      <c r="AJ301" s="358"/>
      <c r="AK301" s="358"/>
      <c r="AL301" s="358"/>
      <c r="AM301" s="358"/>
    </row>
    <row r="302" ht="14.25" customHeight="1"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  <c r="AA302" s="358"/>
      <c r="AB302" s="358"/>
      <c r="AC302" s="358"/>
      <c r="AD302" s="358"/>
      <c r="AE302" s="358"/>
      <c r="AF302" s="358"/>
      <c r="AG302" s="358"/>
      <c r="AH302" s="358"/>
      <c r="AI302" s="358"/>
      <c r="AJ302" s="358"/>
      <c r="AK302" s="358"/>
      <c r="AL302" s="358"/>
      <c r="AM302" s="358"/>
    </row>
    <row r="303" ht="14.25" customHeight="1"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  <c r="AA303" s="358"/>
      <c r="AB303" s="358"/>
      <c r="AC303" s="358"/>
      <c r="AD303" s="358"/>
      <c r="AE303" s="358"/>
      <c r="AF303" s="358"/>
      <c r="AG303" s="358"/>
      <c r="AH303" s="358"/>
      <c r="AI303" s="358"/>
      <c r="AJ303" s="358"/>
      <c r="AK303" s="358"/>
      <c r="AL303" s="358"/>
      <c r="AM303" s="358"/>
    </row>
    <row r="304" ht="14.25" customHeight="1"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  <c r="AA304" s="358"/>
      <c r="AB304" s="358"/>
      <c r="AC304" s="358"/>
      <c r="AD304" s="358"/>
      <c r="AE304" s="358"/>
      <c r="AF304" s="358"/>
      <c r="AG304" s="358"/>
      <c r="AH304" s="358"/>
      <c r="AI304" s="358"/>
      <c r="AJ304" s="358"/>
      <c r="AK304" s="358"/>
      <c r="AL304" s="358"/>
      <c r="AM304" s="358"/>
    </row>
    <row r="305" ht="14.25" customHeight="1"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  <c r="AA305" s="358"/>
      <c r="AB305" s="358"/>
      <c r="AC305" s="358"/>
      <c r="AD305" s="358"/>
      <c r="AE305" s="358"/>
      <c r="AF305" s="358"/>
      <c r="AG305" s="358"/>
      <c r="AH305" s="358"/>
      <c r="AI305" s="358"/>
      <c r="AJ305" s="358"/>
      <c r="AK305" s="358"/>
      <c r="AL305" s="358"/>
      <c r="AM305" s="358"/>
    </row>
    <row r="306" ht="14.25" customHeight="1"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  <c r="AA306" s="358"/>
      <c r="AB306" s="358"/>
      <c r="AC306" s="358"/>
      <c r="AD306" s="358"/>
      <c r="AE306" s="358"/>
      <c r="AF306" s="358"/>
      <c r="AG306" s="358"/>
      <c r="AH306" s="358"/>
      <c r="AI306" s="358"/>
      <c r="AJ306" s="358"/>
      <c r="AK306" s="358"/>
      <c r="AL306" s="358"/>
      <c r="AM306" s="358"/>
    </row>
    <row r="307" ht="14.25" customHeight="1"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  <c r="AA307" s="358"/>
      <c r="AB307" s="358"/>
      <c r="AC307" s="358"/>
      <c r="AD307" s="358"/>
      <c r="AE307" s="358"/>
      <c r="AF307" s="358"/>
      <c r="AG307" s="358"/>
      <c r="AH307" s="358"/>
      <c r="AI307" s="358"/>
      <c r="AJ307" s="358"/>
      <c r="AK307" s="358"/>
      <c r="AL307" s="358"/>
      <c r="AM307" s="358"/>
    </row>
    <row r="308" ht="14.25" customHeight="1"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  <c r="AA308" s="358"/>
      <c r="AB308" s="358"/>
      <c r="AC308" s="358"/>
      <c r="AD308" s="358"/>
      <c r="AE308" s="358"/>
      <c r="AF308" s="358"/>
      <c r="AG308" s="358"/>
      <c r="AH308" s="358"/>
      <c r="AI308" s="358"/>
      <c r="AJ308" s="358"/>
      <c r="AK308" s="358"/>
      <c r="AL308" s="358"/>
      <c r="AM308" s="358"/>
    </row>
    <row r="309" ht="14.25" customHeight="1"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  <c r="AA309" s="358"/>
      <c r="AB309" s="358"/>
      <c r="AC309" s="358"/>
      <c r="AD309" s="358"/>
      <c r="AE309" s="358"/>
      <c r="AF309" s="358"/>
      <c r="AG309" s="358"/>
      <c r="AH309" s="358"/>
      <c r="AI309" s="358"/>
      <c r="AJ309" s="358"/>
      <c r="AK309" s="358"/>
      <c r="AL309" s="358"/>
      <c r="AM309" s="358"/>
    </row>
    <row r="310" ht="14.25" customHeight="1"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  <c r="AA310" s="358"/>
      <c r="AB310" s="358"/>
      <c r="AC310" s="358"/>
      <c r="AD310" s="358"/>
      <c r="AE310" s="358"/>
      <c r="AF310" s="358"/>
      <c r="AG310" s="358"/>
      <c r="AH310" s="358"/>
      <c r="AI310" s="358"/>
      <c r="AJ310" s="358"/>
      <c r="AK310" s="358"/>
      <c r="AL310" s="358"/>
      <c r="AM310" s="358"/>
    </row>
    <row r="311" ht="14.25" customHeight="1"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  <c r="AA311" s="358"/>
      <c r="AB311" s="358"/>
      <c r="AC311" s="358"/>
      <c r="AD311" s="358"/>
      <c r="AE311" s="358"/>
      <c r="AF311" s="358"/>
      <c r="AG311" s="358"/>
      <c r="AH311" s="358"/>
      <c r="AI311" s="358"/>
      <c r="AJ311" s="358"/>
      <c r="AK311" s="358"/>
      <c r="AL311" s="358"/>
      <c r="AM311" s="358"/>
    </row>
    <row r="312" ht="14.25" customHeight="1"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  <c r="AA312" s="358"/>
      <c r="AB312" s="358"/>
      <c r="AC312" s="358"/>
      <c r="AD312" s="358"/>
      <c r="AE312" s="358"/>
      <c r="AF312" s="358"/>
      <c r="AG312" s="358"/>
      <c r="AH312" s="358"/>
      <c r="AI312" s="358"/>
      <c r="AJ312" s="358"/>
      <c r="AK312" s="358"/>
      <c r="AL312" s="358"/>
      <c r="AM312" s="358"/>
    </row>
    <row r="313" ht="14.25" customHeight="1"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  <c r="AA313" s="358"/>
      <c r="AB313" s="358"/>
      <c r="AC313" s="358"/>
      <c r="AD313" s="358"/>
      <c r="AE313" s="358"/>
      <c r="AF313" s="358"/>
      <c r="AG313" s="358"/>
      <c r="AH313" s="358"/>
      <c r="AI313" s="358"/>
      <c r="AJ313" s="358"/>
      <c r="AK313" s="358"/>
      <c r="AL313" s="358"/>
      <c r="AM313" s="358"/>
    </row>
    <row r="314" ht="14.25" customHeight="1"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  <c r="AA314" s="358"/>
      <c r="AB314" s="358"/>
      <c r="AC314" s="358"/>
      <c r="AD314" s="358"/>
      <c r="AE314" s="358"/>
      <c r="AF314" s="358"/>
      <c r="AG314" s="358"/>
      <c r="AH314" s="358"/>
      <c r="AI314" s="358"/>
      <c r="AJ314" s="358"/>
      <c r="AK314" s="358"/>
      <c r="AL314" s="358"/>
      <c r="AM314" s="358"/>
    </row>
    <row r="315" ht="14.25" customHeight="1"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  <c r="AA315" s="358"/>
      <c r="AB315" s="358"/>
      <c r="AC315" s="358"/>
      <c r="AD315" s="358"/>
      <c r="AE315" s="358"/>
      <c r="AF315" s="358"/>
      <c r="AG315" s="358"/>
      <c r="AH315" s="358"/>
      <c r="AI315" s="358"/>
      <c r="AJ315" s="358"/>
      <c r="AK315" s="358"/>
      <c r="AL315" s="358"/>
      <c r="AM315" s="358"/>
    </row>
    <row r="316" ht="14.25" customHeight="1"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  <c r="AA316" s="358"/>
      <c r="AB316" s="358"/>
      <c r="AC316" s="358"/>
      <c r="AD316" s="358"/>
      <c r="AE316" s="358"/>
      <c r="AF316" s="358"/>
      <c r="AG316" s="358"/>
      <c r="AH316" s="358"/>
      <c r="AI316" s="358"/>
      <c r="AJ316" s="358"/>
      <c r="AK316" s="358"/>
      <c r="AL316" s="358"/>
      <c r="AM316" s="358"/>
    </row>
    <row r="317" ht="14.25" customHeight="1"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  <c r="AA317" s="358"/>
      <c r="AB317" s="358"/>
      <c r="AC317" s="358"/>
      <c r="AD317" s="358"/>
      <c r="AE317" s="358"/>
      <c r="AF317" s="358"/>
      <c r="AG317" s="358"/>
      <c r="AH317" s="358"/>
      <c r="AI317" s="358"/>
      <c r="AJ317" s="358"/>
      <c r="AK317" s="358"/>
      <c r="AL317" s="358"/>
      <c r="AM317" s="358"/>
    </row>
    <row r="318" ht="14.25" customHeight="1"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  <c r="AA318" s="358"/>
      <c r="AB318" s="358"/>
      <c r="AC318" s="358"/>
      <c r="AD318" s="358"/>
      <c r="AE318" s="358"/>
      <c r="AF318" s="358"/>
      <c r="AG318" s="358"/>
      <c r="AH318" s="358"/>
      <c r="AI318" s="358"/>
      <c r="AJ318" s="358"/>
      <c r="AK318" s="358"/>
      <c r="AL318" s="358"/>
      <c r="AM318" s="358"/>
    </row>
    <row r="319" ht="14.25" customHeight="1"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  <c r="AA319" s="358"/>
      <c r="AB319" s="358"/>
      <c r="AC319" s="358"/>
      <c r="AD319" s="358"/>
      <c r="AE319" s="358"/>
      <c r="AF319" s="358"/>
      <c r="AG319" s="358"/>
      <c r="AH319" s="358"/>
      <c r="AI319" s="358"/>
      <c r="AJ319" s="358"/>
      <c r="AK319" s="358"/>
      <c r="AL319" s="358"/>
      <c r="AM319" s="358"/>
    </row>
    <row r="320" ht="14.25" customHeight="1"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  <c r="AA320" s="358"/>
      <c r="AB320" s="358"/>
      <c r="AC320" s="358"/>
      <c r="AD320" s="358"/>
      <c r="AE320" s="358"/>
      <c r="AF320" s="358"/>
      <c r="AG320" s="358"/>
      <c r="AH320" s="358"/>
      <c r="AI320" s="358"/>
      <c r="AJ320" s="358"/>
      <c r="AK320" s="358"/>
      <c r="AL320" s="358"/>
      <c r="AM320" s="358"/>
    </row>
    <row r="321" ht="14.25" customHeight="1"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  <c r="AA321" s="358"/>
      <c r="AB321" s="358"/>
      <c r="AC321" s="358"/>
      <c r="AD321" s="358"/>
      <c r="AE321" s="358"/>
      <c r="AF321" s="358"/>
      <c r="AG321" s="358"/>
      <c r="AH321" s="358"/>
      <c r="AI321" s="358"/>
      <c r="AJ321" s="358"/>
      <c r="AK321" s="358"/>
      <c r="AL321" s="358"/>
      <c r="AM321" s="358"/>
    </row>
    <row r="322" ht="14.25" customHeight="1">
      <c r="G322" s="358"/>
      <c r="H322" s="358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  <c r="AA322" s="358"/>
      <c r="AB322" s="358"/>
      <c r="AC322" s="358"/>
      <c r="AD322" s="358"/>
      <c r="AE322" s="358"/>
      <c r="AF322" s="358"/>
      <c r="AG322" s="358"/>
      <c r="AH322" s="358"/>
      <c r="AI322" s="358"/>
      <c r="AJ322" s="358"/>
      <c r="AK322" s="358"/>
      <c r="AL322" s="358"/>
      <c r="AM322" s="358"/>
    </row>
    <row r="323" ht="14.25" customHeight="1"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  <c r="AA323" s="358"/>
      <c r="AB323" s="358"/>
      <c r="AC323" s="358"/>
      <c r="AD323" s="358"/>
      <c r="AE323" s="358"/>
      <c r="AF323" s="358"/>
      <c r="AG323" s="358"/>
      <c r="AH323" s="358"/>
      <c r="AI323" s="358"/>
      <c r="AJ323" s="358"/>
      <c r="AK323" s="358"/>
      <c r="AL323" s="358"/>
      <c r="AM323" s="358"/>
    </row>
    <row r="324" ht="14.25" customHeight="1">
      <c r="G324" s="358"/>
      <c r="H324" s="358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  <c r="AA324" s="358"/>
      <c r="AB324" s="358"/>
      <c r="AC324" s="358"/>
      <c r="AD324" s="358"/>
      <c r="AE324" s="358"/>
      <c r="AF324" s="358"/>
      <c r="AG324" s="358"/>
      <c r="AH324" s="358"/>
      <c r="AI324" s="358"/>
      <c r="AJ324" s="358"/>
      <c r="AK324" s="358"/>
      <c r="AL324" s="358"/>
      <c r="AM324" s="358"/>
    </row>
    <row r="325" ht="14.25" customHeight="1">
      <c r="G325" s="358"/>
      <c r="H325" s="358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  <c r="AA325" s="358"/>
      <c r="AB325" s="358"/>
      <c r="AC325" s="358"/>
      <c r="AD325" s="358"/>
      <c r="AE325" s="358"/>
      <c r="AF325" s="358"/>
      <c r="AG325" s="358"/>
      <c r="AH325" s="358"/>
      <c r="AI325" s="358"/>
      <c r="AJ325" s="358"/>
      <c r="AK325" s="358"/>
      <c r="AL325" s="358"/>
      <c r="AM325" s="358"/>
    </row>
    <row r="326" ht="14.25" customHeight="1">
      <c r="G326" s="358"/>
      <c r="H326" s="358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  <c r="AA326" s="358"/>
      <c r="AB326" s="358"/>
      <c r="AC326" s="358"/>
      <c r="AD326" s="358"/>
      <c r="AE326" s="358"/>
      <c r="AF326" s="358"/>
      <c r="AG326" s="358"/>
      <c r="AH326" s="358"/>
      <c r="AI326" s="358"/>
      <c r="AJ326" s="358"/>
      <c r="AK326" s="358"/>
      <c r="AL326" s="358"/>
      <c r="AM326" s="358"/>
    </row>
    <row r="327" ht="14.25" customHeight="1">
      <c r="G327" s="358"/>
      <c r="H327" s="358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  <c r="AA327" s="358"/>
      <c r="AB327" s="358"/>
      <c r="AC327" s="358"/>
      <c r="AD327" s="358"/>
      <c r="AE327" s="358"/>
      <c r="AF327" s="358"/>
      <c r="AG327" s="358"/>
      <c r="AH327" s="358"/>
      <c r="AI327" s="358"/>
      <c r="AJ327" s="358"/>
      <c r="AK327" s="358"/>
      <c r="AL327" s="358"/>
      <c r="AM327" s="358"/>
    </row>
    <row r="328" ht="14.25" customHeight="1">
      <c r="G328" s="358"/>
      <c r="H328" s="358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  <c r="AA328" s="358"/>
      <c r="AB328" s="358"/>
      <c r="AC328" s="358"/>
      <c r="AD328" s="358"/>
      <c r="AE328" s="358"/>
      <c r="AF328" s="358"/>
      <c r="AG328" s="358"/>
      <c r="AH328" s="358"/>
      <c r="AI328" s="358"/>
      <c r="AJ328" s="358"/>
      <c r="AK328" s="358"/>
      <c r="AL328" s="358"/>
      <c r="AM328" s="358"/>
    </row>
    <row r="329" ht="14.25" customHeight="1">
      <c r="G329" s="358"/>
      <c r="H329" s="358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  <c r="AA329" s="358"/>
      <c r="AB329" s="358"/>
      <c r="AC329" s="358"/>
      <c r="AD329" s="358"/>
      <c r="AE329" s="358"/>
      <c r="AF329" s="358"/>
      <c r="AG329" s="358"/>
      <c r="AH329" s="358"/>
      <c r="AI329" s="358"/>
      <c r="AJ329" s="358"/>
      <c r="AK329" s="358"/>
      <c r="AL329" s="358"/>
      <c r="AM329" s="358"/>
    </row>
    <row r="330" ht="14.25" customHeight="1"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  <c r="AA330" s="358"/>
      <c r="AB330" s="358"/>
      <c r="AC330" s="358"/>
      <c r="AD330" s="358"/>
      <c r="AE330" s="358"/>
      <c r="AF330" s="358"/>
      <c r="AG330" s="358"/>
      <c r="AH330" s="358"/>
      <c r="AI330" s="358"/>
      <c r="AJ330" s="358"/>
      <c r="AK330" s="358"/>
      <c r="AL330" s="358"/>
      <c r="AM330" s="358"/>
    </row>
    <row r="331" ht="14.25" customHeight="1">
      <c r="G331" s="358"/>
      <c r="H331" s="358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  <c r="AA331" s="358"/>
      <c r="AB331" s="358"/>
      <c r="AC331" s="358"/>
      <c r="AD331" s="358"/>
      <c r="AE331" s="358"/>
      <c r="AF331" s="358"/>
      <c r="AG331" s="358"/>
      <c r="AH331" s="358"/>
      <c r="AI331" s="358"/>
      <c r="AJ331" s="358"/>
      <c r="AK331" s="358"/>
      <c r="AL331" s="358"/>
      <c r="AM331" s="358"/>
    </row>
    <row r="332" ht="14.25" customHeight="1">
      <c r="G332" s="358"/>
      <c r="H332" s="358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  <c r="AA332" s="358"/>
      <c r="AB332" s="358"/>
      <c r="AC332" s="358"/>
      <c r="AD332" s="358"/>
      <c r="AE332" s="358"/>
      <c r="AF332" s="358"/>
      <c r="AG332" s="358"/>
      <c r="AH332" s="358"/>
      <c r="AI332" s="358"/>
      <c r="AJ332" s="358"/>
      <c r="AK332" s="358"/>
      <c r="AL332" s="358"/>
      <c r="AM332" s="358"/>
    </row>
    <row r="333" ht="14.25" customHeight="1">
      <c r="G333" s="358"/>
      <c r="H333" s="358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  <c r="AA333" s="358"/>
      <c r="AB333" s="358"/>
      <c r="AC333" s="358"/>
      <c r="AD333" s="358"/>
      <c r="AE333" s="358"/>
      <c r="AF333" s="358"/>
      <c r="AG333" s="358"/>
      <c r="AH333" s="358"/>
      <c r="AI333" s="358"/>
      <c r="AJ333" s="358"/>
      <c r="AK333" s="358"/>
      <c r="AL333" s="358"/>
      <c r="AM333" s="358"/>
    </row>
    <row r="334" ht="14.25" customHeight="1">
      <c r="G334" s="358"/>
      <c r="H334" s="358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  <c r="AA334" s="358"/>
      <c r="AB334" s="358"/>
      <c r="AC334" s="358"/>
      <c r="AD334" s="358"/>
      <c r="AE334" s="358"/>
      <c r="AF334" s="358"/>
      <c r="AG334" s="358"/>
      <c r="AH334" s="358"/>
      <c r="AI334" s="358"/>
      <c r="AJ334" s="358"/>
      <c r="AK334" s="358"/>
      <c r="AL334" s="358"/>
      <c r="AM334" s="358"/>
    </row>
    <row r="335" ht="14.25" customHeight="1">
      <c r="G335" s="358"/>
      <c r="H335" s="358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  <c r="AF335" s="358"/>
      <c r="AG335" s="358"/>
      <c r="AH335" s="358"/>
      <c r="AI335" s="358"/>
      <c r="AJ335" s="358"/>
      <c r="AK335" s="358"/>
      <c r="AL335" s="358"/>
      <c r="AM335" s="358"/>
    </row>
    <row r="336" ht="14.25" customHeight="1">
      <c r="G336" s="358"/>
      <c r="H336" s="358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  <c r="AA336" s="358"/>
      <c r="AB336" s="358"/>
      <c r="AC336" s="358"/>
      <c r="AD336" s="358"/>
      <c r="AE336" s="358"/>
      <c r="AF336" s="358"/>
      <c r="AG336" s="358"/>
      <c r="AH336" s="358"/>
      <c r="AI336" s="358"/>
      <c r="AJ336" s="358"/>
      <c r="AK336" s="358"/>
      <c r="AL336" s="358"/>
      <c r="AM336" s="358"/>
    </row>
    <row r="337" ht="14.25" customHeight="1">
      <c r="G337" s="358"/>
      <c r="H337" s="358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  <c r="AA337" s="358"/>
      <c r="AB337" s="358"/>
      <c r="AC337" s="358"/>
      <c r="AD337" s="358"/>
      <c r="AE337" s="358"/>
      <c r="AF337" s="358"/>
      <c r="AG337" s="358"/>
      <c r="AH337" s="358"/>
      <c r="AI337" s="358"/>
      <c r="AJ337" s="358"/>
      <c r="AK337" s="358"/>
      <c r="AL337" s="358"/>
      <c r="AM337" s="358"/>
    </row>
    <row r="338" ht="14.25" customHeight="1">
      <c r="G338" s="358"/>
      <c r="H338" s="358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  <c r="AA338" s="358"/>
      <c r="AB338" s="358"/>
      <c r="AC338" s="358"/>
      <c r="AD338" s="358"/>
      <c r="AE338" s="358"/>
      <c r="AF338" s="358"/>
      <c r="AG338" s="358"/>
      <c r="AH338" s="358"/>
      <c r="AI338" s="358"/>
      <c r="AJ338" s="358"/>
      <c r="AK338" s="358"/>
      <c r="AL338" s="358"/>
      <c r="AM338" s="358"/>
    </row>
    <row r="339" ht="14.25" customHeight="1">
      <c r="G339" s="358"/>
      <c r="H339" s="358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  <c r="AA339" s="358"/>
      <c r="AB339" s="358"/>
      <c r="AC339" s="358"/>
      <c r="AD339" s="358"/>
      <c r="AE339" s="358"/>
      <c r="AF339" s="358"/>
      <c r="AG339" s="358"/>
      <c r="AH339" s="358"/>
      <c r="AI339" s="358"/>
      <c r="AJ339" s="358"/>
      <c r="AK339" s="358"/>
      <c r="AL339" s="358"/>
      <c r="AM339" s="358"/>
    </row>
    <row r="340" ht="14.25" customHeight="1">
      <c r="G340" s="358"/>
      <c r="H340" s="358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  <c r="AA340" s="358"/>
      <c r="AB340" s="358"/>
      <c r="AC340" s="358"/>
      <c r="AD340" s="358"/>
      <c r="AE340" s="358"/>
      <c r="AF340" s="358"/>
      <c r="AG340" s="358"/>
      <c r="AH340" s="358"/>
      <c r="AI340" s="358"/>
      <c r="AJ340" s="358"/>
      <c r="AK340" s="358"/>
      <c r="AL340" s="358"/>
      <c r="AM340" s="358"/>
    </row>
    <row r="341" ht="14.25" customHeight="1">
      <c r="G341" s="358"/>
      <c r="H341" s="358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  <c r="AA341" s="358"/>
      <c r="AB341" s="358"/>
      <c r="AC341" s="358"/>
      <c r="AD341" s="358"/>
      <c r="AE341" s="358"/>
      <c r="AF341" s="358"/>
      <c r="AG341" s="358"/>
      <c r="AH341" s="358"/>
      <c r="AI341" s="358"/>
      <c r="AJ341" s="358"/>
      <c r="AK341" s="358"/>
      <c r="AL341" s="358"/>
      <c r="AM341" s="358"/>
    </row>
    <row r="342" ht="14.25" customHeight="1">
      <c r="G342" s="358"/>
      <c r="H342" s="358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  <c r="AA342" s="358"/>
      <c r="AB342" s="358"/>
      <c r="AC342" s="358"/>
      <c r="AD342" s="358"/>
      <c r="AE342" s="358"/>
      <c r="AF342" s="358"/>
      <c r="AG342" s="358"/>
      <c r="AH342" s="358"/>
      <c r="AI342" s="358"/>
      <c r="AJ342" s="358"/>
      <c r="AK342" s="358"/>
      <c r="AL342" s="358"/>
      <c r="AM342" s="358"/>
    </row>
    <row r="343" ht="14.25" customHeight="1">
      <c r="G343" s="358"/>
      <c r="H343" s="358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  <c r="AA343" s="358"/>
      <c r="AB343" s="358"/>
      <c r="AC343" s="358"/>
      <c r="AD343" s="358"/>
      <c r="AE343" s="358"/>
      <c r="AF343" s="358"/>
      <c r="AG343" s="358"/>
      <c r="AH343" s="358"/>
      <c r="AI343" s="358"/>
      <c r="AJ343" s="358"/>
      <c r="AK343" s="358"/>
      <c r="AL343" s="358"/>
      <c r="AM343" s="358"/>
    </row>
    <row r="344" ht="14.25" customHeight="1">
      <c r="G344" s="358"/>
      <c r="H344" s="358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  <c r="AA344" s="358"/>
      <c r="AB344" s="358"/>
      <c r="AC344" s="358"/>
      <c r="AD344" s="358"/>
      <c r="AE344" s="358"/>
      <c r="AF344" s="358"/>
      <c r="AG344" s="358"/>
      <c r="AH344" s="358"/>
      <c r="AI344" s="358"/>
      <c r="AJ344" s="358"/>
      <c r="AK344" s="358"/>
      <c r="AL344" s="358"/>
      <c r="AM344" s="358"/>
    </row>
    <row r="345" ht="14.25" customHeight="1">
      <c r="G345" s="358"/>
      <c r="H345" s="358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  <c r="AA345" s="358"/>
      <c r="AB345" s="358"/>
      <c r="AC345" s="358"/>
      <c r="AD345" s="358"/>
      <c r="AE345" s="358"/>
      <c r="AF345" s="358"/>
      <c r="AG345" s="358"/>
      <c r="AH345" s="358"/>
      <c r="AI345" s="358"/>
      <c r="AJ345" s="358"/>
      <c r="AK345" s="358"/>
      <c r="AL345" s="358"/>
      <c r="AM345" s="358"/>
    </row>
    <row r="346" ht="14.25" customHeight="1"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  <c r="AA346" s="358"/>
      <c r="AB346" s="358"/>
      <c r="AC346" s="358"/>
      <c r="AD346" s="358"/>
      <c r="AE346" s="358"/>
      <c r="AF346" s="358"/>
      <c r="AG346" s="358"/>
      <c r="AH346" s="358"/>
      <c r="AI346" s="358"/>
      <c r="AJ346" s="358"/>
      <c r="AK346" s="358"/>
      <c r="AL346" s="358"/>
      <c r="AM346" s="358"/>
    </row>
    <row r="347" ht="14.25" customHeight="1">
      <c r="G347" s="358"/>
      <c r="H347" s="358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  <c r="AA347" s="358"/>
      <c r="AB347" s="358"/>
      <c r="AC347" s="358"/>
      <c r="AD347" s="358"/>
      <c r="AE347" s="358"/>
      <c r="AF347" s="358"/>
      <c r="AG347" s="358"/>
      <c r="AH347" s="358"/>
      <c r="AI347" s="358"/>
      <c r="AJ347" s="358"/>
      <c r="AK347" s="358"/>
      <c r="AL347" s="358"/>
      <c r="AM347" s="358"/>
    </row>
    <row r="348" ht="14.25" customHeight="1">
      <c r="G348" s="358"/>
      <c r="H348" s="358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  <c r="AA348" s="358"/>
      <c r="AB348" s="358"/>
      <c r="AC348" s="358"/>
      <c r="AD348" s="358"/>
      <c r="AE348" s="358"/>
      <c r="AF348" s="358"/>
      <c r="AG348" s="358"/>
      <c r="AH348" s="358"/>
      <c r="AI348" s="358"/>
      <c r="AJ348" s="358"/>
      <c r="AK348" s="358"/>
      <c r="AL348" s="358"/>
      <c r="AM348" s="358"/>
    </row>
    <row r="349" ht="14.25" customHeight="1">
      <c r="G349" s="358"/>
      <c r="H349" s="358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  <c r="AA349" s="358"/>
      <c r="AB349" s="358"/>
      <c r="AC349" s="358"/>
      <c r="AD349" s="358"/>
      <c r="AE349" s="358"/>
      <c r="AF349" s="358"/>
      <c r="AG349" s="358"/>
      <c r="AH349" s="358"/>
      <c r="AI349" s="358"/>
      <c r="AJ349" s="358"/>
      <c r="AK349" s="358"/>
      <c r="AL349" s="358"/>
      <c r="AM349" s="358"/>
    </row>
    <row r="350" ht="14.25" customHeight="1">
      <c r="G350" s="358"/>
      <c r="H350" s="358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  <c r="AA350" s="358"/>
      <c r="AB350" s="358"/>
      <c r="AC350" s="358"/>
      <c r="AD350" s="358"/>
      <c r="AE350" s="358"/>
      <c r="AF350" s="358"/>
      <c r="AG350" s="358"/>
      <c r="AH350" s="358"/>
      <c r="AI350" s="358"/>
      <c r="AJ350" s="358"/>
      <c r="AK350" s="358"/>
      <c r="AL350" s="358"/>
      <c r="AM350" s="358"/>
    </row>
    <row r="351" ht="14.25" customHeight="1">
      <c r="G351" s="358"/>
      <c r="H351" s="358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  <c r="AA351" s="358"/>
      <c r="AB351" s="358"/>
      <c r="AC351" s="358"/>
      <c r="AD351" s="358"/>
      <c r="AE351" s="358"/>
      <c r="AF351" s="358"/>
      <c r="AG351" s="358"/>
      <c r="AH351" s="358"/>
      <c r="AI351" s="358"/>
      <c r="AJ351" s="358"/>
      <c r="AK351" s="358"/>
      <c r="AL351" s="358"/>
      <c r="AM351" s="358"/>
    </row>
    <row r="352" ht="14.25" customHeight="1">
      <c r="G352" s="358"/>
      <c r="H352" s="358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  <c r="AA352" s="358"/>
      <c r="AB352" s="358"/>
      <c r="AC352" s="358"/>
      <c r="AD352" s="358"/>
      <c r="AE352" s="358"/>
      <c r="AF352" s="358"/>
      <c r="AG352" s="358"/>
      <c r="AH352" s="358"/>
      <c r="AI352" s="358"/>
      <c r="AJ352" s="358"/>
      <c r="AK352" s="358"/>
      <c r="AL352" s="358"/>
      <c r="AM352" s="358"/>
    </row>
    <row r="353" ht="14.25" customHeight="1">
      <c r="G353" s="358"/>
      <c r="H353" s="358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  <c r="AA353" s="358"/>
      <c r="AB353" s="358"/>
      <c r="AC353" s="358"/>
      <c r="AD353" s="358"/>
      <c r="AE353" s="358"/>
      <c r="AF353" s="358"/>
      <c r="AG353" s="358"/>
      <c r="AH353" s="358"/>
      <c r="AI353" s="358"/>
      <c r="AJ353" s="358"/>
      <c r="AK353" s="358"/>
      <c r="AL353" s="358"/>
      <c r="AM353" s="358"/>
    </row>
    <row r="354" ht="14.25" customHeight="1">
      <c r="G354" s="358"/>
      <c r="H354" s="358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  <c r="AA354" s="358"/>
      <c r="AB354" s="358"/>
      <c r="AC354" s="358"/>
      <c r="AD354" s="358"/>
      <c r="AE354" s="358"/>
      <c r="AF354" s="358"/>
      <c r="AG354" s="358"/>
      <c r="AH354" s="358"/>
      <c r="AI354" s="358"/>
      <c r="AJ354" s="358"/>
      <c r="AK354" s="358"/>
      <c r="AL354" s="358"/>
      <c r="AM354" s="358"/>
    </row>
    <row r="355" ht="14.25" customHeight="1"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  <c r="AA355" s="358"/>
      <c r="AB355" s="358"/>
      <c r="AC355" s="358"/>
      <c r="AD355" s="358"/>
      <c r="AE355" s="358"/>
      <c r="AF355" s="358"/>
      <c r="AG355" s="358"/>
      <c r="AH355" s="358"/>
      <c r="AI355" s="358"/>
      <c r="AJ355" s="358"/>
      <c r="AK355" s="358"/>
      <c r="AL355" s="358"/>
      <c r="AM355" s="358"/>
    </row>
    <row r="356" ht="14.25" customHeight="1">
      <c r="G356" s="358"/>
      <c r="H356" s="358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  <c r="AA356" s="358"/>
      <c r="AB356" s="358"/>
      <c r="AC356" s="358"/>
      <c r="AD356" s="358"/>
      <c r="AE356" s="358"/>
      <c r="AF356" s="358"/>
      <c r="AG356" s="358"/>
      <c r="AH356" s="358"/>
      <c r="AI356" s="358"/>
      <c r="AJ356" s="358"/>
      <c r="AK356" s="358"/>
      <c r="AL356" s="358"/>
      <c r="AM356" s="358"/>
    </row>
    <row r="357" ht="14.25" customHeight="1">
      <c r="G357" s="358"/>
      <c r="H357" s="358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  <c r="AA357" s="358"/>
      <c r="AB357" s="358"/>
      <c r="AC357" s="358"/>
      <c r="AD357" s="358"/>
      <c r="AE357" s="358"/>
      <c r="AF357" s="358"/>
      <c r="AG357" s="358"/>
      <c r="AH357" s="358"/>
      <c r="AI357" s="358"/>
      <c r="AJ357" s="358"/>
      <c r="AK357" s="358"/>
      <c r="AL357" s="358"/>
      <c r="AM357" s="358"/>
    </row>
    <row r="358" ht="14.25" customHeight="1">
      <c r="G358" s="358"/>
      <c r="H358" s="358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  <c r="AA358" s="358"/>
      <c r="AB358" s="358"/>
      <c r="AC358" s="358"/>
      <c r="AD358" s="358"/>
      <c r="AE358" s="358"/>
      <c r="AF358" s="358"/>
      <c r="AG358" s="358"/>
      <c r="AH358" s="358"/>
      <c r="AI358" s="358"/>
      <c r="AJ358" s="358"/>
      <c r="AK358" s="358"/>
      <c r="AL358" s="358"/>
      <c r="AM358" s="358"/>
    </row>
    <row r="359" ht="14.25" customHeight="1">
      <c r="G359" s="358"/>
      <c r="H359" s="358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  <c r="AA359" s="358"/>
      <c r="AB359" s="358"/>
      <c r="AC359" s="358"/>
      <c r="AD359" s="358"/>
      <c r="AE359" s="358"/>
      <c r="AF359" s="358"/>
      <c r="AG359" s="358"/>
      <c r="AH359" s="358"/>
      <c r="AI359" s="358"/>
      <c r="AJ359" s="358"/>
      <c r="AK359" s="358"/>
      <c r="AL359" s="358"/>
      <c r="AM359" s="358"/>
    </row>
    <row r="360" ht="14.25" customHeight="1">
      <c r="G360" s="358"/>
      <c r="H360" s="358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  <c r="AA360" s="358"/>
      <c r="AB360" s="358"/>
      <c r="AC360" s="358"/>
      <c r="AD360" s="358"/>
      <c r="AE360" s="358"/>
      <c r="AF360" s="358"/>
      <c r="AG360" s="358"/>
      <c r="AH360" s="358"/>
      <c r="AI360" s="358"/>
      <c r="AJ360" s="358"/>
      <c r="AK360" s="358"/>
      <c r="AL360" s="358"/>
      <c r="AM360" s="358"/>
    </row>
    <row r="361" ht="14.25" customHeight="1"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  <c r="AA361" s="358"/>
      <c r="AB361" s="358"/>
      <c r="AC361" s="358"/>
      <c r="AD361" s="358"/>
      <c r="AE361" s="358"/>
      <c r="AF361" s="358"/>
      <c r="AG361" s="358"/>
      <c r="AH361" s="358"/>
      <c r="AI361" s="358"/>
      <c r="AJ361" s="358"/>
      <c r="AK361" s="358"/>
      <c r="AL361" s="358"/>
      <c r="AM361" s="358"/>
    </row>
    <row r="362" ht="14.25" customHeight="1">
      <c r="G362" s="358"/>
      <c r="H362" s="358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  <c r="AA362" s="358"/>
      <c r="AB362" s="358"/>
      <c r="AC362" s="358"/>
      <c r="AD362" s="358"/>
      <c r="AE362" s="358"/>
      <c r="AF362" s="358"/>
      <c r="AG362" s="358"/>
      <c r="AH362" s="358"/>
      <c r="AI362" s="358"/>
      <c r="AJ362" s="358"/>
      <c r="AK362" s="358"/>
      <c r="AL362" s="358"/>
      <c r="AM362" s="358"/>
    </row>
    <row r="363" ht="14.25" customHeight="1">
      <c r="G363" s="358"/>
      <c r="H363" s="358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  <c r="AA363" s="358"/>
      <c r="AB363" s="358"/>
      <c r="AC363" s="358"/>
      <c r="AD363" s="358"/>
      <c r="AE363" s="358"/>
      <c r="AF363" s="358"/>
      <c r="AG363" s="358"/>
      <c r="AH363" s="358"/>
      <c r="AI363" s="358"/>
      <c r="AJ363" s="358"/>
      <c r="AK363" s="358"/>
      <c r="AL363" s="358"/>
      <c r="AM363" s="358"/>
    </row>
    <row r="364" ht="14.25" customHeight="1">
      <c r="G364" s="358"/>
      <c r="H364" s="358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  <c r="AA364" s="358"/>
      <c r="AB364" s="358"/>
      <c r="AC364" s="358"/>
      <c r="AD364" s="358"/>
      <c r="AE364" s="358"/>
      <c r="AF364" s="358"/>
      <c r="AG364" s="358"/>
      <c r="AH364" s="358"/>
      <c r="AI364" s="358"/>
      <c r="AJ364" s="358"/>
      <c r="AK364" s="358"/>
      <c r="AL364" s="358"/>
      <c r="AM364" s="358"/>
    </row>
    <row r="365" ht="14.25" customHeight="1">
      <c r="G365" s="358"/>
      <c r="H365" s="358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  <c r="AA365" s="358"/>
      <c r="AB365" s="358"/>
      <c r="AC365" s="358"/>
      <c r="AD365" s="358"/>
      <c r="AE365" s="358"/>
      <c r="AF365" s="358"/>
      <c r="AG365" s="358"/>
      <c r="AH365" s="358"/>
      <c r="AI365" s="358"/>
      <c r="AJ365" s="358"/>
      <c r="AK365" s="358"/>
      <c r="AL365" s="358"/>
      <c r="AM365" s="358"/>
    </row>
    <row r="366" ht="14.25" customHeight="1"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  <c r="AA366" s="358"/>
      <c r="AB366" s="358"/>
      <c r="AC366" s="358"/>
      <c r="AD366" s="358"/>
      <c r="AE366" s="358"/>
      <c r="AF366" s="358"/>
      <c r="AG366" s="358"/>
      <c r="AH366" s="358"/>
      <c r="AI366" s="358"/>
      <c r="AJ366" s="358"/>
      <c r="AK366" s="358"/>
      <c r="AL366" s="358"/>
      <c r="AM366" s="358"/>
    </row>
    <row r="367" ht="14.25" customHeight="1">
      <c r="G367" s="358"/>
      <c r="H367" s="358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  <c r="AA367" s="358"/>
      <c r="AB367" s="358"/>
      <c r="AC367" s="358"/>
      <c r="AD367" s="358"/>
      <c r="AE367" s="358"/>
      <c r="AF367" s="358"/>
      <c r="AG367" s="358"/>
      <c r="AH367" s="358"/>
      <c r="AI367" s="358"/>
      <c r="AJ367" s="358"/>
      <c r="AK367" s="358"/>
      <c r="AL367" s="358"/>
      <c r="AM367" s="358"/>
    </row>
    <row r="368" ht="14.25" customHeight="1"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  <c r="AA368" s="358"/>
      <c r="AB368" s="358"/>
      <c r="AC368" s="358"/>
      <c r="AD368" s="358"/>
      <c r="AE368" s="358"/>
      <c r="AF368" s="358"/>
      <c r="AG368" s="358"/>
      <c r="AH368" s="358"/>
      <c r="AI368" s="358"/>
      <c r="AJ368" s="358"/>
      <c r="AK368" s="358"/>
      <c r="AL368" s="358"/>
      <c r="AM368" s="358"/>
    </row>
    <row r="369" ht="14.25" customHeight="1">
      <c r="G369" s="358"/>
      <c r="H369" s="358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  <c r="AA369" s="358"/>
      <c r="AB369" s="358"/>
      <c r="AC369" s="358"/>
      <c r="AD369" s="358"/>
      <c r="AE369" s="358"/>
      <c r="AF369" s="358"/>
      <c r="AG369" s="358"/>
      <c r="AH369" s="358"/>
      <c r="AI369" s="358"/>
      <c r="AJ369" s="358"/>
      <c r="AK369" s="358"/>
      <c r="AL369" s="358"/>
      <c r="AM369" s="358"/>
    </row>
    <row r="370" ht="14.25" customHeight="1">
      <c r="G370" s="358"/>
      <c r="H370" s="358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  <c r="AA370" s="358"/>
      <c r="AB370" s="358"/>
      <c r="AC370" s="358"/>
      <c r="AD370" s="358"/>
      <c r="AE370" s="358"/>
      <c r="AF370" s="358"/>
      <c r="AG370" s="358"/>
      <c r="AH370" s="358"/>
      <c r="AI370" s="358"/>
      <c r="AJ370" s="358"/>
      <c r="AK370" s="358"/>
      <c r="AL370" s="358"/>
      <c r="AM370" s="358"/>
    </row>
    <row r="371" ht="14.25" customHeight="1">
      <c r="G371" s="358"/>
      <c r="H371" s="358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  <c r="AA371" s="358"/>
      <c r="AB371" s="358"/>
      <c r="AC371" s="358"/>
      <c r="AD371" s="358"/>
      <c r="AE371" s="358"/>
      <c r="AF371" s="358"/>
      <c r="AG371" s="358"/>
      <c r="AH371" s="358"/>
      <c r="AI371" s="358"/>
      <c r="AJ371" s="358"/>
      <c r="AK371" s="358"/>
      <c r="AL371" s="358"/>
      <c r="AM371" s="358"/>
    </row>
    <row r="372" ht="14.25" customHeight="1">
      <c r="G372" s="358"/>
      <c r="H372" s="358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  <c r="AA372" s="358"/>
      <c r="AB372" s="358"/>
      <c r="AC372" s="358"/>
      <c r="AD372" s="358"/>
      <c r="AE372" s="358"/>
      <c r="AF372" s="358"/>
      <c r="AG372" s="358"/>
      <c r="AH372" s="358"/>
      <c r="AI372" s="358"/>
      <c r="AJ372" s="358"/>
      <c r="AK372" s="358"/>
      <c r="AL372" s="358"/>
      <c r="AM372" s="358"/>
    </row>
    <row r="373" ht="14.25" customHeight="1">
      <c r="G373" s="358"/>
      <c r="H373" s="358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  <c r="AA373" s="358"/>
      <c r="AB373" s="358"/>
      <c r="AC373" s="358"/>
      <c r="AD373" s="358"/>
      <c r="AE373" s="358"/>
      <c r="AF373" s="358"/>
      <c r="AG373" s="358"/>
      <c r="AH373" s="358"/>
      <c r="AI373" s="358"/>
      <c r="AJ373" s="358"/>
      <c r="AK373" s="358"/>
      <c r="AL373" s="358"/>
      <c r="AM373" s="358"/>
    </row>
    <row r="374" ht="14.25" customHeight="1">
      <c r="G374" s="358"/>
      <c r="H374" s="358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  <c r="AA374" s="358"/>
      <c r="AB374" s="358"/>
      <c r="AC374" s="358"/>
      <c r="AD374" s="358"/>
      <c r="AE374" s="358"/>
      <c r="AF374" s="358"/>
      <c r="AG374" s="358"/>
      <c r="AH374" s="358"/>
      <c r="AI374" s="358"/>
      <c r="AJ374" s="358"/>
      <c r="AK374" s="358"/>
      <c r="AL374" s="358"/>
      <c r="AM374" s="358"/>
    </row>
    <row r="375" ht="14.25" customHeight="1">
      <c r="G375" s="358"/>
      <c r="H375" s="358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  <c r="AA375" s="358"/>
      <c r="AB375" s="358"/>
      <c r="AC375" s="358"/>
      <c r="AD375" s="358"/>
      <c r="AE375" s="358"/>
      <c r="AF375" s="358"/>
      <c r="AG375" s="358"/>
      <c r="AH375" s="358"/>
      <c r="AI375" s="358"/>
      <c r="AJ375" s="358"/>
      <c r="AK375" s="358"/>
      <c r="AL375" s="358"/>
      <c r="AM375" s="358"/>
    </row>
    <row r="376" ht="14.25" customHeight="1">
      <c r="G376" s="358"/>
      <c r="H376" s="358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  <c r="AA376" s="358"/>
      <c r="AB376" s="358"/>
      <c r="AC376" s="358"/>
      <c r="AD376" s="358"/>
      <c r="AE376" s="358"/>
      <c r="AF376" s="358"/>
      <c r="AG376" s="358"/>
      <c r="AH376" s="358"/>
      <c r="AI376" s="358"/>
      <c r="AJ376" s="358"/>
      <c r="AK376" s="358"/>
      <c r="AL376" s="358"/>
      <c r="AM376" s="358"/>
    </row>
    <row r="377" ht="14.25" customHeight="1">
      <c r="G377" s="358"/>
      <c r="H377" s="358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  <c r="AA377" s="358"/>
      <c r="AB377" s="358"/>
      <c r="AC377" s="358"/>
      <c r="AD377" s="358"/>
      <c r="AE377" s="358"/>
      <c r="AF377" s="358"/>
      <c r="AG377" s="358"/>
      <c r="AH377" s="358"/>
      <c r="AI377" s="358"/>
      <c r="AJ377" s="358"/>
      <c r="AK377" s="358"/>
      <c r="AL377" s="358"/>
      <c r="AM377" s="358"/>
    </row>
    <row r="378" ht="14.25" customHeight="1"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  <c r="AA378" s="358"/>
      <c r="AB378" s="358"/>
      <c r="AC378" s="358"/>
      <c r="AD378" s="358"/>
      <c r="AE378" s="358"/>
      <c r="AF378" s="358"/>
      <c r="AG378" s="358"/>
      <c r="AH378" s="358"/>
      <c r="AI378" s="358"/>
      <c r="AJ378" s="358"/>
      <c r="AK378" s="358"/>
      <c r="AL378" s="358"/>
      <c r="AM378" s="358"/>
    </row>
    <row r="379" ht="14.25" customHeight="1"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  <c r="AA379" s="358"/>
      <c r="AB379" s="358"/>
      <c r="AC379" s="358"/>
      <c r="AD379" s="358"/>
      <c r="AE379" s="358"/>
      <c r="AF379" s="358"/>
      <c r="AG379" s="358"/>
      <c r="AH379" s="358"/>
      <c r="AI379" s="358"/>
      <c r="AJ379" s="358"/>
      <c r="AK379" s="358"/>
      <c r="AL379" s="358"/>
      <c r="AM379" s="358"/>
    </row>
    <row r="380" ht="14.25" customHeight="1">
      <c r="G380" s="358"/>
      <c r="H380" s="358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  <c r="AA380" s="358"/>
      <c r="AB380" s="358"/>
      <c r="AC380" s="358"/>
      <c r="AD380" s="358"/>
      <c r="AE380" s="358"/>
      <c r="AF380" s="358"/>
      <c r="AG380" s="358"/>
      <c r="AH380" s="358"/>
      <c r="AI380" s="358"/>
      <c r="AJ380" s="358"/>
      <c r="AK380" s="358"/>
      <c r="AL380" s="358"/>
      <c r="AM380" s="358"/>
    </row>
    <row r="381" ht="14.25" customHeight="1">
      <c r="G381" s="358"/>
      <c r="H381" s="358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  <c r="AA381" s="358"/>
      <c r="AB381" s="358"/>
      <c r="AC381" s="358"/>
      <c r="AD381" s="358"/>
      <c r="AE381" s="358"/>
      <c r="AF381" s="358"/>
      <c r="AG381" s="358"/>
      <c r="AH381" s="358"/>
      <c r="AI381" s="358"/>
      <c r="AJ381" s="358"/>
      <c r="AK381" s="358"/>
      <c r="AL381" s="358"/>
      <c r="AM381" s="358"/>
    </row>
    <row r="382" ht="14.25" customHeight="1">
      <c r="G382" s="358"/>
      <c r="H382" s="358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  <c r="AA382" s="358"/>
      <c r="AB382" s="358"/>
      <c r="AC382" s="358"/>
      <c r="AD382" s="358"/>
      <c r="AE382" s="358"/>
      <c r="AF382" s="358"/>
      <c r="AG382" s="358"/>
      <c r="AH382" s="358"/>
      <c r="AI382" s="358"/>
      <c r="AJ382" s="358"/>
      <c r="AK382" s="358"/>
      <c r="AL382" s="358"/>
      <c r="AM382" s="358"/>
    </row>
    <row r="383" ht="14.25" customHeight="1">
      <c r="G383" s="358"/>
      <c r="H383" s="358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  <c r="AA383" s="358"/>
      <c r="AB383" s="358"/>
      <c r="AC383" s="358"/>
      <c r="AD383" s="358"/>
      <c r="AE383" s="358"/>
      <c r="AF383" s="358"/>
      <c r="AG383" s="358"/>
      <c r="AH383" s="358"/>
      <c r="AI383" s="358"/>
      <c r="AJ383" s="358"/>
      <c r="AK383" s="358"/>
      <c r="AL383" s="358"/>
      <c r="AM383" s="358"/>
    </row>
    <row r="384" ht="14.25" customHeight="1">
      <c r="G384" s="358"/>
      <c r="H384" s="358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  <c r="AA384" s="358"/>
      <c r="AB384" s="358"/>
      <c r="AC384" s="358"/>
      <c r="AD384" s="358"/>
      <c r="AE384" s="358"/>
      <c r="AF384" s="358"/>
      <c r="AG384" s="358"/>
      <c r="AH384" s="358"/>
      <c r="AI384" s="358"/>
      <c r="AJ384" s="358"/>
      <c r="AK384" s="358"/>
      <c r="AL384" s="358"/>
      <c r="AM384" s="358"/>
    </row>
    <row r="385" ht="14.25" customHeight="1">
      <c r="G385" s="358"/>
      <c r="H385" s="358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  <c r="AA385" s="358"/>
      <c r="AB385" s="358"/>
      <c r="AC385" s="358"/>
      <c r="AD385" s="358"/>
      <c r="AE385" s="358"/>
      <c r="AF385" s="358"/>
      <c r="AG385" s="358"/>
      <c r="AH385" s="358"/>
      <c r="AI385" s="358"/>
      <c r="AJ385" s="358"/>
      <c r="AK385" s="358"/>
      <c r="AL385" s="358"/>
      <c r="AM385" s="358"/>
    </row>
    <row r="386" ht="14.25" customHeight="1">
      <c r="G386" s="358"/>
      <c r="H386" s="358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  <c r="AA386" s="358"/>
      <c r="AB386" s="358"/>
      <c r="AC386" s="358"/>
      <c r="AD386" s="358"/>
      <c r="AE386" s="358"/>
      <c r="AF386" s="358"/>
      <c r="AG386" s="358"/>
      <c r="AH386" s="358"/>
      <c r="AI386" s="358"/>
      <c r="AJ386" s="358"/>
      <c r="AK386" s="358"/>
      <c r="AL386" s="358"/>
      <c r="AM386" s="358"/>
    </row>
    <row r="387" ht="14.25" customHeight="1">
      <c r="G387" s="358"/>
      <c r="H387" s="358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  <c r="AA387" s="358"/>
      <c r="AB387" s="358"/>
      <c r="AC387" s="358"/>
      <c r="AD387" s="358"/>
      <c r="AE387" s="358"/>
      <c r="AF387" s="358"/>
      <c r="AG387" s="358"/>
      <c r="AH387" s="358"/>
      <c r="AI387" s="358"/>
      <c r="AJ387" s="358"/>
      <c r="AK387" s="358"/>
      <c r="AL387" s="358"/>
      <c r="AM387" s="358"/>
    </row>
    <row r="388" ht="14.25" customHeight="1">
      <c r="G388" s="358"/>
      <c r="H388" s="358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  <c r="AA388" s="358"/>
      <c r="AB388" s="358"/>
      <c r="AC388" s="358"/>
      <c r="AD388" s="358"/>
      <c r="AE388" s="358"/>
      <c r="AF388" s="358"/>
      <c r="AG388" s="358"/>
      <c r="AH388" s="358"/>
      <c r="AI388" s="358"/>
      <c r="AJ388" s="358"/>
      <c r="AK388" s="358"/>
      <c r="AL388" s="358"/>
      <c r="AM388" s="358"/>
    </row>
    <row r="389" ht="14.25" customHeight="1"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  <c r="AA389" s="358"/>
      <c r="AB389" s="358"/>
      <c r="AC389" s="358"/>
      <c r="AD389" s="358"/>
      <c r="AE389" s="358"/>
      <c r="AF389" s="358"/>
      <c r="AG389" s="358"/>
      <c r="AH389" s="358"/>
      <c r="AI389" s="358"/>
      <c r="AJ389" s="358"/>
      <c r="AK389" s="358"/>
      <c r="AL389" s="358"/>
      <c r="AM389" s="358"/>
    </row>
    <row r="390" ht="14.25" customHeight="1">
      <c r="G390" s="358"/>
      <c r="H390" s="358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  <c r="AA390" s="358"/>
      <c r="AB390" s="358"/>
      <c r="AC390" s="358"/>
      <c r="AD390" s="358"/>
      <c r="AE390" s="358"/>
      <c r="AF390" s="358"/>
      <c r="AG390" s="358"/>
      <c r="AH390" s="358"/>
      <c r="AI390" s="358"/>
      <c r="AJ390" s="358"/>
      <c r="AK390" s="358"/>
      <c r="AL390" s="358"/>
      <c r="AM390" s="358"/>
    </row>
    <row r="391" ht="14.25" customHeight="1">
      <c r="G391" s="358"/>
      <c r="H391" s="358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  <c r="AA391" s="358"/>
      <c r="AB391" s="358"/>
      <c r="AC391" s="358"/>
      <c r="AD391" s="358"/>
      <c r="AE391" s="358"/>
      <c r="AF391" s="358"/>
      <c r="AG391" s="358"/>
      <c r="AH391" s="358"/>
      <c r="AI391" s="358"/>
      <c r="AJ391" s="358"/>
      <c r="AK391" s="358"/>
      <c r="AL391" s="358"/>
      <c r="AM391" s="358"/>
    </row>
    <row r="392" ht="14.25" customHeight="1">
      <c r="G392" s="358"/>
      <c r="H392" s="358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  <c r="AA392" s="358"/>
      <c r="AB392" s="358"/>
      <c r="AC392" s="358"/>
      <c r="AD392" s="358"/>
      <c r="AE392" s="358"/>
      <c r="AF392" s="358"/>
      <c r="AG392" s="358"/>
      <c r="AH392" s="358"/>
      <c r="AI392" s="358"/>
      <c r="AJ392" s="358"/>
      <c r="AK392" s="358"/>
      <c r="AL392" s="358"/>
      <c r="AM392" s="358"/>
    </row>
    <row r="393" ht="14.25" customHeight="1">
      <c r="G393" s="358"/>
      <c r="H393" s="358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  <c r="AA393" s="358"/>
      <c r="AB393" s="358"/>
      <c r="AC393" s="358"/>
      <c r="AD393" s="358"/>
      <c r="AE393" s="358"/>
      <c r="AF393" s="358"/>
      <c r="AG393" s="358"/>
      <c r="AH393" s="358"/>
      <c r="AI393" s="358"/>
      <c r="AJ393" s="358"/>
      <c r="AK393" s="358"/>
      <c r="AL393" s="358"/>
      <c r="AM393" s="358"/>
    </row>
    <row r="394" ht="14.25" customHeight="1">
      <c r="G394" s="358"/>
      <c r="H394" s="358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  <c r="AA394" s="358"/>
      <c r="AB394" s="358"/>
      <c r="AC394" s="358"/>
      <c r="AD394" s="358"/>
      <c r="AE394" s="358"/>
      <c r="AF394" s="358"/>
      <c r="AG394" s="358"/>
      <c r="AH394" s="358"/>
      <c r="AI394" s="358"/>
      <c r="AJ394" s="358"/>
      <c r="AK394" s="358"/>
      <c r="AL394" s="358"/>
      <c r="AM394" s="358"/>
    </row>
    <row r="395" ht="14.25" customHeight="1">
      <c r="G395" s="358"/>
      <c r="H395" s="358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  <c r="AA395" s="358"/>
      <c r="AB395" s="358"/>
      <c r="AC395" s="358"/>
      <c r="AD395" s="358"/>
      <c r="AE395" s="358"/>
      <c r="AF395" s="358"/>
      <c r="AG395" s="358"/>
      <c r="AH395" s="358"/>
      <c r="AI395" s="358"/>
      <c r="AJ395" s="358"/>
      <c r="AK395" s="358"/>
      <c r="AL395" s="358"/>
      <c r="AM395" s="358"/>
    </row>
    <row r="396" ht="14.25" customHeight="1">
      <c r="G396" s="358"/>
      <c r="H396" s="358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  <c r="AA396" s="358"/>
      <c r="AB396" s="358"/>
      <c r="AC396" s="358"/>
      <c r="AD396" s="358"/>
      <c r="AE396" s="358"/>
      <c r="AF396" s="358"/>
      <c r="AG396" s="358"/>
      <c r="AH396" s="358"/>
      <c r="AI396" s="358"/>
      <c r="AJ396" s="358"/>
      <c r="AK396" s="358"/>
      <c r="AL396" s="358"/>
      <c r="AM396" s="358"/>
    </row>
    <row r="397" ht="14.25" customHeight="1"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</row>
    <row r="398" ht="14.25" customHeight="1">
      <c r="G398" s="358"/>
      <c r="H398" s="358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  <c r="AA398" s="358"/>
      <c r="AB398" s="358"/>
      <c r="AC398" s="358"/>
      <c r="AD398" s="358"/>
      <c r="AE398" s="358"/>
      <c r="AF398" s="358"/>
      <c r="AG398" s="358"/>
      <c r="AH398" s="358"/>
      <c r="AI398" s="358"/>
      <c r="AJ398" s="358"/>
      <c r="AK398" s="358"/>
      <c r="AL398" s="358"/>
      <c r="AM398" s="358"/>
    </row>
    <row r="399" ht="14.25" customHeight="1">
      <c r="G399" s="358"/>
      <c r="H399" s="358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  <c r="AA399" s="358"/>
      <c r="AB399" s="358"/>
      <c r="AC399" s="358"/>
      <c r="AD399" s="358"/>
      <c r="AE399" s="358"/>
      <c r="AF399" s="358"/>
      <c r="AG399" s="358"/>
      <c r="AH399" s="358"/>
      <c r="AI399" s="358"/>
      <c r="AJ399" s="358"/>
      <c r="AK399" s="358"/>
      <c r="AL399" s="358"/>
      <c r="AM399" s="358"/>
    </row>
    <row r="400" ht="14.25" customHeight="1">
      <c r="G400" s="358"/>
      <c r="H400" s="358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  <c r="AA400" s="358"/>
      <c r="AB400" s="358"/>
      <c r="AC400" s="358"/>
      <c r="AD400" s="358"/>
      <c r="AE400" s="358"/>
      <c r="AF400" s="358"/>
      <c r="AG400" s="358"/>
      <c r="AH400" s="358"/>
      <c r="AI400" s="358"/>
      <c r="AJ400" s="358"/>
      <c r="AK400" s="358"/>
      <c r="AL400" s="358"/>
      <c r="AM400" s="358"/>
    </row>
    <row r="401" ht="14.25" customHeight="1">
      <c r="G401" s="358"/>
      <c r="H401" s="358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  <c r="AA401" s="358"/>
      <c r="AB401" s="358"/>
      <c r="AC401" s="358"/>
      <c r="AD401" s="358"/>
      <c r="AE401" s="358"/>
      <c r="AF401" s="358"/>
      <c r="AG401" s="358"/>
      <c r="AH401" s="358"/>
      <c r="AI401" s="358"/>
      <c r="AJ401" s="358"/>
      <c r="AK401" s="358"/>
      <c r="AL401" s="358"/>
      <c r="AM401" s="358"/>
    </row>
    <row r="402" ht="14.25" customHeight="1">
      <c r="G402" s="358"/>
      <c r="H402" s="358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  <c r="AA402" s="358"/>
      <c r="AB402" s="358"/>
      <c r="AC402" s="358"/>
      <c r="AD402" s="358"/>
      <c r="AE402" s="358"/>
      <c r="AF402" s="358"/>
      <c r="AG402" s="358"/>
      <c r="AH402" s="358"/>
      <c r="AI402" s="358"/>
      <c r="AJ402" s="358"/>
      <c r="AK402" s="358"/>
      <c r="AL402" s="358"/>
      <c r="AM402" s="358"/>
    </row>
    <row r="403" ht="14.25" customHeight="1"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  <c r="AA403" s="358"/>
      <c r="AB403" s="358"/>
      <c r="AC403" s="358"/>
      <c r="AD403" s="358"/>
      <c r="AE403" s="358"/>
      <c r="AF403" s="358"/>
      <c r="AG403" s="358"/>
      <c r="AH403" s="358"/>
      <c r="AI403" s="358"/>
      <c r="AJ403" s="358"/>
      <c r="AK403" s="358"/>
      <c r="AL403" s="358"/>
      <c r="AM403" s="358"/>
    </row>
    <row r="404" ht="14.25" customHeight="1">
      <c r="G404" s="358"/>
      <c r="H404" s="358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  <c r="AA404" s="358"/>
      <c r="AB404" s="358"/>
      <c r="AC404" s="358"/>
      <c r="AD404" s="358"/>
      <c r="AE404" s="358"/>
      <c r="AF404" s="358"/>
      <c r="AG404" s="358"/>
      <c r="AH404" s="358"/>
      <c r="AI404" s="358"/>
      <c r="AJ404" s="358"/>
      <c r="AK404" s="358"/>
      <c r="AL404" s="358"/>
      <c r="AM404" s="358"/>
    </row>
    <row r="405" ht="14.25" customHeight="1">
      <c r="G405" s="358"/>
      <c r="H405" s="358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  <c r="AA405" s="358"/>
      <c r="AB405" s="358"/>
      <c r="AC405" s="358"/>
      <c r="AD405" s="358"/>
      <c r="AE405" s="358"/>
      <c r="AF405" s="358"/>
      <c r="AG405" s="358"/>
      <c r="AH405" s="358"/>
      <c r="AI405" s="358"/>
      <c r="AJ405" s="358"/>
      <c r="AK405" s="358"/>
      <c r="AL405" s="358"/>
      <c r="AM405" s="358"/>
    </row>
    <row r="406" ht="14.25" customHeight="1">
      <c r="G406" s="358"/>
      <c r="H406" s="358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  <c r="AA406" s="358"/>
      <c r="AB406" s="358"/>
      <c r="AC406" s="358"/>
      <c r="AD406" s="358"/>
      <c r="AE406" s="358"/>
      <c r="AF406" s="358"/>
      <c r="AG406" s="358"/>
      <c r="AH406" s="358"/>
      <c r="AI406" s="358"/>
      <c r="AJ406" s="358"/>
      <c r="AK406" s="358"/>
      <c r="AL406" s="358"/>
      <c r="AM406" s="358"/>
    </row>
    <row r="407" ht="14.25" customHeight="1">
      <c r="G407" s="358"/>
      <c r="H407" s="358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  <c r="AA407" s="358"/>
      <c r="AB407" s="358"/>
      <c r="AC407" s="358"/>
      <c r="AD407" s="358"/>
      <c r="AE407" s="358"/>
      <c r="AF407" s="358"/>
      <c r="AG407" s="358"/>
      <c r="AH407" s="358"/>
      <c r="AI407" s="358"/>
      <c r="AJ407" s="358"/>
      <c r="AK407" s="358"/>
      <c r="AL407" s="358"/>
      <c r="AM407" s="358"/>
    </row>
    <row r="408" ht="14.25" customHeight="1">
      <c r="G408" s="358"/>
      <c r="H408" s="358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  <c r="AA408" s="358"/>
      <c r="AB408" s="358"/>
      <c r="AC408" s="358"/>
      <c r="AD408" s="358"/>
      <c r="AE408" s="358"/>
      <c r="AF408" s="358"/>
      <c r="AG408" s="358"/>
      <c r="AH408" s="358"/>
      <c r="AI408" s="358"/>
      <c r="AJ408" s="358"/>
      <c r="AK408" s="358"/>
      <c r="AL408" s="358"/>
      <c r="AM408" s="358"/>
    </row>
    <row r="409" ht="14.25" customHeight="1"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  <c r="AA409" s="358"/>
      <c r="AB409" s="358"/>
      <c r="AC409" s="358"/>
      <c r="AD409" s="358"/>
      <c r="AE409" s="358"/>
      <c r="AF409" s="358"/>
      <c r="AG409" s="358"/>
      <c r="AH409" s="358"/>
      <c r="AI409" s="358"/>
      <c r="AJ409" s="358"/>
      <c r="AK409" s="358"/>
      <c r="AL409" s="358"/>
      <c r="AM409" s="358"/>
    </row>
    <row r="410" ht="14.25" customHeight="1">
      <c r="G410" s="358"/>
      <c r="H410" s="358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  <c r="AA410" s="358"/>
      <c r="AB410" s="358"/>
      <c r="AC410" s="358"/>
      <c r="AD410" s="358"/>
      <c r="AE410" s="358"/>
      <c r="AF410" s="358"/>
      <c r="AG410" s="358"/>
      <c r="AH410" s="358"/>
      <c r="AI410" s="358"/>
      <c r="AJ410" s="358"/>
      <c r="AK410" s="358"/>
      <c r="AL410" s="358"/>
      <c r="AM410" s="358"/>
    </row>
    <row r="411" ht="14.25" customHeight="1">
      <c r="G411" s="358"/>
      <c r="H411" s="358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  <c r="AA411" s="358"/>
      <c r="AB411" s="358"/>
      <c r="AC411" s="358"/>
      <c r="AD411" s="358"/>
      <c r="AE411" s="358"/>
      <c r="AF411" s="358"/>
      <c r="AG411" s="358"/>
      <c r="AH411" s="358"/>
      <c r="AI411" s="358"/>
      <c r="AJ411" s="358"/>
      <c r="AK411" s="358"/>
      <c r="AL411" s="358"/>
      <c r="AM411" s="358"/>
    </row>
    <row r="412" ht="14.25" customHeight="1">
      <c r="G412" s="358"/>
      <c r="H412" s="358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  <c r="AA412" s="358"/>
      <c r="AB412" s="358"/>
      <c r="AC412" s="358"/>
      <c r="AD412" s="358"/>
      <c r="AE412" s="358"/>
      <c r="AF412" s="358"/>
      <c r="AG412" s="358"/>
      <c r="AH412" s="358"/>
      <c r="AI412" s="358"/>
      <c r="AJ412" s="358"/>
      <c r="AK412" s="358"/>
      <c r="AL412" s="358"/>
      <c r="AM412" s="358"/>
    </row>
    <row r="413" ht="14.25" customHeight="1">
      <c r="G413" s="358"/>
      <c r="H413" s="358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  <c r="AA413" s="358"/>
      <c r="AB413" s="358"/>
      <c r="AC413" s="358"/>
      <c r="AD413" s="358"/>
      <c r="AE413" s="358"/>
      <c r="AF413" s="358"/>
      <c r="AG413" s="358"/>
      <c r="AH413" s="358"/>
      <c r="AI413" s="358"/>
      <c r="AJ413" s="358"/>
      <c r="AK413" s="358"/>
      <c r="AL413" s="358"/>
      <c r="AM413" s="358"/>
    </row>
    <row r="414" ht="14.25" customHeight="1"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  <c r="AA414" s="358"/>
      <c r="AB414" s="358"/>
      <c r="AC414" s="358"/>
      <c r="AD414" s="358"/>
      <c r="AE414" s="358"/>
      <c r="AF414" s="358"/>
      <c r="AG414" s="358"/>
      <c r="AH414" s="358"/>
      <c r="AI414" s="358"/>
      <c r="AJ414" s="358"/>
      <c r="AK414" s="358"/>
      <c r="AL414" s="358"/>
      <c r="AM414" s="358"/>
    </row>
    <row r="415" ht="14.25" customHeight="1">
      <c r="G415" s="358"/>
      <c r="H415" s="358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  <c r="AA415" s="358"/>
      <c r="AB415" s="358"/>
      <c r="AC415" s="358"/>
      <c r="AD415" s="358"/>
      <c r="AE415" s="358"/>
      <c r="AF415" s="358"/>
      <c r="AG415" s="358"/>
      <c r="AH415" s="358"/>
      <c r="AI415" s="358"/>
      <c r="AJ415" s="358"/>
      <c r="AK415" s="358"/>
      <c r="AL415" s="358"/>
      <c r="AM415" s="358"/>
    </row>
    <row r="416" ht="14.25" customHeight="1">
      <c r="G416" s="358"/>
      <c r="H416" s="358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  <c r="AA416" s="358"/>
      <c r="AB416" s="358"/>
      <c r="AC416" s="358"/>
      <c r="AD416" s="358"/>
      <c r="AE416" s="358"/>
      <c r="AF416" s="358"/>
      <c r="AG416" s="358"/>
      <c r="AH416" s="358"/>
      <c r="AI416" s="358"/>
      <c r="AJ416" s="358"/>
      <c r="AK416" s="358"/>
      <c r="AL416" s="358"/>
      <c r="AM416" s="358"/>
    </row>
    <row r="417" ht="14.25" customHeight="1">
      <c r="G417" s="358"/>
      <c r="H417" s="358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  <c r="AA417" s="358"/>
      <c r="AB417" s="358"/>
      <c r="AC417" s="358"/>
      <c r="AD417" s="358"/>
      <c r="AE417" s="358"/>
      <c r="AF417" s="358"/>
      <c r="AG417" s="358"/>
      <c r="AH417" s="358"/>
      <c r="AI417" s="358"/>
      <c r="AJ417" s="358"/>
      <c r="AK417" s="358"/>
      <c r="AL417" s="358"/>
      <c r="AM417" s="358"/>
    </row>
    <row r="418" ht="14.25" customHeight="1">
      <c r="G418" s="358"/>
      <c r="H418" s="358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  <c r="AA418" s="358"/>
      <c r="AB418" s="358"/>
      <c r="AC418" s="358"/>
      <c r="AD418" s="358"/>
      <c r="AE418" s="358"/>
      <c r="AF418" s="358"/>
      <c r="AG418" s="358"/>
      <c r="AH418" s="358"/>
      <c r="AI418" s="358"/>
      <c r="AJ418" s="358"/>
      <c r="AK418" s="358"/>
      <c r="AL418" s="358"/>
      <c r="AM418" s="358"/>
    </row>
    <row r="419" ht="14.25" customHeight="1">
      <c r="G419" s="358"/>
      <c r="H419" s="358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  <c r="AA419" s="358"/>
      <c r="AB419" s="358"/>
      <c r="AC419" s="358"/>
      <c r="AD419" s="358"/>
      <c r="AE419" s="358"/>
      <c r="AF419" s="358"/>
      <c r="AG419" s="358"/>
      <c r="AH419" s="358"/>
      <c r="AI419" s="358"/>
      <c r="AJ419" s="358"/>
      <c r="AK419" s="358"/>
      <c r="AL419" s="358"/>
      <c r="AM419" s="358"/>
    </row>
    <row r="420" ht="14.25" customHeight="1">
      <c r="G420" s="358"/>
      <c r="H420" s="358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  <c r="AA420" s="358"/>
      <c r="AB420" s="358"/>
      <c r="AC420" s="358"/>
      <c r="AD420" s="358"/>
      <c r="AE420" s="358"/>
      <c r="AF420" s="358"/>
      <c r="AG420" s="358"/>
      <c r="AH420" s="358"/>
      <c r="AI420" s="358"/>
      <c r="AJ420" s="358"/>
      <c r="AK420" s="358"/>
      <c r="AL420" s="358"/>
      <c r="AM420" s="358"/>
    </row>
    <row r="421" ht="14.25" customHeight="1">
      <c r="G421" s="358"/>
      <c r="H421" s="358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  <c r="AA421" s="358"/>
      <c r="AB421" s="358"/>
      <c r="AC421" s="358"/>
      <c r="AD421" s="358"/>
      <c r="AE421" s="358"/>
      <c r="AF421" s="358"/>
      <c r="AG421" s="358"/>
      <c r="AH421" s="358"/>
      <c r="AI421" s="358"/>
      <c r="AJ421" s="358"/>
      <c r="AK421" s="358"/>
      <c r="AL421" s="358"/>
      <c r="AM421" s="358"/>
    </row>
    <row r="422" ht="14.25" customHeight="1">
      <c r="G422" s="358"/>
      <c r="H422" s="358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  <c r="AA422" s="358"/>
      <c r="AB422" s="358"/>
      <c r="AC422" s="358"/>
      <c r="AD422" s="358"/>
      <c r="AE422" s="358"/>
      <c r="AF422" s="358"/>
      <c r="AG422" s="358"/>
      <c r="AH422" s="358"/>
      <c r="AI422" s="358"/>
      <c r="AJ422" s="358"/>
      <c r="AK422" s="358"/>
      <c r="AL422" s="358"/>
      <c r="AM422" s="358"/>
    </row>
    <row r="423" ht="14.25" customHeight="1">
      <c r="G423" s="358"/>
      <c r="H423" s="358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  <c r="AA423" s="358"/>
      <c r="AB423" s="358"/>
      <c r="AC423" s="358"/>
      <c r="AD423" s="358"/>
      <c r="AE423" s="358"/>
      <c r="AF423" s="358"/>
      <c r="AG423" s="358"/>
      <c r="AH423" s="358"/>
      <c r="AI423" s="358"/>
      <c r="AJ423" s="358"/>
      <c r="AK423" s="358"/>
      <c r="AL423" s="358"/>
      <c r="AM423" s="358"/>
    </row>
    <row r="424" ht="14.25" customHeight="1">
      <c r="G424" s="358"/>
      <c r="H424" s="358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  <c r="AA424" s="358"/>
      <c r="AB424" s="358"/>
      <c r="AC424" s="358"/>
      <c r="AD424" s="358"/>
      <c r="AE424" s="358"/>
      <c r="AF424" s="358"/>
      <c r="AG424" s="358"/>
      <c r="AH424" s="358"/>
      <c r="AI424" s="358"/>
      <c r="AJ424" s="358"/>
      <c r="AK424" s="358"/>
      <c r="AL424" s="358"/>
      <c r="AM424" s="358"/>
    </row>
    <row r="425" ht="14.25" customHeight="1">
      <c r="G425" s="358"/>
      <c r="H425" s="358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  <c r="AA425" s="358"/>
      <c r="AB425" s="358"/>
      <c r="AC425" s="358"/>
      <c r="AD425" s="358"/>
      <c r="AE425" s="358"/>
      <c r="AF425" s="358"/>
      <c r="AG425" s="358"/>
      <c r="AH425" s="358"/>
      <c r="AI425" s="358"/>
      <c r="AJ425" s="358"/>
      <c r="AK425" s="358"/>
      <c r="AL425" s="358"/>
      <c r="AM425" s="358"/>
    </row>
    <row r="426" ht="14.25" customHeight="1">
      <c r="G426" s="358"/>
      <c r="H426" s="358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  <c r="AA426" s="358"/>
      <c r="AB426" s="358"/>
      <c r="AC426" s="358"/>
      <c r="AD426" s="358"/>
      <c r="AE426" s="358"/>
      <c r="AF426" s="358"/>
      <c r="AG426" s="358"/>
      <c r="AH426" s="358"/>
      <c r="AI426" s="358"/>
      <c r="AJ426" s="358"/>
      <c r="AK426" s="358"/>
      <c r="AL426" s="358"/>
      <c r="AM426" s="358"/>
    </row>
    <row r="427" ht="14.25" customHeight="1">
      <c r="G427" s="358"/>
      <c r="H427" s="358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  <c r="AA427" s="358"/>
      <c r="AB427" s="358"/>
      <c r="AC427" s="358"/>
      <c r="AD427" s="358"/>
      <c r="AE427" s="358"/>
      <c r="AF427" s="358"/>
      <c r="AG427" s="358"/>
      <c r="AH427" s="358"/>
      <c r="AI427" s="358"/>
      <c r="AJ427" s="358"/>
      <c r="AK427" s="358"/>
      <c r="AL427" s="358"/>
      <c r="AM427" s="358"/>
    </row>
    <row r="428" ht="14.25" customHeight="1">
      <c r="G428" s="358"/>
      <c r="H428" s="358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  <c r="AA428" s="358"/>
      <c r="AB428" s="358"/>
      <c r="AC428" s="358"/>
      <c r="AD428" s="358"/>
      <c r="AE428" s="358"/>
      <c r="AF428" s="358"/>
      <c r="AG428" s="358"/>
      <c r="AH428" s="358"/>
      <c r="AI428" s="358"/>
      <c r="AJ428" s="358"/>
      <c r="AK428" s="358"/>
      <c r="AL428" s="358"/>
      <c r="AM428" s="358"/>
    </row>
    <row r="429" ht="14.25" customHeight="1">
      <c r="G429" s="358"/>
      <c r="H429" s="358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  <c r="AA429" s="358"/>
      <c r="AB429" s="358"/>
      <c r="AC429" s="358"/>
      <c r="AD429" s="358"/>
      <c r="AE429" s="358"/>
      <c r="AF429" s="358"/>
      <c r="AG429" s="358"/>
      <c r="AH429" s="358"/>
      <c r="AI429" s="358"/>
      <c r="AJ429" s="358"/>
      <c r="AK429" s="358"/>
      <c r="AL429" s="358"/>
      <c r="AM429" s="358"/>
    </row>
    <row r="430" ht="14.25" customHeight="1">
      <c r="G430" s="358"/>
      <c r="H430" s="358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  <c r="AA430" s="358"/>
      <c r="AB430" s="358"/>
      <c r="AC430" s="358"/>
      <c r="AD430" s="358"/>
      <c r="AE430" s="358"/>
      <c r="AF430" s="358"/>
      <c r="AG430" s="358"/>
      <c r="AH430" s="358"/>
      <c r="AI430" s="358"/>
      <c r="AJ430" s="358"/>
      <c r="AK430" s="358"/>
      <c r="AL430" s="358"/>
      <c r="AM430" s="358"/>
    </row>
    <row r="431" ht="14.25" customHeight="1">
      <c r="G431" s="358"/>
      <c r="H431" s="358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  <c r="AA431" s="358"/>
      <c r="AB431" s="358"/>
      <c r="AC431" s="358"/>
      <c r="AD431" s="358"/>
      <c r="AE431" s="358"/>
      <c r="AF431" s="358"/>
      <c r="AG431" s="358"/>
      <c r="AH431" s="358"/>
      <c r="AI431" s="358"/>
      <c r="AJ431" s="358"/>
      <c r="AK431" s="358"/>
      <c r="AL431" s="358"/>
      <c r="AM431" s="358"/>
    </row>
    <row r="432" ht="14.25" customHeight="1">
      <c r="G432" s="358"/>
      <c r="H432" s="358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  <c r="AA432" s="358"/>
      <c r="AB432" s="358"/>
      <c r="AC432" s="358"/>
      <c r="AD432" s="358"/>
      <c r="AE432" s="358"/>
      <c r="AF432" s="358"/>
      <c r="AG432" s="358"/>
      <c r="AH432" s="358"/>
      <c r="AI432" s="358"/>
      <c r="AJ432" s="358"/>
      <c r="AK432" s="358"/>
      <c r="AL432" s="358"/>
      <c r="AM432" s="358"/>
    </row>
    <row r="433" ht="14.25" customHeight="1">
      <c r="G433" s="358"/>
      <c r="H433" s="358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  <c r="AA433" s="358"/>
      <c r="AB433" s="358"/>
      <c r="AC433" s="358"/>
      <c r="AD433" s="358"/>
      <c r="AE433" s="358"/>
      <c r="AF433" s="358"/>
      <c r="AG433" s="358"/>
      <c r="AH433" s="358"/>
      <c r="AI433" s="358"/>
      <c r="AJ433" s="358"/>
      <c r="AK433" s="358"/>
      <c r="AL433" s="358"/>
      <c r="AM433" s="358"/>
    </row>
    <row r="434" ht="14.25" customHeight="1"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  <c r="AA434" s="358"/>
      <c r="AB434" s="358"/>
      <c r="AC434" s="358"/>
      <c r="AD434" s="358"/>
      <c r="AE434" s="358"/>
      <c r="AF434" s="358"/>
      <c r="AG434" s="358"/>
      <c r="AH434" s="358"/>
      <c r="AI434" s="358"/>
      <c r="AJ434" s="358"/>
      <c r="AK434" s="358"/>
      <c r="AL434" s="358"/>
      <c r="AM434" s="358"/>
    </row>
    <row r="435" ht="14.25" customHeight="1">
      <c r="G435" s="358"/>
      <c r="H435" s="358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  <c r="AA435" s="358"/>
      <c r="AB435" s="358"/>
      <c r="AC435" s="358"/>
      <c r="AD435" s="358"/>
      <c r="AE435" s="358"/>
      <c r="AF435" s="358"/>
      <c r="AG435" s="358"/>
      <c r="AH435" s="358"/>
      <c r="AI435" s="358"/>
      <c r="AJ435" s="358"/>
      <c r="AK435" s="358"/>
      <c r="AL435" s="358"/>
      <c r="AM435" s="358"/>
    </row>
    <row r="436" ht="14.25" customHeight="1">
      <c r="G436" s="358"/>
      <c r="H436" s="358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  <c r="AA436" s="358"/>
      <c r="AB436" s="358"/>
      <c r="AC436" s="358"/>
      <c r="AD436" s="358"/>
      <c r="AE436" s="358"/>
      <c r="AF436" s="358"/>
      <c r="AG436" s="358"/>
      <c r="AH436" s="358"/>
      <c r="AI436" s="358"/>
      <c r="AJ436" s="358"/>
      <c r="AK436" s="358"/>
      <c r="AL436" s="358"/>
      <c r="AM436" s="358"/>
    </row>
    <row r="437" ht="14.25" customHeight="1">
      <c r="G437" s="358"/>
      <c r="H437" s="358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  <c r="AA437" s="358"/>
      <c r="AB437" s="358"/>
      <c r="AC437" s="358"/>
      <c r="AD437" s="358"/>
      <c r="AE437" s="358"/>
      <c r="AF437" s="358"/>
      <c r="AG437" s="358"/>
      <c r="AH437" s="358"/>
      <c r="AI437" s="358"/>
      <c r="AJ437" s="358"/>
      <c r="AK437" s="358"/>
      <c r="AL437" s="358"/>
      <c r="AM437" s="358"/>
    </row>
    <row r="438" ht="14.25" customHeight="1">
      <c r="G438" s="358"/>
      <c r="H438" s="358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  <c r="AA438" s="358"/>
      <c r="AB438" s="358"/>
      <c r="AC438" s="358"/>
      <c r="AD438" s="358"/>
      <c r="AE438" s="358"/>
      <c r="AF438" s="358"/>
      <c r="AG438" s="358"/>
      <c r="AH438" s="358"/>
      <c r="AI438" s="358"/>
      <c r="AJ438" s="358"/>
      <c r="AK438" s="358"/>
      <c r="AL438" s="358"/>
      <c r="AM438" s="358"/>
    </row>
    <row r="439" ht="14.25" customHeight="1">
      <c r="G439" s="358"/>
      <c r="H439" s="358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  <c r="AA439" s="358"/>
      <c r="AB439" s="358"/>
      <c r="AC439" s="358"/>
      <c r="AD439" s="358"/>
      <c r="AE439" s="358"/>
      <c r="AF439" s="358"/>
      <c r="AG439" s="358"/>
      <c r="AH439" s="358"/>
      <c r="AI439" s="358"/>
      <c r="AJ439" s="358"/>
      <c r="AK439" s="358"/>
      <c r="AL439" s="358"/>
      <c r="AM439" s="358"/>
    </row>
    <row r="440" ht="14.25" customHeight="1">
      <c r="G440" s="358"/>
      <c r="H440" s="358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  <c r="AA440" s="358"/>
      <c r="AB440" s="358"/>
      <c r="AC440" s="358"/>
      <c r="AD440" s="358"/>
      <c r="AE440" s="358"/>
      <c r="AF440" s="358"/>
      <c r="AG440" s="358"/>
      <c r="AH440" s="358"/>
      <c r="AI440" s="358"/>
      <c r="AJ440" s="358"/>
      <c r="AK440" s="358"/>
      <c r="AL440" s="358"/>
      <c r="AM440" s="358"/>
    </row>
    <row r="441" ht="14.25" customHeight="1">
      <c r="G441" s="358"/>
      <c r="H441" s="358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  <c r="AA441" s="358"/>
      <c r="AB441" s="358"/>
      <c r="AC441" s="358"/>
      <c r="AD441" s="358"/>
      <c r="AE441" s="358"/>
      <c r="AF441" s="358"/>
      <c r="AG441" s="358"/>
      <c r="AH441" s="358"/>
      <c r="AI441" s="358"/>
      <c r="AJ441" s="358"/>
      <c r="AK441" s="358"/>
      <c r="AL441" s="358"/>
      <c r="AM441" s="358"/>
    </row>
    <row r="442" ht="14.25" customHeight="1">
      <c r="G442" s="358"/>
      <c r="H442" s="358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  <c r="AA442" s="358"/>
      <c r="AB442" s="358"/>
      <c r="AC442" s="358"/>
      <c r="AD442" s="358"/>
      <c r="AE442" s="358"/>
      <c r="AF442" s="358"/>
      <c r="AG442" s="358"/>
      <c r="AH442" s="358"/>
      <c r="AI442" s="358"/>
      <c r="AJ442" s="358"/>
      <c r="AK442" s="358"/>
      <c r="AL442" s="358"/>
      <c r="AM442" s="358"/>
    </row>
    <row r="443" ht="14.25" customHeight="1">
      <c r="G443" s="358"/>
      <c r="H443" s="358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  <c r="AA443" s="358"/>
      <c r="AB443" s="358"/>
      <c r="AC443" s="358"/>
      <c r="AD443" s="358"/>
      <c r="AE443" s="358"/>
      <c r="AF443" s="358"/>
      <c r="AG443" s="358"/>
      <c r="AH443" s="358"/>
      <c r="AI443" s="358"/>
      <c r="AJ443" s="358"/>
      <c r="AK443" s="358"/>
      <c r="AL443" s="358"/>
      <c r="AM443" s="358"/>
    </row>
    <row r="444" ht="14.25" customHeight="1">
      <c r="G444" s="358"/>
      <c r="H444" s="358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  <c r="AA444" s="358"/>
      <c r="AB444" s="358"/>
      <c r="AC444" s="358"/>
      <c r="AD444" s="358"/>
      <c r="AE444" s="358"/>
      <c r="AF444" s="358"/>
      <c r="AG444" s="358"/>
      <c r="AH444" s="358"/>
      <c r="AI444" s="358"/>
      <c r="AJ444" s="358"/>
      <c r="AK444" s="358"/>
      <c r="AL444" s="358"/>
      <c r="AM444" s="358"/>
    </row>
    <row r="445" ht="14.25" customHeight="1">
      <c r="G445" s="358"/>
      <c r="H445" s="358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  <c r="AA445" s="358"/>
      <c r="AB445" s="358"/>
      <c r="AC445" s="358"/>
      <c r="AD445" s="358"/>
      <c r="AE445" s="358"/>
      <c r="AF445" s="358"/>
      <c r="AG445" s="358"/>
      <c r="AH445" s="358"/>
      <c r="AI445" s="358"/>
      <c r="AJ445" s="358"/>
      <c r="AK445" s="358"/>
      <c r="AL445" s="358"/>
      <c r="AM445" s="358"/>
    </row>
    <row r="446" ht="14.25" customHeight="1">
      <c r="G446" s="358"/>
      <c r="H446" s="358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  <c r="AB446" s="358"/>
      <c r="AC446" s="358"/>
      <c r="AD446" s="358"/>
      <c r="AE446" s="358"/>
      <c r="AF446" s="358"/>
      <c r="AG446" s="358"/>
      <c r="AH446" s="358"/>
      <c r="AI446" s="358"/>
      <c r="AJ446" s="358"/>
      <c r="AK446" s="358"/>
      <c r="AL446" s="358"/>
      <c r="AM446" s="358"/>
    </row>
    <row r="447" ht="14.25" customHeight="1">
      <c r="G447" s="358"/>
      <c r="H447" s="358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  <c r="AB447" s="358"/>
      <c r="AC447" s="358"/>
      <c r="AD447" s="358"/>
      <c r="AE447" s="358"/>
      <c r="AF447" s="358"/>
      <c r="AG447" s="358"/>
      <c r="AH447" s="358"/>
      <c r="AI447" s="358"/>
      <c r="AJ447" s="358"/>
      <c r="AK447" s="358"/>
      <c r="AL447" s="358"/>
      <c r="AM447" s="358"/>
    </row>
    <row r="448" ht="14.25" customHeight="1">
      <c r="G448" s="358"/>
      <c r="H448" s="358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  <c r="AA448" s="358"/>
      <c r="AB448" s="358"/>
      <c r="AC448" s="358"/>
      <c r="AD448" s="358"/>
      <c r="AE448" s="358"/>
      <c r="AF448" s="358"/>
      <c r="AG448" s="358"/>
      <c r="AH448" s="358"/>
      <c r="AI448" s="358"/>
      <c r="AJ448" s="358"/>
      <c r="AK448" s="358"/>
      <c r="AL448" s="358"/>
      <c r="AM448" s="358"/>
    </row>
    <row r="449" ht="14.25" customHeight="1">
      <c r="G449" s="358"/>
      <c r="H449" s="358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  <c r="AA449" s="358"/>
      <c r="AB449" s="358"/>
      <c r="AC449" s="358"/>
      <c r="AD449" s="358"/>
      <c r="AE449" s="358"/>
      <c r="AF449" s="358"/>
      <c r="AG449" s="358"/>
      <c r="AH449" s="358"/>
      <c r="AI449" s="358"/>
      <c r="AJ449" s="358"/>
      <c r="AK449" s="358"/>
      <c r="AL449" s="358"/>
      <c r="AM449" s="358"/>
    </row>
    <row r="450" ht="14.25" customHeight="1">
      <c r="G450" s="358"/>
      <c r="H450" s="358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  <c r="AA450" s="358"/>
      <c r="AB450" s="358"/>
      <c r="AC450" s="358"/>
      <c r="AD450" s="358"/>
      <c r="AE450" s="358"/>
      <c r="AF450" s="358"/>
      <c r="AG450" s="358"/>
      <c r="AH450" s="358"/>
      <c r="AI450" s="358"/>
      <c r="AJ450" s="358"/>
      <c r="AK450" s="358"/>
      <c r="AL450" s="358"/>
      <c r="AM450" s="358"/>
    </row>
    <row r="451" ht="14.25" customHeight="1">
      <c r="G451" s="358"/>
      <c r="H451" s="358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  <c r="AA451" s="358"/>
      <c r="AB451" s="358"/>
      <c r="AC451" s="358"/>
      <c r="AD451" s="358"/>
      <c r="AE451" s="358"/>
      <c r="AF451" s="358"/>
      <c r="AG451" s="358"/>
      <c r="AH451" s="358"/>
      <c r="AI451" s="358"/>
      <c r="AJ451" s="358"/>
      <c r="AK451" s="358"/>
      <c r="AL451" s="358"/>
      <c r="AM451" s="358"/>
    </row>
    <row r="452" ht="14.25" customHeight="1">
      <c r="G452" s="358"/>
      <c r="H452" s="358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  <c r="AA452" s="358"/>
      <c r="AB452" s="358"/>
      <c r="AC452" s="358"/>
      <c r="AD452" s="358"/>
      <c r="AE452" s="358"/>
      <c r="AF452" s="358"/>
      <c r="AG452" s="358"/>
      <c r="AH452" s="358"/>
      <c r="AI452" s="358"/>
      <c r="AJ452" s="358"/>
      <c r="AK452" s="358"/>
      <c r="AL452" s="358"/>
      <c r="AM452" s="358"/>
    </row>
    <row r="453" ht="14.25" customHeight="1">
      <c r="G453" s="358"/>
      <c r="H453" s="358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  <c r="AA453" s="358"/>
      <c r="AB453" s="358"/>
      <c r="AC453" s="358"/>
      <c r="AD453" s="358"/>
      <c r="AE453" s="358"/>
      <c r="AF453" s="358"/>
      <c r="AG453" s="358"/>
      <c r="AH453" s="358"/>
      <c r="AI453" s="358"/>
      <c r="AJ453" s="358"/>
      <c r="AK453" s="358"/>
      <c r="AL453" s="358"/>
      <c r="AM453" s="358"/>
    </row>
    <row r="454" ht="14.25" customHeight="1">
      <c r="G454" s="358"/>
      <c r="H454" s="358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  <c r="AA454" s="358"/>
      <c r="AB454" s="358"/>
      <c r="AC454" s="358"/>
      <c r="AD454" s="358"/>
      <c r="AE454" s="358"/>
      <c r="AF454" s="358"/>
      <c r="AG454" s="358"/>
      <c r="AH454" s="358"/>
      <c r="AI454" s="358"/>
      <c r="AJ454" s="358"/>
      <c r="AK454" s="358"/>
      <c r="AL454" s="358"/>
      <c r="AM454" s="358"/>
    </row>
    <row r="455" ht="14.25" customHeight="1"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  <c r="AA455" s="358"/>
      <c r="AB455" s="358"/>
      <c r="AC455" s="358"/>
      <c r="AD455" s="358"/>
      <c r="AE455" s="358"/>
      <c r="AF455" s="358"/>
      <c r="AG455" s="358"/>
      <c r="AH455" s="358"/>
      <c r="AI455" s="358"/>
      <c r="AJ455" s="358"/>
      <c r="AK455" s="358"/>
      <c r="AL455" s="358"/>
      <c r="AM455" s="358"/>
    </row>
    <row r="456" ht="14.25" customHeight="1">
      <c r="G456" s="358"/>
      <c r="H456" s="358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  <c r="AA456" s="358"/>
      <c r="AB456" s="358"/>
      <c r="AC456" s="358"/>
      <c r="AD456" s="358"/>
      <c r="AE456" s="358"/>
      <c r="AF456" s="358"/>
      <c r="AG456" s="358"/>
      <c r="AH456" s="358"/>
      <c r="AI456" s="358"/>
      <c r="AJ456" s="358"/>
      <c r="AK456" s="358"/>
      <c r="AL456" s="358"/>
      <c r="AM456" s="358"/>
    </row>
    <row r="457" ht="14.25" customHeight="1">
      <c r="G457" s="358"/>
      <c r="H457" s="358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  <c r="AA457" s="358"/>
      <c r="AB457" s="358"/>
      <c r="AC457" s="358"/>
      <c r="AD457" s="358"/>
      <c r="AE457" s="358"/>
      <c r="AF457" s="358"/>
      <c r="AG457" s="358"/>
      <c r="AH457" s="358"/>
      <c r="AI457" s="358"/>
      <c r="AJ457" s="358"/>
      <c r="AK457" s="358"/>
      <c r="AL457" s="358"/>
      <c r="AM457" s="358"/>
    </row>
    <row r="458" ht="14.25" customHeight="1">
      <c r="G458" s="358"/>
      <c r="H458" s="358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  <c r="AA458" s="358"/>
      <c r="AB458" s="358"/>
      <c r="AC458" s="358"/>
      <c r="AD458" s="358"/>
      <c r="AE458" s="358"/>
      <c r="AF458" s="358"/>
      <c r="AG458" s="358"/>
      <c r="AH458" s="358"/>
      <c r="AI458" s="358"/>
      <c r="AJ458" s="358"/>
      <c r="AK458" s="358"/>
      <c r="AL458" s="358"/>
      <c r="AM458" s="358"/>
    </row>
    <row r="459" ht="14.25" customHeight="1">
      <c r="G459" s="358"/>
      <c r="H459" s="358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  <c r="AA459" s="358"/>
      <c r="AB459" s="358"/>
      <c r="AC459" s="358"/>
      <c r="AD459" s="358"/>
      <c r="AE459" s="358"/>
      <c r="AF459" s="358"/>
      <c r="AG459" s="358"/>
      <c r="AH459" s="358"/>
      <c r="AI459" s="358"/>
      <c r="AJ459" s="358"/>
      <c r="AK459" s="358"/>
      <c r="AL459" s="358"/>
      <c r="AM459" s="358"/>
    </row>
    <row r="460" ht="14.25" customHeight="1">
      <c r="G460" s="358"/>
      <c r="H460" s="358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  <c r="AA460" s="358"/>
      <c r="AB460" s="358"/>
      <c r="AC460" s="358"/>
      <c r="AD460" s="358"/>
      <c r="AE460" s="358"/>
      <c r="AF460" s="358"/>
      <c r="AG460" s="358"/>
      <c r="AH460" s="358"/>
      <c r="AI460" s="358"/>
      <c r="AJ460" s="358"/>
      <c r="AK460" s="358"/>
      <c r="AL460" s="358"/>
      <c r="AM460" s="358"/>
    </row>
    <row r="461" ht="14.25" customHeight="1">
      <c r="G461" s="358"/>
      <c r="H461" s="358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  <c r="AA461" s="358"/>
      <c r="AB461" s="358"/>
      <c r="AC461" s="358"/>
      <c r="AD461" s="358"/>
      <c r="AE461" s="358"/>
      <c r="AF461" s="358"/>
      <c r="AG461" s="358"/>
      <c r="AH461" s="358"/>
      <c r="AI461" s="358"/>
      <c r="AJ461" s="358"/>
      <c r="AK461" s="358"/>
      <c r="AL461" s="358"/>
      <c r="AM461" s="358"/>
    </row>
    <row r="462" ht="14.25" customHeight="1">
      <c r="G462" s="358"/>
      <c r="H462" s="358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  <c r="AA462" s="358"/>
      <c r="AB462" s="358"/>
      <c r="AC462" s="358"/>
      <c r="AD462" s="358"/>
      <c r="AE462" s="358"/>
      <c r="AF462" s="358"/>
      <c r="AG462" s="358"/>
      <c r="AH462" s="358"/>
      <c r="AI462" s="358"/>
      <c r="AJ462" s="358"/>
      <c r="AK462" s="358"/>
      <c r="AL462" s="358"/>
      <c r="AM462" s="358"/>
    </row>
    <row r="463" ht="14.25" customHeight="1"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  <c r="AA463" s="358"/>
      <c r="AB463" s="358"/>
      <c r="AC463" s="358"/>
      <c r="AD463" s="358"/>
      <c r="AE463" s="358"/>
      <c r="AF463" s="358"/>
      <c r="AG463" s="358"/>
      <c r="AH463" s="358"/>
      <c r="AI463" s="358"/>
      <c r="AJ463" s="358"/>
      <c r="AK463" s="358"/>
      <c r="AL463" s="358"/>
      <c r="AM463" s="358"/>
    </row>
    <row r="464" ht="14.25" customHeight="1">
      <c r="G464" s="358"/>
      <c r="H464" s="358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  <c r="AA464" s="358"/>
      <c r="AB464" s="358"/>
      <c r="AC464" s="358"/>
      <c r="AD464" s="358"/>
      <c r="AE464" s="358"/>
      <c r="AF464" s="358"/>
      <c r="AG464" s="358"/>
      <c r="AH464" s="358"/>
      <c r="AI464" s="358"/>
      <c r="AJ464" s="358"/>
      <c r="AK464" s="358"/>
      <c r="AL464" s="358"/>
      <c r="AM464" s="358"/>
    </row>
    <row r="465" ht="14.25" customHeight="1">
      <c r="G465" s="358"/>
      <c r="H465" s="358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  <c r="AA465" s="358"/>
      <c r="AB465" s="358"/>
      <c r="AC465" s="358"/>
      <c r="AD465" s="358"/>
      <c r="AE465" s="358"/>
      <c r="AF465" s="358"/>
      <c r="AG465" s="358"/>
      <c r="AH465" s="358"/>
      <c r="AI465" s="358"/>
      <c r="AJ465" s="358"/>
      <c r="AK465" s="358"/>
      <c r="AL465" s="358"/>
      <c r="AM465" s="358"/>
    </row>
    <row r="466" ht="14.25" customHeight="1">
      <c r="G466" s="358"/>
      <c r="H466" s="358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  <c r="AA466" s="358"/>
      <c r="AB466" s="358"/>
      <c r="AC466" s="358"/>
      <c r="AD466" s="358"/>
      <c r="AE466" s="358"/>
      <c r="AF466" s="358"/>
      <c r="AG466" s="358"/>
      <c r="AH466" s="358"/>
      <c r="AI466" s="358"/>
      <c r="AJ466" s="358"/>
      <c r="AK466" s="358"/>
      <c r="AL466" s="358"/>
      <c r="AM466" s="358"/>
    </row>
    <row r="467" ht="14.25" customHeight="1">
      <c r="G467" s="358"/>
      <c r="H467" s="358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  <c r="AA467" s="358"/>
      <c r="AB467" s="358"/>
      <c r="AC467" s="358"/>
      <c r="AD467" s="358"/>
      <c r="AE467" s="358"/>
      <c r="AF467" s="358"/>
      <c r="AG467" s="358"/>
      <c r="AH467" s="358"/>
      <c r="AI467" s="358"/>
      <c r="AJ467" s="358"/>
      <c r="AK467" s="358"/>
      <c r="AL467" s="358"/>
      <c r="AM467" s="358"/>
    </row>
    <row r="468" ht="14.25" customHeight="1">
      <c r="G468" s="358"/>
      <c r="H468" s="358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  <c r="AA468" s="358"/>
      <c r="AB468" s="358"/>
      <c r="AC468" s="358"/>
      <c r="AD468" s="358"/>
      <c r="AE468" s="358"/>
      <c r="AF468" s="358"/>
      <c r="AG468" s="358"/>
      <c r="AH468" s="358"/>
      <c r="AI468" s="358"/>
      <c r="AJ468" s="358"/>
      <c r="AK468" s="358"/>
      <c r="AL468" s="358"/>
      <c r="AM468" s="358"/>
    </row>
    <row r="469" ht="14.25" customHeight="1">
      <c r="G469" s="358"/>
      <c r="H469" s="358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  <c r="AA469" s="358"/>
      <c r="AB469" s="358"/>
      <c r="AC469" s="358"/>
      <c r="AD469" s="358"/>
      <c r="AE469" s="358"/>
      <c r="AF469" s="358"/>
      <c r="AG469" s="358"/>
      <c r="AH469" s="358"/>
      <c r="AI469" s="358"/>
      <c r="AJ469" s="358"/>
      <c r="AK469" s="358"/>
      <c r="AL469" s="358"/>
      <c r="AM469" s="358"/>
    </row>
    <row r="470" ht="14.25" customHeight="1">
      <c r="G470" s="358"/>
      <c r="H470" s="358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  <c r="AA470" s="358"/>
      <c r="AB470" s="358"/>
      <c r="AC470" s="358"/>
      <c r="AD470" s="358"/>
      <c r="AE470" s="358"/>
      <c r="AF470" s="358"/>
      <c r="AG470" s="358"/>
      <c r="AH470" s="358"/>
      <c r="AI470" s="358"/>
      <c r="AJ470" s="358"/>
      <c r="AK470" s="358"/>
      <c r="AL470" s="358"/>
      <c r="AM470" s="358"/>
    </row>
    <row r="471" ht="14.25" customHeight="1">
      <c r="G471" s="358"/>
      <c r="H471" s="358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  <c r="AA471" s="358"/>
      <c r="AB471" s="358"/>
      <c r="AC471" s="358"/>
      <c r="AD471" s="358"/>
      <c r="AE471" s="358"/>
      <c r="AF471" s="358"/>
      <c r="AG471" s="358"/>
      <c r="AH471" s="358"/>
      <c r="AI471" s="358"/>
      <c r="AJ471" s="358"/>
      <c r="AK471" s="358"/>
      <c r="AL471" s="358"/>
      <c r="AM471" s="358"/>
    </row>
    <row r="472" ht="14.25" customHeight="1">
      <c r="G472" s="358"/>
      <c r="H472" s="358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  <c r="AA472" s="358"/>
      <c r="AB472" s="358"/>
      <c r="AC472" s="358"/>
      <c r="AD472" s="358"/>
      <c r="AE472" s="358"/>
      <c r="AF472" s="358"/>
      <c r="AG472" s="358"/>
      <c r="AH472" s="358"/>
      <c r="AI472" s="358"/>
      <c r="AJ472" s="358"/>
      <c r="AK472" s="358"/>
      <c r="AL472" s="358"/>
      <c r="AM472" s="358"/>
    </row>
    <row r="473" ht="14.25" customHeight="1">
      <c r="G473" s="358"/>
      <c r="H473" s="358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  <c r="AA473" s="358"/>
      <c r="AB473" s="358"/>
      <c r="AC473" s="358"/>
      <c r="AD473" s="358"/>
      <c r="AE473" s="358"/>
      <c r="AF473" s="358"/>
      <c r="AG473" s="358"/>
      <c r="AH473" s="358"/>
      <c r="AI473" s="358"/>
      <c r="AJ473" s="358"/>
      <c r="AK473" s="358"/>
      <c r="AL473" s="358"/>
      <c r="AM473" s="358"/>
    </row>
    <row r="474" ht="14.25" customHeight="1">
      <c r="G474" s="358"/>
      <c r="H474" s="358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  <c r="AA474" s="358"/>
      <c r="AB474" s="358"/>
      <c r="AC474" s="358"/>
      <c r="AD474" s="358"/>
      <c r="AE474" s="358"/>
      <c r="AF474" s="358"/>
      <c r="AG474" s="358"/>
      <c r="AH474" s="358"/>
      <c r="AI474" s="358"/>
      <c r="AJ474" s="358"/>
      <c r="AK474" s="358"/>
      <c r="AL474" s="358"/>
      <c r="AM474" s="358"/>
    </row>
    <row r="475" ht="14.25" customHeight="1">
      <c r="G475" s="358"/>
      <c r="H475" s="358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  <c r="AA475" s="358"/>
      <c r="AB475" s="358"/>
      <c r="AC475" s="358"/>
      <c r="AD475" s="358"/>
      <c r="AE475" s="358"/>
      <c r="AF475" s="358"/>
      <c r="AG475" s="358"/>
      <c r="AH475" s="358"/>
      <c r="AI475" s="358"/>
      <c r="AJ475" s="358"/>
      <c r="AK475" s="358"/>
      <c r="AL475" s="358"/>
      <c r="AM475" s="358"/>
    </row>
    <row r="476" ht="14.25" customHeight="1">
      <c r="G476" s="358"/>
      <c r="H476" s="358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  <c r="AA476" s="358"/>
      <c r="AB476" s="358"/>
      <c r="AC476" s="358"/>
      <c r="AD476" s="358"/>
      <c r="AE476" s="358"/>
      <c r="AF476" s="358"/>
      <c r="AG476" s="358"/>
      <c r="AH476" s="358"/>
      <c r="AI476" s="358"/>
      <c r="AJ476" s="358"/>
      <c r="AK476" s="358"/>
      <c r="AL476" s="358"/>
      <c r="AM476" s="358"/>
    </row>
    <row r="477" ht="14.25" customHeight="1">
      <c r="G477" s="358"/>
      <c r="H477" s="358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  <c r="AA477" s="358"/>
      <c r="AB477" s="358"/>
      <c r="AC477" s="358"/>
      <c r="AD477" s="358"/>
      <c r="AE477" s="358"/>
      <c r="AF477" s="358"/>
      <c r="AG477" s="358"/>
      <c r="AH477" s="358"/>
      <c r="AI477" s="358"/>
      <c r="AJ477" s="358"/>
      <c r="AK477" s="358"/>
      <c r="AL477" s="358"/>
      <c r="AM477" s="358"/>
    </row>
    <row r="478" ht="14.25" customHeight="1">
      <c r="G478" s="358"/>
      <c r="H478" s="358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  <c r="AA478" s="358"/>
      <c r="AB478" s="358"/>
      <c r="AC478" s="358"/>
      <c r="AD478" s="358"/>
      <c r="AE478" s="358"/>
      <c r="AF478" s="358"/>
      <c r="AG478" s="358"/>
      <c r="AH478" s="358"/>
      <c r="AI478" s="358"/>
      <c r="AJ478" s="358"/>
      <c r="AK478" s="358"/>
      <c r="AL478" s="358"/>
      <c r="AM478" s="358"/>
    </row>
    <row r="479" ht="14.25" customHeight="1">
      <c r="G479" s="358"/>
      <c r="H479" s="358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  <c r="AA479" s="358"/>
      <c r="AB479" s="358"/>
      <c r="AC479" s="358"/>
      <c r="AD479" s="358"/>
      <c r="AE479" s="358"/>
      <c r="AF479" s="358"/>
      <c r="AG479" s="358"/>
      <c r="AH479" s="358"/>
      <c r="AI479" s="358"/>
      <c r="AJ479" s="358"/>
      <c r="AK479" s="358"/>
      <c r="AL479" s="358"/>
      <c r="AM479" s="358"/>
    </row>
    <row r="480" ht="14.25" customHeight="1">
      <c r="G480" s="358"/>
      <c r="H480" s="358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  <c r="AA480" s="358"/>
      <c r="AB480" s="358"/>
      <c r="AC480" s="358"/>
      <c r="AD480" s="358"/>
      <c r="AE480" s="358"/>
      <c r="AF480" s="358"/>
      <c r="AG480" s="358"/>
      <c r="AH480" s="358"/>
      <c r="AI480" s="358"/>
      <c r="AJ480" s="358"/>
      <c r="AK480" s="358"/>
      <c r="AL480" s="358"/>
      <c r="AM480" s="358"/>
    </row>
    <row r="481" ht="14.25" customHeight="1">
      <c r="G481" s="358"/>
      <c r="H481" s="358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  <c r="AA481" s="358"/>
      <c r="AB481" s="358"/>
      <c r="AC481" s="358"/>
      <c r="AD481" s="358"/>
      <c r="AE481" s="358"/>
      <c r="AF481" s="358"/>
      <c r="AG481" s="358"/>
      <c r="AH481" s="358"/>
      <c r="AI481" s="358"/>
      <c r="AJ481" s="358"/>
      <c r="AK481" s="358"/>
      <c r="AL481" s="358"/>
      <c r="AM481" s="358"/>
    </row>
    <row r="482" ht="14.25" customHeight="1">
      <c r="G482" s="358"/>
      <c r="H482" s="358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  <c r="AA482" s="358"/>
      <c r="AB482" s="358"/>
      <c r="AC482" s="358"/>
      <c r="AD482" s="358"/>
      <c r="AE482" s="358"/>
      <c r="AF482" s="358"/>
      <c r="AG482" s="358"/>
      <c r="AH482" s="358"/>
      <c r="AI482" s="358"/>
      <c r="AJ482" s="358"/>
      <c r="AK482" s="358"/>
      <c r="AL482" s="358"/>
      <c r="AM482" s="358"/>
    </row>
    <row r="483" ht="14.25" customHeight="1">
      <c r="G483" s="358"/>
      <c r="H483" s="358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  <c r="AA483" s="358"/>
      <c r="AB483" s="358"/>
      <c r="AC483" s="358"/>
      <c r="AD483" s="358"/>
      <c r="AE483" s="358"/>
      <c r="AF483" s="358"/>
      <c r="AG483" s="358"/>
      <c r="AH483" s="358"/>
      <c r="AI483" s="358"/>
      <c r="AJ483" s="358"/>
      <c r="AK483" s="358"/>
      <c r="AL483" s="358"/>
      <c r="AM483" s="358"/>
    </row>
    <row r="484" ht="14.25" customHeight="1">
      <c r="G484" s="358"/>
      <c r="H484" s="358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  <c r="AA484" s="358"/>
      <c r="AB484" s="358"/>
      <c r="AC484" s="358"/>
      <c r="AD484" s="358"/>
      <c r="AE484" s="358"/>
      <c r="AF484" s="358"/>
      <c r="AG484" s="358"/>
      <c r="AH484" s="358"/>
      <c r="AI484" s="358"/>
      <c r="AJ484" s="358"/>
      <c r="AK484" s="358"/>
      <c r="AL484" s="358"/>
      <c r="AM484" s="358"/>
    </row>
    <row r="485" ht="14.25" customHeight="1">
      <c r="G485" s="358"/>
      <c r="H485" s="358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  <c r="AA485" s="358"/>
      <c r="AB485" s="358"/>
      <c r="AC485" s="358"/>
      <c r="AD485" s="358"/>
      <c r="AE485" s="358"/>
      <c r="AF485" s="358"/>
      <c r="AG485" s="358"/>
      <c r="AH485" s="358"/>
      <c r="AI485" s="358"/>
      <c r="AJ485" s="358"/>
      <c r="AK485" s="358"/>
      <c r="AL485" s="358"/>
      <c r="AM485" s="358"/>
    </row>
    <row r="486" ht="14.25" customHeight="1">
      <c r="G486" s="358"/>
      <c r="H486" s="358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  <c r="AA486" s="358"/>
      <c r="AB486" s="358"/>
      <c r="AC486" s="358"/>
      <c r="AD486" s="358"/>
      <c r="AE486" s="358"/>
      <c r="AF486" s="358"/>
      <c r="AG486" s="358"/>
      <c r="AH486" s="358"/>
      <c r="AI486" s="358"/>
      <c r="AJ486" s="358"/>
      <c r="AK486" s="358"/>
      <c r="AL486" s="358"/>
      <c r="AM486" s="358"/>
    </row>
    <row r="487" ht="14.25" customHeight="1">
      <c r="G487" s="358"/>
      <c r="H487" s="358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  <c r="AA487" s="358"/>
      <c r="AB487" s="358"/>
      <c r="AC487" s="358"/>
      <c r="AD487" s="358"/>
      <c r="AE487" s="358"/>
      <c r="AF487" s="358"/>
      <c r="AG487" s="358"/>
      <c r="AH487" s="358"/>
      <c r="AI487" s="358"/>
      <c r="AJ487" s="358"/>
      <c r="AK487" s="358"/>
      <c r="AL487" s="358"/>
      <c r="AM487" s="358"/>
    </row>
    <row r="488" ht="14.25" customHeight="1">
      <c r="G488" s="358"/>
      <c r="H488" s="358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  <c r="AA488" s="358"/>
      <c r="AB488" s="358"/>
      <c r="AC488" s="358"/>
      <c r="AD488" s="358"/>
      <c r="AE488" s="358"/>
      <c r="AF488" s="358"/>
      <c r="AG488" s="358"/>
      <c r="AH488" s="358"/>
      <c r="AI488" s="358"/>
      <c r="AJ488" s="358"/>
      <c r="AK488" s="358"/>
      <c r="AL488" s="358"/>
      <c r="AM488" s="358"/>
    </row>
    <row r="489" ht="14.25" customHeight="1">
      <c r="G489" s="358"/>
      <c r="H489" s="358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  <c r="AA489" s="358"/>
      <c r="AB489" s="358"/>
      <c r="AC489" s="358"/>
      <c r="AD489" s="358"/>
      <c r="AE489" s="358"/>
      <c r="AF489" s="358"/>
      <c r="AG489" s="358"/>
      <c r="AH489" s="358"/>
      <c r="AI489" s="358"/>
      <c r="AJ489" s="358"/>
      <c r="AK489" s="358"/>
      <c r="AL489" s="358"/>
      <c r="AM489" s="358"/>
    </row>
    <row r="490" ht="14.25" customHeight="1">
      <c r="G490" s="358"/>
      <c r="H490" s="358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  <c r="AA490" s="358"/>
      <c r="AB490" s="358"/>
      <c r="AC490" s="358"/>
      <c r="AD490" s="358"/>
      <c r="AE490" s="358"/>
      <c r="AF490" s="358"/>
      <c r="AG490" s="358"/>
      <c r="AH490" s="358"/>
      <c r="AI490" s="358"/>
      <c r="AJ490" s="358"/>
      <c r="AK490" s="358"/>
      <c r="AL490" s="358"/>
      <c r="AM490" s="358"/>
    </row>
    <row r="491" ht="14.25" customHeight="1">
      <c r="G491" s="358"/>
      <c r="H491" s="358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  <c r="AA491" s="358"/>
      <c r="AB491" s="358"/>
      <c r="AC491" s="358"/>
      <c r="AD491" s="358"/>
      <c r="AE491" s="358"/>
      <c r="AF491" s="358"/>
      <c r="AG491" s="358"/>
      <c r="AH491" s="358"/>
      <c r="AI491" s="358"/>
      <c r="AJ491" s="358"/>
      <c r="AK491" s="358"/>
      <c r="AL491" s="358"/>
      <c r="AM491" s="358"/>
    </row>
    <row r="492" ht="14.25" customHeight="1">
      <c r="G492" s="358"/>
      <c r="H492" s="358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  <c r="AA492" s="358"/>
      <c r="AB492" s="358"/>
      <c r="AC492" s="358"/>
      <c r="AD492" s="358"/>
      <c r="AE492" s="358"/>
      <c r="AF492" s="358"/>
      <c r="AG492" s="358"/>
      <c r="AH492" s="358"/>
      <c r="AI492" s="358"/>
      <c r="AJ492" s="358"/>
      <c r="AK492" s="358"/>
      <c r="AL492" s="358"/>
      <c r="AM492" s="358"/>
    </row>
    <row r="493" ht="14.25" customHeight="1">
      <c r="G493" s="358"/>
      <c r="H493" s="358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  <c r="AA493" s="358"/>
      <c r="AB493" s="358"/>
      <c r="AC493" s="358"/>
      <c r="AD493" s="358"/>
      <c r="AE493" s="358"/>
      <c r="AF493" s="358"/>
      <c r="AG493" s="358"/>
      <c r="AH493" s="358"/>
      <c r="AI493" s="358"/>
      <c r="AJ493" s="358"/>
      <c r="AK493" s="358"/>
      <c r="AL493" s="358"/>
      <c r="AM493" s="358"/>
    </row>
    <row r="494" ht="14.25" customHeight="1">
      <c r="G494" s="358"/>
      <c r="H494" s="358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  <c r="AA494" s="358"/>
      <c r="AB494" s="358"/>
      <c r="AC494" s="358"/>
      <c r="AD494" s="358"/>
      <c r="AE494" s="358"/>
      <c r="AF494" s="358"/>
      <c r="AG494" s="358"/>
      <c r="AH494" s="358"/>
      <c r="AI494" s="358"/>
      <c r="AJ494" s="358"/>
      <c r="AK494" s="358"/>
      <c r="AL494" s="358"/>
      <c r="AM494" s="358"/>
    </row>
    <row r="495" ht="14.25" customHeight="1">
      <c r="G495" s="358"/>
      <c r="H495" s="358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  <c r="AA495" s="358"/>
      <c r="AB495" s="358"/>
      <c r="AC495" s="358"/>
      <c r="AD495" s="358"/>
      <c r="AE495" s="358"/>
      <c r="AF495" s="358"/>
      <c r="AG495" s="358"/>
      <c r="AH495" s="358"/>
      <c r="AI495" s="358"/>
      <c r="AJ495" s="358"/>
      <c r="AK495" s="358"/>
      <c r="AL495" s="358"/>
      <c r="AM495" s="358"/>
    </row>
    <row r="496" ht="14.25" customHeight="1">
      <c r="G496" s="358"/>
      <c r="H496" s="358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  <c r="AA496" s="358"/>
      <c r="AB496" s="358"/>
      <c r="AC496" s="358"/>
      <c r="AD496" s="358"/>
      <c r="AE496" s="358"/>
      <c r="AF496" s="358"/>
      <c r="AG496" s="358"/>
      <c r="AH496" s="358"/>
      <c r="AI496" s="358"/>
      <c r="AJ496" s="358"/>
      <c r="AK496" s="358"/>
      <c r="AL496" s="358"/>
      <c r="AM496" s="358"/>
    </row>
    <row r="497" ht="14.25" customHeight="1">
      <c r="G497" s="358"/>
      <c r="H497" s="358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  <c r="AA497" s="358"/>
      <c r="AB497" s="358"/>
      <c r="AC497" s="358"/>
      <c r="AD497" s="358"/>
      <c r="AE497" s="358"/>
      <c r="AF497" s="358"/>
      <c r="AG497" s="358"/>
      <c r="AH497" s="358"/>
      <c r="AI497" s="358"/>
      <c r="AJ497" s="358"/>
      <c r="AK497" s="358"/>
      <c r="AL497" s="358"/>
      <c r="AM497" s="358"/>
    </row>
    <row r="498" ht="14.25" customHeight="1">
      <c r="G498" s="358"/>
      <c r="H498" s="358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  <c r="AA498" s="358"/>
      <c r="AB498" s="358"/>
      <c r="AC498" s="358"/>
      <c r="AD498" s="358"/>
      <c r="AE498" s="358"/>
      <c r="AF498" s="358"/>
      <c r="AG498" s="358"/>
      <c r="AH498" s="358"/>
      <c r="AI498" s="358"/>
      <c r="AJ498" s="358"/>
      <c r="AK498" s="358"/>
      <c r="AL498" s="358"/>
      <c r="AM498" s="358"/>
    </row>
    <row r="499" ht="14.25" customHeight="1">
      <c r="G499" s="358"/>
      <c r="H499" s="358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  <c r="AA499" s="358"/>
      <c r="AB499" s="358"/>
      <c r="AC499" s="358"/>
      <c r="AD499" s="358"/>
      <c r="AE499" s="358"/>
      <c r="AF499" s="358"/>
      <c r="AG499" s="358"/>
      <c r="AH499" s="358"/>
      <c r="AI499" s="358"/>
      <c r="AJ499" s="358"/>
      <c r="AK499" s="358"/>
      <c r="AL499" s="358"/>
      <c r="AM499" s="358"/>
    </row>
    <row r="500" ht="14.25" customHeight="1">
      <c r="G500" s="358"/>
      <c r="H500" s="358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  <c r="AA500" s="358"/>
      <c r="AB500" s="358"/>
      <c r="AC500" s="358"/>
      <c r="AD500" s="358"/>
      <c r="AE500" s="358"/>
      <c r="AF500" s="358"/>
      <c r="AG500" s="358"/>
      <c r="AH500" s="358"/>
      <c r="AI500" s="358"/>
      <c r="AJ500" s="358"/>
      <c r="AK500" s="358"/>
      <c r="AL500" s="358"/>
      <c r="AM500" s="358"/>
    </row>
    <row r="501" ht="14.25" customHeight="1">
      <c r="G501" s="358"/>
      <c r="H501" s="358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  <c r="AA501" s="358"/>
      <c r="AB501" s="358"/>
      <c r="AC501" s="358"/>
      <c r="AD501" s="358"/>
      <c r="AE501" s="358"/>
      <c r="AF501" s="358"/>
      <c r="AG501" s="358"/>
      <c r="AH501" s="358"/>
      <c r="AI501" s="358"/>
      <c r="AJ501" s="358"/>
      <c r="AK501" s="358"/>
      <c r="AL501" s="358"/>
      <c r="AM501" s="358"/>
    </row>
    <row r="502" ht="14.25" customHeight="1"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  <c r="AA502" s="358"/>
      <c r="AB502" s="358"/>
      <c r="AC502" s="358"/>
      <c r="AD502" s="358"/>
      <c r="AE502" s="358"/>
      <c r="AF502" s="358"/>
      <c r="AG502" s="358"/>
      <c r="AH502" s="358"/>
      <c r="AI502" s="358"/>
      <c r="AJ502" s="358"/>
      <c r="AK502" s="358"/>
      <c r="AL502" s="358"/>
      <c r="AM502" s="358"/>
    </row>
    <row r="503" ht="14.25" customHeight="1">
      <c r="G503" s="358"/>
      <c r="H503" s="358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  <c r="AA503" s="358"/>
      <c r="AB503" s="358"/>
      <c r="AC503" s="358"/>
      <c r="AD503" s="358"/>
      <c r="AE503" s="358"/>
      <c r="AF503" s="358"/>
      <c r="AG503" s="358"/>
      <c r="AH503" s="358"/>
      <c r="AI503" s="358"/>
      <c r="AJ503" s="358"/>
      <c r="AK503" s="358"/>
      <c r="AL503" s="358"/>
      <c r="AM503" s="358"/>
    </row>
    <row r="504" ht="14.25" customHeight="1">
      <c r="G504" s="358"/>
      <c r="H504" s="358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  <c r="AA504" s="358"/>
      <c r="AB504" s="358"/>
      <c r="AC504" s="358"/>
      <c r="AD504" s="358"/>
      <c r="AE504" s="358"/>
      <c r="AF504" s="358"/>
      <c r="AG504" s="358"/>
      <c r="AH504" s="358"/>
      <c r="AI504" s="358"/>
      <c r="AJ504" s="358"/>
      <c r="AK504" s="358"/>
      <c r="AL504" s="358"/>
      <c r="AM504" s="358"/>
    </row>
    <row r="505" ht="14.25" customHeight="1">
      <c r="G505" s="358"/>
      <c r="H505" s="358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  <c r="AA505" s="358"/>
      <c r="AB505" s="358"/>
      <c r="AC505" s="358"/>
      <c r="AD505" s="358"/>
      <c r="AE505" s="358"/>
      <c r="AF505" s="358"/>
      <c r="AG505" s="358"/>
      <c r="AH505" s="358"/>
      <c r="AI505" s="358"/>
      <c r="AJ505" s="358"/>
      <c r="AK505" s="358"/>
      <c r="AL505" s="358"/>
      <c r="AM505" s="358"/>
    </row>
    <row r="506" ht="14.25" customHeight="1">
      <c r="G506" s="358"/>
      <c r="H506" s="358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  <c r="AA506" s="358"/>
      <c r="AB506" s="358"/>
      <c r="AC506" s="358"/>
      <c r="AD506" s="358"/>
      <c r="AE506" s="358"/>
      <c r="AF506" s="358"/>
      <c r="AG506" s="358"/>
      <c r="AH506" s="358"/>
      <c r="AI506" s="358"/>
      <c r="AJ506" s="358"/>
      <c r="AK506" s="358"/>
      <c r="AL506" s="358"/>
      <c r="AM506" s="358"/>
    </row>
    <row r="507" ht="14.25" customHeight="1">
      <c r="G507" s="358"/>
      <c r="H507" s="358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  <c r="AA507" s="358"/>
      <c r="AB507" s="358"/>
      <c r="AC507" s="358"/>
      <c r="AD507" s="358"/>
      <c r="AE507" s="358"/>
      <c r="AF507" s="358"/>
      <c r="AG507" s="358"/>
      <c r="AH507" s="358"/>
      <c r="AI507" s="358"/>
      <c r="AJ507" s="358"/>
      <c r="AK507" s="358"/>
      <c r="AL507" s="358"/>
      <c r="AM507" s="358"/>
    </row>
    <row r="508" ht="14.25" customHeight="1">
      <c r="G508" s="358"/>
      <c r="H508" s="358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  <c r="AA508" s="358"/>
      <c r="AB508" s="358"/>
      <c r="AC508" s="358"/>
      <c r="AD508" s="358"/>
      <c r="AE508" s="358"/>
      <c r="AF508" s="358"/>
      <c r="AG508" s="358"/>
      <c r="AH508" s="358"/>
      <c r="AI508" s="358"/>
      <c r="AJ508" s="358"/>
      <c r="AK508" s="358"/>
      <c r="AL508" s="358"/>
      <c r="AM508" s="358"/>
    </row>
    <row r="509" ht="14.25" customHeight="1">
      <c r="G509" s="358"/>
      <c r="H509" s="358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  <c r="AA509" s="358"/>
      <c r="AB509" s="358"/>
      <c r="AC509" s="358"/>
      <c r="AD509" s="358"/>
      <c r="AE509" s="358"/>
      <c r="AF509" s="358"/>
      <c r="AG509" s="358"/>
      <c r="AH509" s="358"/>
      <c r="AI509" s="358"/>
      <c r="AJ509" s="358"/>
      <c r="AK509" s="358"/>
      <c r="AL509" s="358"/>
      <c r="AM509" s="358"/>
    </row>
    <row r="510" ht="14.25" customHeight="1">
      <c r="G510" s="358"/>
      <c r="H510" s="358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  <c r="AA510" s="358"/>
      <c r="AB510" s="358"/>
      <c r="AC510" s="358"/>
      <c r="AD510" s="358"/>
      <c r="AE510" s="358"/>
      <c r="AF510" s="358"/>
      <c r="AG510" s="358"/>
      <c r="AH510" s="358"/>
      <c r="AI510" s="358"/>
      <c r="AJ510" s="358"/>
      <c r="AK510" s="358"/>
      <c r="AL510" s="358"/>
      <c r="AM510" s="358"/>
    </row>
    <row r="511" ht="14.25" customHeight="1">
      <c r="G511" s="358"/>
      <c r="H511" s="358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  <c r="AA511" s="358"/>
      <c r="AB511" s="358"/>
      <c r="AC511" s="358"/>
      <c r="AD511" s="358"/>
      <c r="AE511" s="358"/>
      <c r="AF511" s="358"/>
      <c r="AG511" s="358"/>
      <c r="AH511" s="358"/>
      <c r="AI511" s="358"/>
      <c r="AJ511" s="358"/>
      <c r="AK511" s="358"/>
      <c r="AL511" s="358"/>
      <c r="AM511" s="358"/>
    </row>
    <row r="512" ht="14.25" customHeight="1">
      <c r="G512" s="358"/>
      <c r="H512" s="358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  <c r="AA512" s="358"/>
      <c r="AB512" s="358"/>
      <c r="AC512" s="358"/>
      <c r="AD512" s="358"/>
      <c r="AE512" s="358"/>
      <c r="AF512" s="358"/>
      <c r="AG512" s="358"/>
      <c r="AH512" s="358"/>
      <c r="AI512" s="358"/>
      <c r="AJ512" s="358"/>
      <c r="AK512" s="358"/>
      <c r="AL512" s="358"/>
      <c r="AM512" s="358"/>
    </row>
    <row r="513" ht="14.25" customHeight="1">
      <c r="G513" s="358"/>
      <c r="H513" s="358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  <c r="AA513" s="358"/>
      <c r="AB513" s="358"/>
      <c r="AC513" s="358"/>
      <c r="AD513" s="358"/>
      <c r="AE513" s="358"/>
      <c r="AF513" s="358"/>
      <c r="AG513" s="358"/>
      <c r="AH513" s="358"/>
      <c r="AI513" s="358"/>
      <c r="AJ513" s="358"/>
      <c r="AK513" s="358"/>
      <c r="AL513" s="358"/>
      <c r="AM513" s="358"/>
    </row>
    <row r="514" ht="14.25" customHeight="1">
      <c r="G514" s="358"/>
      <c r="H514" s="358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  <c r="AA514" s="358"/>
      <c r="AB514" s="358"/>
      <c r="AC514" s="358"/>
      <c r="AD514" s="358"/>
      <c r="AE514" s="358"/>
      <c r="AF514" s="358"/>
      <c r="AG514" s="358"/>
      <c r="AH514" s="358"/>
      <c r="AI514" s="358"/>
      <c r="AJ514" s="358"/>
      <c r="AK514" s="358"/>
      <c r="AL514" s="358"/>
      <c r="AM514" s="358"/>
    </row>
    <row r="515" ht="14.25" customHeight="1">
      <c r="G515" s="358"/>
      <c r="H515" s="358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  <c r="AA515" s="358"/>
      <c r="AB515" s="358"/>
      <c r="AC515" s="358"/>
      <c r="AD515" s="358"/>
      <c r="AE515" s="358"/>
      <c r="AF515" s="358"/>
      <c r="AG515" s="358"/>
      <c r="AH515" s="358"/>
      <c r="AI515" s="358"/>
      <c r="AJ515" s="358"/>
      <c r="AK515" s="358"/>
      <c r="AL515" s="358"/>
      <c r="AM515" s="358"/>
    </row>
    <row r="516" ht="14.25" customHeight="1">
      <c r="G516" s="358"/>
      <c r="H516" s="358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  <c r="AA516" s="358"/>
      <c r="AB516" s="358"/>
      <c r="AC516" s="358"/>
      <c r="AD516" s="358"/>
      <c r="AE516" s="358"/>
      <c r="AF516" s="358"/>
      <c r="AG516" s="358"/>
      <c r="AH516" s="358"/>
      <c r="AI516" s="358"/>
      <c r="AJ516" s="358"/>
      <c r="AK516" s="358"/>
      <c r="AL516" s="358"/>
      <c r="AM516" s="358"/>
    </row>
    <row r="517" ht="14.25" customHeight="1">
      <c r="G517" s="358"/>
      <c r="H517" s="358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  <c r="AA517" s="358"/>
      <c r="AB517" s="358"/>
      <c r="AC517" s="358"/>
      <c r="AD517" s="358"/>
      <c r="AE517" s="358"/>
      <c r="AF517" s="358"/>
      <c r="AG517" s="358"/>
      <c r="AH517" s="358"/>
      <c r="AI517" s="358"/>
      <c r="AJ517" s="358"/>
      <c r="AK517" s="358"/>
      <c r="AL517" s="358"/>
      <c r="AM517" s="358"/>
    </row>
    <row r="518" ht="14.25" customHeight="1">
      <c r="G518" s="358"/>
      <c r="H518" s="358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  <c r="AA518" s="358"/>
      <c r="AB518" s="358"/>
      <c r="AC518" s="358"/>
      <c r="AD518" s="358"/>
      <c r="AE518" s="358"/>
      <c r="AF518" s="358"/>
      <c r="AG518" s="358"/>
      <c r="AH518" s="358"/>
      <c r="AI518" s="358"/>
      <c r="AJ518" s="358"/>
      <c r="AK518" s="358"/>
      <c r="AL518" s="358"/>
      <c r="AM518" s="358"/>
    </row>
    <row r="519" ht="14.25" customHeight="1"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  <c r="AA519" s="358"/>
      <c r="AB519" s="358"/>
      <c r="AC519" s="358"/>
      <c r="AD519" s="358"/>
      <c r="AE519" s="358"/>
      <c r="AF519" s="358"/>
      <c r="AG519" s="358"/>
      <c r="AH519" s="358"/>
      <c r="AI519" s="358"/>
      <c r="AJ519" s="358"/>
      <c r="AK519" s="358"/>
      <c r="AL519" s="358"/>
      <c r="AM519" s="358"/>
    </row>
    <row r="520" ht="14.25" customHeight="1">
      <c r="G520" s="358"/>
      <c r="H520" s="358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  <c r="AA520" s="358"/>
      <c r="AB520" s="358"/>
      <c r="AC520" s="358"/>
      <c r="AD520" s="358"/>
      <c r="AE520" s="358"/>
      <c r="AF520" s="358"/>
      <c r="AG520" s="358"/>
      <c r="AH520" s="358"/>
      <c r="AI520" s="358"/>
      <c r="AJ520" s="358"/>
      <c r="AK520" s="358"/>
      <c r="AL520" s="358"/>
      <c r="AM520" s="358"/>
    </row>
    <row r="521" ht="14.25" customHeight="1">
      <c r="G521" s="358"/>
      <c r="H521" s="358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  <c r="AA521" s="358"/>
      <c r="AB521" s="358"/>
      <c r="AC521" s="358"/>
      <c r="AD521" s="358"/>
      <c r="AE521" s="358"/>
      <c r="AF521" s="358"/>
      <c r="AG521" s="358"/>
      <c r="AH521" s="358"/>
      <c r="AI521" s="358"/>
      <c r="AJ521" s="358"/>
      <c r="AK521" s="358"/>
      <c r="AL521" s="358"/>
      <c r="AM521" s="358"/>
    </row>
    <row r="522" ht="14.25" customHeight="1">
      <c r="G522" s="358"/>
      <c r="H522" s="358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  <c r="AA522" s="358"/>
      <c r="AB522" s="358"/>
      <c r="AC522" s="358"/>
      <c r="AD522" s="358"/>
      <c r="AE522" s="358"/>
      <c r="AF522" s="358"/>
      <c r="AG522" s="358"/>
      <c r="AH522" s="358"/>
      <c r="AI522" s="358"/>
      <c r="AJ522" s="358"/>
      <c r="AK522" s="358"/>
      <c r="AL522" s="358"/>
      <c r="AM522" s="358"/>
    </row>
    <row r="523" ht="14.25" customHeight="1">
      <c r="G523" s="358"/>
      <c r="H523" s="358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  <c r="AA523" s="358"/>
      <c r="AB523" s="358"/>
      <c r="AC523" s="358"/>
      <c r="AD523" s="358"/>
      <c r="AE523" s="358"/>
      <c r="AF523" s="358"/>
      <c r="AG523" s="358"/>
      <c r="AH523" s="358"/>
      <c r="AI523" s="358"/>
      <c r="AJ523" s="358"/>
      <c r="AK523" s="358"/>
      <c r="AL523" s="358"/>
      <c r="AM523" s="358"/>
    </row>
    <row r="524" ht="14.25" customHeight="1">
      <c r="G524" s="358"/>
      <c r="H524" s="358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  <c r="AA524" s="358"/>
      <c r="AB524" s="358"/>
      <c r="AC524" s="358"/>
      <c r="AD524" s="358"/>
      <c r="AE524" s="358"/>
      <c r="AF524" s="358"/>
      <c r="AG524" s="358"/>
      <c r="AH524" s="358"/>
      <c r="AI524" s="358"/>
      <c r="AJ524" s="358"/>
      <c r="AK524" s="358"/>
      <c r="AL524" s="358"/>
      <c r="AM524" s="358"/>
    </row>
    <row r="525" ht="14.25" customHeight="1">
      <c r="G525" s="358"/>
      <c r="H525" s="358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  <c r="AA525" s="358"/>
      <c r="AB525" s="358"/>
      <c r="AC525" s="358"/>
      <c r="AD525" s="358"/>
      <c r="AE525" s="358"/>
      <c r="AF525" s="358"/>
      <c r="AG525" s="358"/>
      <c r="AH525" s="358"/>
      <c r="AI525" s="358"/>
      <c r="AJ525" s="358"/>
      <c r="AK525" s="358"/>
      <c r="AL525" s="358"/>
      <c r="AM525" s="358"/>
    </row>
    <row r="526" ht="14.25" customHeight="1">
      <c r="G526" s="358"/>
      <c r="H526" s="358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  <c r="AA526" s="358"/>
      <c r="AB526" s="358"/>
      <c r="AC526" s="358"/>
      <c r="AD526" s="358"/>
      <c r="AE526" s="358"/>
      <c r="AF526" s="358"/>
      <c r="AG526" s="358"/>
      <c r="AH526" s="358"/>
      <c r="AI526" s="358"/>
      <c r="AJ526" s="358"/>
      <c r="AK526" s="358"/>
      <c r="AL526" s="358"/>
      <c r="AM526" s="358"/>
    </row>
    <row r="527" ht="14.25" customHeight="1">
      <c r="G527" s="358"/>
      <c r="H527" s="358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  <c r="AA527" s="358"/>
      <c r="AB527" s="358"/>
      <c r="AC527" s="358"/>
      <c r="AD527" s="358"/>
      <c r="AE527" s="358"/>
      <c r="AF527" s="358"/>
      <c r="AG527" s="358"/>
      <c r="AH527" s="358"/>
      <c r="AI527" s="358"/>
      <c r="AJ527" s="358"/>
      <c r="AK527" s="358"/>
      <c r="AL527" s="358"/>
      <c r="AM527" s="358"/>
    </row>
    <row r="528" ht="14.25" customHeight="1">
      <c r="G528" s="358"/>
      <c r="H528" s="358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  <c r="AA528" s="358"/>
      <c r="AB528" s="358"/>
      <c r="AC528" s="358"/>
      <c r="AD528" s="358"/>
      <c r="AE528" s="358"/>
      <c r="AF528" s="358"/>
      <c r="AG528" s="358"/>
      <c r="AH528" s="358"/>
      <c r="AI528" s="358"/>
      <c r="AJ528" s="358"/>
      <c r="AK528" s="358"/>
      <c r="AL528" s="358"/>
      <c r="AM528" s="358"/>
    </row>
    <row r="529" ht="14.25" customHeight="1">
      <c r="G529" s="358"/>
      <c r="H529" s="358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  <c r="AA529" s="358"/>
      <c r="AB529" s="358"/>
      <c r="AC529" s="358"/>
      <c r="AD529" s="358"/>
      <c r="AE529" s="358"/>
      <c r="AF529" s="358"/>
      <c r="AG529" s="358"/>
      <c r="AH529" s="358"/>
      <c r="AI529" s="358"/>
      <c r="AJ529" s="358"/>
      <c r="AK529" s="358"/>
      <c r="AL529" s="358"/>
      <c r="AM529" s="358"/>
    </row>
    <row r="530" ht="14.25" customHeight="1"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  <c r="AA530" s="358"/>
      <c r="AB530" s="358"/>
      <c r="AC530" s="358"/>
      <c r="AD530" s="358"/>
      <c r="AE530" s="358"/>
      <c r="AF530" s="358"/>
      <c r="AG530" s="358"/>
      <c r="AH530" s="358"/>
      <c r="AI530" s="358"/>
      <c r="AJ530" s="358"/>
      <c r="AK530" s="358"/>
      <c r="AL530" s="358"/>
      <c r="AM530" s="358"/>
    </row>
    <row r="531" ht="14.25" customHeight="1">
      <c r="G531" s="358"/>
      <c r="H531" s="358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  <c r="AA531" s="358"/>
      <c r="AB531" s="358"/>
      <c r="AC531" s="358"/>
      <c r="AD531" s="358"/>
      <c r="AE531" s="358"/>
      <c r="AF531" s="358"/>
      <c r="AG531" s="358"/>
      <c r="AH531" s="358"/>
      <c r="AI531" s="358"/>
      <c r="AJ531" s="358"/>
      <c r="AK531" s="358"/>
      <c r="AL531" s="358"/>
      <c r="AM531" s="358"/>
    </row>
    <row r="532" ht="14.25" customHeight="1">
      <c r="G532" s="358"/>
      <c r="H532" s="358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  <c r="AA532" s="358"/>
      <c r="AB532" s="358"/>
      <c r="AC532" s="358"/>
      <c r="AD532" s="358"/>
      <c r="AE532" s="358"/>
      <c r="AF532" s="358"/>
      <c r="AG532" s="358"/>
      <c r="AH532" s="358"/>
      <c r="AI532" s="358"/>
      <c r="AJ532" s="358"/>
      <c r="AK532" s="358"/>
      <c r="AL532" s="358"/>
      <c r="AM532" s="358"/>
    </row>
    <row r="533" ht="14.25" customHeight="1">
      <c r="G533" s="358"/>
      <c r="H533" s="358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  <c r="AA533" s="358"/>
      <c r="AB533" s="358"/>
      <c r="AC533" s="358"/>
      <c r="AD533" s="358"/>
      <c r="AE533" s="358"/>
      <c r="AF533" s="358"/>
      <c r="AG533" s="358"/>
      <c r="AH533" s="358"/>
      <c r="AI533" s="358"/>
      <c r="AJ533" s="358"/>
      <c r="AK533" s="358"/>
      <c r="AL533" s="358"/>
      <c r="AM533" s="358"/>
    </row>
    <row r="534" ht="14.25" customHeight="1">
      <c r="G534" s="358"/>
      <c r="H534" s="358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  <c r="AA534" s="358"/>
      <c r="AB534" s="358"/>
      <c r="AC534" s="358"/>
      <c r="AD534" s="358"/>
      <c r="AE534" s="358"/>
      <c r="AF534" s="358"/>
      <c r="AG534" s="358"/>
      <c r="AH534" s="358"/>
      <c r="AI534" s="358"/>
      <c r="AJ534" s="358"/>
      <c r="AK534" s="358"/>
      <c r="AL534" s="358"/>
      <c r="AM534" s="358"/>
    </row>
    <row r="535" ht="14.25" customHeight="1">
      <c r="G535" s="358"/>
      <c r="H535" s="358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  <c r="AA535" s="358"/>
      <c r="AB535" s="358"/>
      <c r="AC535" s="358"/>
      <c r="AD535" s="358"/>
      <c r="AE535" s="358"/>
      <c r="AF535" s="358"/>
      <c r="AG535" s="358"/>
      <c r="AH535" s="358"/>
      <c r="AI535" s="358"/>
      <c r="AJ535" s="358"/>
      <c r="AK535" s="358"/>
      <c r="AL535" s="358"/>
      <c r="AM535" s="358"/>
    </row>
    <row r="536" ht="14.25" customHeight="1">
      <c r="G536" s="358"/>
      <c r="H536" s="358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  <c r="AA536" s="358"/>
      <c r="AB536" s="358"/>
      <c r="AC536" s="358"/>
      <c r="AD536" s="358"/>
      <c r="AE536" s="358"/>
      <c r="AF536" s="358"/>
      <c r="AG536" s="358"/>
      <c r="AH536" s="358"/>
      <c r="AI536" s="358"/>
      <c r="AJ536" s="358"/>
      <c r="AK536" s="358"/>
      <c r="AL536" s="358"/>
      <c r="AM536" s="358"/>
    </row>
    <row r="537" ht="14.25" customHeight="1">
      <c r="G537" s="358"/>
      <c r="H537" s="358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  <c r="AA537" s="358"/>
      <c r="AB537" s="358"/>
      <c r="AC537" s="358"/>
      <c r="AD537" s="358"/>
      <c r="AE537" s="358"/>
      <c r="AF537" s="358"/>
      <c r="AG537" s="358"/>
      <c r="AH537" s="358"/>
      <c r="AI537" s="358"/>
      <c r="AJ537" s="358"/>
      <c r="AK537" s="358"/>
      <c r="AL537" s="358"/>
      <c r="AM537" s="358"/>
    </row>
    <row r="538" ht="14.25" customHeight="1">
      <c r="G538" s="358"/>
      <c r="H538" s="358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  <c r="AA538" s="358"/>
      <c r="AB538" s="358"/>
      <c r="AC538" s="358"/>
      <c r="AD538" s="358"/>
      <c r="AE538" s="358"/>
      <c r="AF538" s="358"/>
      <c r="AG538" s="358"/>
      <c r="AH538" s="358"/>
      <c r="AI538" s="358"/>
      <c r="AJ538" s="358"/>
      <c r="AK538" s="358"/>
      <c r="AL538" s="358"/>
      <c r="AM538" s="358"/>
    </row>
    <row r="539" ht="14.25" customHeight="1">
      <c r="G539" s="358"/>
      <c r="H539" s="358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  <c r="AA539" s="358"/>
      <c r="AB539" s="358"/>
      <c r="AC539" s="358"/>
      <c r="AD539" s="358"/>
      <c r="AE539" s="358"/>
      <c r="AF539" s="358"/>
      <c r="AG539" s="358"/>
      <c r="AH539" s="358"/>
      <c r="AI539" s="358"/>
      <c r="AJ539" s="358"/>
      <c r="AK539" s="358"/>
      <c r="AL539" s="358"/>
      <c r="AM539" s="358"/>
    </row>
    <row r="540" ht="14.25" customHeight="1">
      <c r="G540" s="358"/>
      <c r="H540" s="358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  <c r="AA540" s="358"/>
      <c r="AB540" s="358"/>
      <c r="AC540" s="358"/>
      <c r="AD540" s="358"/>
      <c r="AE540" s="358"/>
      <c r="AF540" s="358"/>
      <c r="AG540" s="358"/>
      <c r="AH540" s="358"/>
      <c r="AI540" s="358"/>
      <c r="AJ540" s="358"/>
      <c r="AK540" s="358"/>
      <c r="AL540" s="358"/>
      <c r="AM540" s="358"/>
    </row>
    <row r="541" ht="14.25" customHeight="1">
      <c r="G541" s="358"/>
      <c r="H541" s="358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  <c r="AA541" s="358"/>
      <c r="AB541" s="358"/>
      <c r="AC541" s="358"/>
      <c r="AD541" s="358"/>
      <c r="AE541" s="358"/>
      <c r="AF541" s="358"/>
      <c r="AG541" s="358"/>
      <c r="AH541" s="358"/>
      <c r="AI541" s="358"/>
      <c r="AJ541" s="358"/>
      <c r="AK541" s="358"/>
      <c r="AL541" s="358"/>
      <c r="AM541" s="358"/>
    </row>
    <row r="542" ht="14.25" customHeight="1">
      <c r="G542" s="358"/>
      <c r="H542" s="358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  <c r="AA542" s="358"/>
      <c r="AB542" s="358"/>
      <c r="AC542" s="358"/>
      <c r="AD542" s="358"/>
      <c r="AE542" s="358"/>
      <c r="AF542" s="358"/>
      <c r="AG542" s="358"/>
      <c r="AH542" s="358"/>
      <c r="AI542" s="358"/>
      <c r="AJ542" s="358"/>
      <c r="AK542" s="358"/>
      <c r="AL542" s="358"/>
      <c r="AM542" s="358"/>
    </row>
    <row r="543" ht="14.25" customHeight="1">
      <c r="G543" s="358"/>
      <c r="H543" s="358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  <c r="AA543" s="358"/>
      <c r="AB543" s="358"/>
      <c r="AC543" s="358"/>
      <c r="AD543" s="358"/>
      <c r="AE543" s="358"/>
      <c r="AF543" s="358"/>
      <c r="AG543" s="358"/>
      <c r="AH543" s="358"/>
      <c r="AI543" s="358"/>
      <c r="AJ543" s="358"/>
      <c r="AK543" s="358"/>
      <c r="AL543" s="358"/>
      <c r="AM543" s="358"/>
    </row>
    <row r="544" ht="14.25" customHeight="1">
      <c r="G544" s="358"/>
      <c r="H544" s="358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  <c r="AA544" s="358"/>
      <c r="AB544" s="358"/>
      <c r="AC544" s="358"/>
      <c r="AD544" s="358"/>
      <c r="AE544" s="358"/>
      <c r="AF544" s="358"/>
      <c r="AG544" s="358"/>
      <c r="AH544" s="358"/>
      <c r="AI544" s="358"/>
      <c r="AJ544" s="358"/>
      <c r="AK544" s="358"/>
      <c r="AL544" s="358"/>
      <c r="AM544" s="358"/>
    </row>
    <row r="545" ht="14.25" customHeight="1">
      <c r="G545" s="358"/>
      <c r="H545" s="358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  <c r="AA545" s="358"/>
      <c r="AB545" s="358"/>
      <c r="AC545" s="358"/>
      <c r="AD545" s="358"/>
      <c r="AE545" s="358"/>
      <c r="AF545" s="358"/>
      <c r="AG545" s="358"/>
      <c r="AH545" s="358"/>
      <c r="AI545" s="358"/>
      <c r="AJ545" s="358"/>
      <c r="AK545" s="358"/>
      <c r="AL545" s="358"/>
      <c r="AM545" s="358"/>
    </row>
    <row r="546" ht="14.25" customHeight="1">
      <c r="G546" s="358"/>
      <c r="H546" s="358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  <c r="AA546" s="358"/>
      <c r="AB546" s="358"/>
      <c r="AC546" s="358"/>
      <c r="AD546" s="358"/>
      <c r="AE546" s="358"/>
      <c r="AF546" s="358"/>
      <c r="AG546" s="358"/>
      <c r="AH546" s="358"/>
      <c r="AI546" s="358"/>
      <c r="AJ546" s="358"/>
      <c r="AK546" s="358"/>
      <c r="AL546" s="358"/>
      <c r="AM546" s="358"/>
    </row>
    <row r="547" ht="14.25" customHeight="1">
      <c r="G547" s="358"/>
      <c r="H547" s="358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  <c r="AA547" s="358"/>
      <c r="AB547" s="358"/>
      <c r="AC547" s="358"/>
      <c r="AD547" s="358"/>
      <c r="AE547" s="358"/>
      <c r="AF547" s="358"/>
      <c r="AG547" s="358"/>
      <c r="AH547" s="358"/>
      <c r="AI547" s="358"/>
      <c r="AJ547" s="358"/>
      <c r="AK547" s="358"/>
      <c r="AL547" s="358"/>
      <c r="AM547" s="358"/>
    </row>
    <row r="548" ht="14.25" customHeight="1">
      <c r="G548" s="358"/>
      <c r="H548" s="358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  <c r="AA548" s="358"/>
      <c r="AB548" s="358"/>
      <c r="AC548" s="358"/>
      <c r="AD548" s="358"/>
      <c r="AE548" s="358"/>
      <c r="AF548" s="358"/>
      <c r="AG548" s="358"/>
      <c r="AH548" s="358"/>
      <c r="AI548" s="358"/>
      <c r="AJ548" s="358"/>
      <c r="AK548" s="358"/>
      <c r="AL548" s="358"/>
      <c r="AM548" s="358"/>
    </row>
    <row r="549" ht="14.25" customHeight="1">
      <c r="G549" s="358"/>
      <c r="H549" s="358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  <c r="AA549" s="358"/>
      <c r="AB549" s="358"/>
      <c r="AC549" s="358"/>
      <c r="AD549" s="358"/>
      <c r="AE549" s="358"/>
      <c r="AF549" s="358"/>
      <c r="AG549" s="358"/>
      <c r="AH549" s="358"/>
      <c r="AI549" s="358"/>
      <c r="AJ549" s="358"/>
      <c r="AK549" s="358"/>
      <c r="AL549" s="358"/>
      <c r="AM549" s="358"/>
    </row>
    <row r="550" ht="14.25" customHeight="1">
      <c r="G550" s="358"/>
      <c r="H550" s="358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  <c r="AA550" s="358"/>
      <c r="AB550" s="358"/>
      <c r="AC550" s="358"/>
      <c r="AD550" s="358"/>
      <c r="AE550" s="358"/>
      <c r="AF550" s="358"/>
      <c r="AG550" s="358"/>
      <c r="AH550" s="358"/>
      <c r="AI550" s="358"/>
      <c r="AJ550" s="358"/>
      <c r="AK550" s="358"/>
      <c r="AL550" s="358"/>
      <c r="AM550" s="358"/>
    </row>
    <row r="551" ht="14.25" customHeight="1">
      <c r="G551" s="358"/>
      <c r="H551" s="358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  <c r="AA551" s="358"/>
      <c r="AB551" s="358"/>
      <c r="AC551" s="358"/>
      <c r="AD551" s="358"/>
      <c r="AE551" s="358"/>
      <c r="AF551" s="358"/>
      <c r="AG551" s="358"/>
      <c r="AH551" s="358"/>
      <c r="AI551" s="358"/>
      <c r="AJ551" s="358"/>
      <c r="AK551" s="358"/>
      <c r="AL551" s="358"/>
      <c r="AM551" s="358"/>
    </row>
    <row r="552" ht="14.25" customHeight="1">
      <c r="G552" s="358"/>
      <c r="H552" s="358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  <c r="AA552" s="358"/>
      <c r="AB552" s="358"/>
      <c r="AC552" s="358"/>
      <c r="AD552" s="358"/>
      <c r="AE552" s="358"/>
      <c r="AF552" s="358"/>
      <c r="AG552" s="358"/>
      <c r="AH552" s="358"/>
      <c r="AI552" s="358"/>
      <c r="AJ552" s="358"/>
      <c r="AK552" s="358"/>
      <c r="AL552" s="358"/>
      <c r="AM552" s="358"/>
    </row>
    <row r="553" ht="14.25" customHeight="1">
      <c r="G553" s="358"/>
      <c r="H553" s="358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  <c r="AA553" s="358"/>
      <c r="AB553" s="358"/>
      <c r="AC553" s="358"/>
      <c r="AD553" s="358"/>
      <c r="AE553" s="358"/>
      <c r="AF553" s="358"/>
      <c r="AG553" s="358"/>
      <c r="AH553" s="358"/>
      <c r="AI553" s="358"/>
      <c r="AJ553" s="358"/>
      <c r="AK553" s="358"/>
      <c r="AL553" s="358"/>
      <c r="AM553" s="358"/>
    </row>
    <row r="554" ht="14.25" customHeight="1">
      <c r="G554" s="358"/>
      <c r="H554" s="358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  <c r="AA554" s="358"/>
      <c r="AB554" s="358"/>
      <c r="AC554" s="358"/>
      <c r="AD554" s="358"/>
      <c r="AE554" s="358"/>
      <c r="AF554" s="358"/>
      <c r="AG554" s="358"/>
      <c r="AH554" s="358"/>
      <c r="AI554" s="358"/>
      <c r="AJ554" s="358"/>
      <c r="AK554" s="358"/>
      <c r="AL554" s="358"/>
      <c r="AM554" s="358"/>
    </row>
    <row r="555" ht="14.25" customHeight="1">
      <c r="G555" s="358"/>
      <c r="H555" s="358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  <c r="AA555" s="358"/>
      <c r="AB555" s="358"/>
      <c r="AC555" s="358"/>
      <c r="AD555" s="358"/>
      <c r="AE555" s="358"/>
      <c r="AF555" s="358"/>
      <c r="AG555" s="358"/>
      <c r="AH555" s="358"/>
      <c r="AI555" s="358"/>
      <c r="AJ555" s="358"/>
      <c r="AK555" s="358"/>
      <c r="AL555" s="358"/>
      <c r="AM555" s="358"/>
    </row>
    <row r="556" ht="14.25" customHeight="1">
      <c r="G556" s="358"/>
      <c r="H556" s="358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  <c r="AA556" s="358"/>
      <c r="AB556" s="358"/>
      <c r="AC556" s="358"/>
      <c r="AD556" s="358"/>
      <c r="AE556" s="358"/>
      <c r="AF556" s="358"/>
      <c r="AG556" s="358"/>
      <c r="AH556" s="358"/>
      <c r="AI556" s="358"/>
      <c r="AJ556" s="358"/>
      <c r="AK556" s="358"/>
      <c r="AL556" s="358"/>
      <c r="AM556" s="358"/>
    </row>
    <row r="557" ht="14.25" customHeight="1">
      <c r="G557" s="358"/>
      <c r="H557" s="358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  <c r="AA557" s="358"/>
      <c r="AB557" s="358"/>
      <c r="AC557" s="358"/>
      <c r="AD557" s="358"/>
      <c r="AE557" s="358"/>
      <c r="AF557" s="358"/>
      <c r="AG557" s="358"/>
      <c r="AH557" s="358"/>
      <c r="AI557" s="358"/>
      <c r="AJ557" s="358"/>
      <c r="AK557" s="358"/>
      <c r="AL557" s="358"/>
      <c r="AM557" s="358"/>
    </row>
    <row r="558" ht="14.25" customHeight="1">
      <c r="G558" s="358"/>
      <c r="H558" s="358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  <c r="AA558" s="358"/>
      <c r="AB558" s="358"/>
      <c r="AC558" s="358"/>
      <c r="AD558" s="358"/>
      <c r="AE558" s="358"/>
      <c r="AF558" s="358"/>
      <c r="AG558" s="358"/>
      <c r="AH558" s="358"/>
      <c r="AI558" s="358"/>
      <c r="AJ558" s="358"/>
      <c r="AK558" s="358"/>
      <c r="AL558" s="358"/>
      <c r="AM558" s="358"/>
    </row>
    <row r="559" ht="14.25" customHeight="1">
      <c r="G559" s="358"/>
      <c r="H559" s="358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  <c r="AA559" s="358"/>
      <c r="AB559" s="358"/>
      <c r="AC559" s="358"/>
      <c r="AD559" s="358"/>
      <c r="AE559" s="358"/>
      <c r="AF559" s="358"/>
      <c r="AG559" s="358"/>
      <c r="AH559" s="358"/>
      <c r="AI559" s="358"/>
      <c r="AJ559" s="358"/>
      <c r="AK559" s="358"/>
      <c r="AL559" s="358"/>
      <c r="AM559" s="358"/>
    </row>
    <row r="560" ht="14.25" customHeight="1">
      <c r="G560" s="358"/>
      <c r="H560" s="358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  <c r="AA560" s="358"/>
      <c r="AB560" s="358"/>
      <c r="AC560" s="358"/>
      <c r="AD560" s="358"/>
      <c r="AE560" s="358"/>
      <c r="AF560" s="358"/>
      <c r="AG560" s="358"/>
      <c r="AH560" s="358"/>
      <c r="AI560" s="358"/>
      <c r="AJ560" s="358"/>
      <c r="AK560" s="358"/>
      <c r="AL560" s="358"/>
      <c r="AM560" s="358"/>
    </row>
    <row r="561" ht="14.25" customHeight="1">
      <c r="G561" s="358"/>
      <c r="H561" s="358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  <c r="AA561" s="358"/>
      <c r="AB561" s="358"/>
      <c r="AC561" s="358"/>
      <c r="AD561" s="358"/>
      <c r="AE561" s="358"/>
      <c r="AF561" s="358"/>
      <c r="AG561" s="358"/>
      <c r="AH561" s="358"/>
      <c r="AI561" s="358"/>
      <c r="AJ561" s="358"/>
      <c r="AK561" s="358"/>
      <c r="AL561" s="358"/>
      <c r="AM561" s="358"/>
    </row>
    <row r="562" ht="14.25" customHeight="1">
      <c r="G562" s="358"/>
      <c r="H562" s="358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  <c r="AA562" s="358"/>
      <c r="AB562" s="358"/>
      <c r="AC562" s="358"/>
      <c r="AD562" s="358"/>
      <c r="AE562" s="358"/>
      <c r="AF562" s="358"/>
      <c r="AG562" s="358"/>
      <c r="AH562" s="358"/>
      <c r="AI562" s="358"/>
      <c r="AJ562" s="358"/>
      <c r="AK562" s="358"/>
      <c r="AL562" s="358"/>
      <c r="AM562" s="358"/>
    </row>
    <row r="563" ht="14.25" customHeight="1">
      <c r="G563" s="358"/>
      <c r="H563" s="358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  <c r="AA563" s="358"/>
      <c r="AB563" s="358"/>
      <c r="AC563" s="358"/>
      <c r="AD563" s="358"/>
      <c r="AE563" s="358"/>
      <c r="AF563" s="358"/>
      <c r="AG563" s="358"/>
      <c r="AH563" s="358"/>
      <c r="AI563" s="358"/>
      <c r="AJ563" s="358"/>
      <c r="AK563" s="358"/>
      <c r="AL563" s="358"/>
      <c r="AM563" s="358"/>
    </row>
    <row r="564" ht="14.25" customHeight="1">
      <c r="G564" s="358"/>
      <c r="H564" s="358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  <c r="AA564" s="358"/>
      <c r="AB564" s="358"/>
      <c r="AC564" s="358"/>
      <c r="AD564" s="358"/>
      <c r="AE564" s="358"/>
      <c r="AF564" s="358"/>
      <c r="AG564" s="358"/>
      <c r="AH564" s="358"/>
      <c r="AI564" s="358"/>
      <c r="AJ564" s="358"/>
      <c r="AK564" s="358"/>
      <c r="AL564" s="358"/>
      <c r="AM564" s="358"/>
    </row>
    <row r="565" ht="14.25" customHeight="1">
      <c r="G565" s="358"/>
      <c r="H565" s="358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  <c r="AA565" s="358"/>
      <c r="AB565" s="358"/>
      <c r="AC565" s="358"/>
      <c r="AD565" s="358"/>
      <c r="AE565" s="358"/>
      <c r="AF565" s="358"/>
      <c r="AG565" s="358"/>
      <c r="AH565" s="358"/>
      <c r="AI565" s="358"/>
      <c r="AJ565" s="358"/>
      <c r="AK565" s="358"/>
      <c r="AL565" s="358"/>
      <c r="AM565" s="358"/>
    </row>
    <row r="566" ht="14.25" customHeight="1">
      <c r="G566" s="358"/>
      <c r="H566" s="358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  <c r="AA566" s="358"/>
      <c r="AB566" s="358"/>
      <c r="AC566" s="358"/>
      <c r="AD566" s="358"/>
      <c r="AE566" s="358"/>
      <c r="AF566" s="358"/>
      <c r="AG566" s="358"/>
      <c r="AH566" s="358"/>
      <c r="AI566" s="358"/>
      <c r="AJ566" s="358"/>
      <c r="AK566" s="358"/>
      <c r="AL566" s="358"/>
      <c r="AM566" s="358"/>
    </row>
    <row r="567" ht="14.25" customHeight="1"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  <c r="AA567" s="358"/>
      <c r="AB567" s="358"/>
      <c r="AC567" s="358"/>
      <c r="AD567" s="358"/>
      <c r="AE567" s="358"/>
      <c r="AF567" s="358"/>
      <c r="AG567" s="358"/>
      <c r="AH567" s="358"/>
      <c r="AI567" s="358"/>
      <c r="AJ567" s="358"/>
      <c r="AK567" s="358"/>
      <c r="AL567" s="358"/>
      <c r="AM567" s="358"/>
    </row>
    <row r="568" ht="14.25" customHeight="1">
      <c r="G568" s="358"/>
      <c r="H568" s="358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  <c r="AA568" s="358"/>
      <c r="AB568" s="358"/>
      <c r="AC568" s="358"/>
      <c r="AD568" s="358"/>
      <c r="AE568" s="358"/>
      <c r="AF568" s="358"/>
      <c r="AG568" s="358"/>
      <c r="AH568" s="358"/>
      <c r="AI568" s="358"/>
      <c r="AJ568" s="358"/>
      <c r="AK568" s="358"/>
      <c r="AL568" s="358"/>
      <c r="AM568" s="358"/>
    </row>
    <row r="569" ht="14.25" customHeight="1">
      <c r="G569" s="358"/>
      <c r="H569" s="358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  <c r="AA569" s="358"/>
      <c r="AB569" s="358"/>
      <c r="AC569" s="358"/>
      <c r="AD569" s="358"/>
      <c r="AE569" s="358"/>
      <c r="AF569" s="358"/>
      <c r="AG569" s="358"/>
      <c r="AH569" s="358"/>
      <c r="AI569" s="358"/>
      <c r="AJ569" s="358"/>
      <c r="AK569" s="358"/>
      <c r="AL569" s="358"/>
      <c r="AM569" s="358"/>
    </row>
    <row r="570" ht="14.25" customHeight="1">
      <c r="G570" s="358"/>
      <c r="H570" s="358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  <c r="AA570" s="358"/>
      <c r="AB570" s="358"/>
      <c r="AC570" s="358"/>
      <c r="AD570" s="358"/>
      <c r="AE570" s="358"/>
      <c r="AF570" s="358"/>
      <c r="AG570" s="358"/>
      <c r="AH570" s="358"/>
      <c r="AI570" s="358"/>
      <c r="AJ570" s="358"/>
      <c r="AK570" s="358"/>
      <c r="AL570" s="358"/>
      <c r="AM570" s="358"/>
    </row>
    <row r="571" ht="14.25" customHeight="1">
      <c r="G571" s="358"/>
      <c r="H571" s="358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  <c r="AA571" s="358"/>
      <c r="AB571" s="358"/>
      <c r="AC571" s="358"/>
      <c r="AD571" s="358"/>
      <c r="AE571" s="358"/>
      <c r="AF571" s="358"/>
      <c r="AG571" s="358"/>
      <c r="AH571" s="358"/>
      <c r="AI571" s="358"/>
      <c r="AJ571" s="358"/>
      <c r="AK571" s="358"/>
      <c r="AL571" s="358"/>
      <c r="AM571" s="358"/>
    </row>
    <row r="572" ht="14.25" customHeight="1">
      <c r="G572" s="358"/>
      <c r="H572" s="358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  <c r="AA572" s="358"/>
      <c r="AB572" s="358"/>
      <c r="AC572" s="358"/>
      <c r="AD572" s="358"/>
      <c r="AE572" s="358"/>
      <c r="AF572" s="358"/>
      <c r="AG572" s="358"/>
      <c r="AH572" s="358"/>
      <c r="AI572" s="358"/>
      <c r="AJ572" s="358"/>
      <c r="AK572" s="358"/>
      <c r="AL572" s="358"/>
      <c r="AM572" s="358"/>
    </row>
    <row r="573" ht="14.25" customHeight="1">
      <c r="G573" s="358"/>
      <c r="H573" s="358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  <c r="AA573" s="358"/>
      <c r="AB573" s="358"/>
      <c r="AC573" s="358"/>
      <c r="AD573" s="358"/>
      <c r="AE573" s="358"/>
      <c r="AF573" s="358"/>
      <c r="AG573" s="358"/>
      <c r="AH573" s="358"/>
      <c r="AI573" s="358"/>
      <c r="AJ573" s="358"/>
      <c r="AK573" s="358"/>
      <c r="AL573" s="358"/>
      <c r="AM573" s="358"/>
    </row>
    <row r="574" ht="14.25" customHeight="1">
      <c r="G574" s="358"/>
      <c r="H574" s="358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  <c r="AA574" s="358"/>
      <c r="AB574" s="358"/>
      <c r="AC574" s="358"/>
      <c r="AD574" s="358"/>
      <c r="AE574" s="358"/>
      <c r="AF574" s="358"/>
      <c r="AG574" s="358"/>
      <c r="AH574" s="358"/>
      <c r="AI574" s="358"/>
      <c r="AJ574" s="358"/>
      <c r="AK574" s="358"/>
      <c r="AL574" s="358"/>
      <c r="AM574" s="358"/>
    </row>
    <row r="575" ht="14.25" customHeight="1">
      <c r="G575" s="358"/>
      <c r="H575" s="358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  <c r="AA575" s="358"/>
      <c r="AB575" s="358"/>
      <c r="AC575" s="358"/>
      <c r="AD575" s="358"/>
      <c r="AE575" s="358"/>
      <c r="AF575" s="358"/>
      <c r="AG575" s="358"/>
      <c r="AH575" s="358"/>
      <c r="AI575" s="358"/>
      <c r="AJ575" s="358"/>
      <c r="AK575" s="358"/>
      <c r="AL575" s="358"/>
      <c r="AM575" s="358"/>
    </row>
    <row r="576" ht="14.25" customHeight="1"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  <c r="AA576" s="358"/>
      <c r="AB576" s="358"/>
      <c r="AC576" s="358"/>
      <c r="AD576" s="358"/>
      <c r="AE576" s="358"/>
      <c r="AF576" s="358"/>
      <c r="AG576" s="358"/>
      <c r="AH576" s="358"/>
      <c r="AI576" s="358"/>
      <c r="AJ576" s="358"/>
      <c r="AK576" s="358"/>
      <c r="AL576" s="358"/>
      <c r="AM576" s="358"/>
    </row>
    <row r="577" ht="14.25" customHeight="1">
      <c r="G577" s="358"/>
      <c r="H577" s="358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  <c r="AA577" s="358"/>
      <c r="AB577" s="358"/>
      <c r="AC577" s="358"/>
      <c r="AD577" s="358"/>
      <c r="AE577" s="358"/>
      <c r="AF577" s="358"/>
      <c r="AG577" s="358"/>
      <c r="AH577" s="358"/>
      <c r="AI577" s="358"/>
      <c r="AJ577" s="358"/>
      <c r="AK577" s="358"/>
      <c r="AL577" s="358"/>
      <c r="AM577" s="358"/>
    </row>
    <row r="578" ht="14.25" customHeight="1">
      <c r="G578" s="358"/>
      <c r="H578" s="358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  <c r="AA578" s="358"/>
      <c r="AB578" s="358"/>
      <c r="AC578" s="358"/>
      <c r="AD578" s="358"/>
      <c r="AE578" s="358"/>
      <c r="AF578" s="358"/>
      <c r="AG578" s="358"/>
      <c r="AH578" s="358"/>
      <c r="AI578" s="358"/>
      <c r="AJ578" s="358"/>
      <c r="AK578" s="358"/>
      <c r="AL578" s="358"/>
      <c r="AM578" s="358"/>
    </row>
    <row r="579" ht="14.25" customHeight="1">
      <c r="G579" s="358"/>
      <c r="H579" s="358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  <c r="AA579" s="358"/>
      <c r="AB579" s="358"/>
      <c r="AC579" s="358"/>
      <c r="AD579" s="358"/>
      <c r="AE579" s="358"/>
      <c r="AF579" s="358"/>
      <c r="AG579" s="358"/>
      <c r="AH579" s="358"/>
      <c r="AI579" s="358"/>
      <c r="AJ579" s="358"/>
      <c r="AK579" s="358"/>
      <c r="AL579" s="358"/>
      <c r="AM579" s="358"/>
    </row>
    <row r="580" ht="14.25" customHeight="1">
      <c r="G580" s="358"/>
      <c r="H580" s="358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  <c r="AA580" s="358"/>
      <c r="AB580" s="358"/>
      <c r="AC580" s="358"/>
      <c r="AD580" s="358"/>
      <c r="AE580" s="358"/>
      <c r="AF580" s="358"/>
      <c r="AG580" s="358"/>
      <c r="AH580" s="358"/>
      <c r="AI580" s="358"/>
      <c r="AJ580" s="358"/>
      <c r="AK580" s="358"/>
      <c r="AL580" s="358"/>
      <c r="AM580" s="358"/>
    </row>
    <row r="581" ht="14.25" customHeight="1">
      <c r="G581" s="358"/>
      <c r="H581" s="358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  <c r="AA581" s="358"/>
      <c r="AB581" s="358"/>
      <c r="AC581" s="358"/>
      <c r="AD581" s="358"/>
      <c r="AE581" s="358"/>
      <c r="AF581" s="358"/>
      <c r="AG581" s="358"/>
      <c r="AH581" s="358"/>
      <c r="AI581" s="358"/>
      <c r="AJ581" s="358"/>
      <c r="AK581" s="358"/>
      <c r="AL581" s="358"/>
      <c r="AM581" s="358"/>
    </row>
    <row r="582" ht="14.25" customHeight="1">
      <c r="G582" s="358"/>
      <c r="H582" s="358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  <c r="AA582" s="358"/>
      <c r="AB582" s="358"/>
      <c r="AC582" s="358"/>
      <c r="AD582" s="358"/>
      <c r="AE582" s="358"/>
      <c r="AF582" s="358"/>
      <c r="AG582" s="358"/>
      <c r="AH582" s="358"/>
      <c r="AI582" s="358"/>
      <c r="AJ582" s="358"/>
      <c r="AK582" s="358"/>
      <c r="AL582" s="358"/>
      <c r="AM582" s="358"/>
    </row>
    <row r="583" ht="14.25" customHeight="1">
      <c r="G583" s="358"/>
      <c r="H583" s="358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  <c r="AA583" s="358"/>
      <c r="AB583" s="358"/>
      <c r="AC583" s="358"/>
      <c r="AD583" s="358"/>
      <c r="AE583" s="358"/>
      <c r="AF583" s="358"/>
      <c r="AG583" s="358"/>
      <c r="AH583" s="358"/>
      <c r="AI583" s="358"/>
      <c r="AJ583" s="358"/>
      <c r="AK583" s="358"/>
      <c r="AL583" s="358"/>
      <c r="AM583" s="358"/>
    </row>
    <row r="584" ht="14.25" customHeight="1">
      <c r="G584" s="358"/>
      <c r="H584" s="358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  <c r="AA584" s="358"/>
      <c r="AB584" s="358"/>
      <c r="AC584" s="358"/>
      <c r="AD584" s="358"/>
      <c r="AE584" s="358"/>
      <c r="AF584" s="358"/>
      <c r="AG584" s="358"/>
      <c r="AH584" s="358"/>
      <c r="AI584" s="358"/>
      <c r="AJ584" s="358"/>
      <c r="AK584" s="358"/>
      <c r="AL584" s="358"/>
      <c r="AM584" s="358"/>
    </row>
    <row r="585" ht="14.25" customHeight="1">
      <c r="G585" s="358"/>
      <c r="H585" s="358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  <c r="AA585" s="358"/>
      <c r="AB585" s="358"/>
      <c r="AC585" s="358"/>
      <c r="AD585" s="358"/>
      <c r="AE585" s="358"/>
      <c r="AF585" s="358"/>
      <c r="AG585" s="358"/>
      <c r="AH585" s="358"/>
      <c r="AI585" s="358"/>
      <c r="AJ585" s="358"/>
      <c r="AK585" s="358"/>
      <c r="AL585" s="358"/>
      <c r="AM585" s="358"/>
    </row>
    <row r="586" ht="14.25" customHeight="1">
      <c r="G586" s="358"/>
      <c r="H586" s="358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  <c r="AA586" s="358"/>
      <c r="AB586" s="358"/>
      <c r="AC586" s="358"/>
      <c r="AD586" s="358"/>
      <c r="AE586" s="358"/>
      <c r="AF586" s="358"/>
      <c r="AG586" s="358"/>
      <c r="AH586" s="358"/>
      <c r="AI586" s="358"/>
      <c r="AJ586" s="358"/>
      <c r="AK586" s="358"/>
      <c r="AL586" s="358"/>
      <c r="AM586" s="358"/>
    </row>
    <row r="587" ht="14.25" customHeight="1">
      <c r="G587" s="358"/>
      <c r="H587" s="358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  <c r="AA587" s="358"/>
      <c r="AB587" s="358"/>
      <c r="AC587" s="358"/>
      <c r="AD587" s="358"/>
      <c r="AE587" s="358"/>
      <c r="AF587" s="358"/>
      <c r="AG587" s="358"/>
      <c r="AH587" s="358"/>
      <c r="AI587" s="358"/>
      <c r="AJ587" s="358"/>
      <c r="AK587" s="358"/>
      <c r="AL587" s="358"/>
      <c r="AM587" s="358"/>
    </row>
    <row r="588" ht="14.25" customHeight="1">
      <c r="G588" s="358"/>
      <c r="H588" s="358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  <c r="AA588" s="358"/>
      <c r="AB588" s="358"/>
      <c r="AC588" s="358"/>
      <c r="AD588" s="358"/>
      <c r="AE588" s="358"/>
      <c r="AF588" s="358"/>
      <c r="AG588" s="358"/>
      <c r="AH588" s="358"/>
      <c r="AI588" s="358"/>
      <c r="AJ588" s="358"/>
      <c r="AK588" s="358"/>
      <c r="AL588" s="358"/>
      <c r="AM588" s="358"/>
    </row>
    <row r="589" ht="14.25" customHeight="1">
      <c r="G589" s="358"/>
      <c r="H589" s="358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  <c r="AA589" s="358"/>
      <c r="AB589" s="358"/>
      <c r="AC589" s="358"/>
      <c r="AD589" s="358"/>
      <c r="AE589" s="358"/>
      <c r="AF589" s="358"/>
      <c r="AG589" s="358"/>
      <c r="AH589" s="358"/>
      <c r="AI589" s="358"/>
      <c r="AJ589" s="358"/>
      <c r="AK589" s="358"/>
      <c r="AL589" s="358"/>
      <c r="AM589" s="358"/>
    </row>
    <row r="590" ht="14.25" customHeight="1">
      <c r="G590" s="358"/>
      <c r="H590" s="358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  <c r="AA590" s="358"/>
      <c r="AB590" s="358"/>
      <c r="AC590" s="358"/>
      <c r="AD590" s="358"/>
      <c r="AE590" s="358"/>
      <c r="AF590" s="358"/>
      <c r="AG590" s="358"/>
      <c r="AH590" s="358"/>
      <c r="AI590" s="358"/>
      <c r="AJ590" s="358"/>
      <c r="AK590" s="358"/>
      <c r="AL590" s="358"/>
      <c r="AM590" s="358"/>
    </row>
    <row r="591" ht="14.25" customHeight="1">
      <c r="G591" s="358"/>
      <c r="H591" s="358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  <c r="AA591" s="358"/>
      <c r="AB591" s="358"/>
      <c r="AC591" s="358"/>
      <c r="AD591" s="358"/>
      <c r="AE591" s="358"/>
      <c r="AF591" s="358"/>
      <c r="AG591" s="358"/>
      <c r="AH591" s="358"/>
      <c r="AI591" s="358"/>
      <c r="AJ591" s="358"/>
      <c r="AK591" s="358"/>
      <c r="AL591" s="358"/>
      <c r="AM591" s="358"/>
    </row>
    <row r="592" ht="14.25" customHeight="1">
      <c r="G592" s="358"/>
      <c r="H592" s="358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  <c r="AA592" s="358"/>
      <c r="AB592" s="358"/>
      <c r="AC592" s="358"/>
      <c r="AD592" s="358"/>
      <c r="AE592" s="358"/>
      <c r="AF592" s="358"/>
      <c r="AG592" s="358"/>
      <c r="AH592" s="358"/>
      <c r="AI592" s="358"/>
      <c r="AJ592" s="358"/>
      <c r="AK592" s="358"/>
      <c r="AL592" s="358"/>
      <c r="AM592" s="358"/>
    </row>
    <row r="593" ht="14.25" customHeight="1">
      <c r="G593" s="358"/>
      <c r="H593" s="358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  <c r="AA593" s="358"/>
      <c r="AB593" s="358"/>
      <c r="AC593" s="358"/>
      <c r="AD593" s="358"/>
      <c r="AE593" s="358"/>
      <c r="AF593" s="358"/>
      <c r="AG593" s="358"/>
      <c r="AH593" s="358"/>
      <c r="AI593" s="358"/>
      <c r="AJ593" s="358"/>
      <c r="AK593" s="358"/>
      <c r="AL593" s="358"/>
      <c r="AM593" s="358"/>
    </row>
    <row r="594" ht="14.25" customHeight="1">
      <c r="G594" s="358"/>
      <c r="H594" s="358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  <c r="AA594" s="358"/>
      <c r="AB594" s="358"/>
      <c r="AC594" s="358"/>
      <c r="AD594" s="358"/>
      <c r="AE594" s="358"/>
      <c r="AF594" s="358"/>
      <c r="AG594" s="358"/>
      <c r="AH594" s="358"/>
      <c r="AI594" s="358"/>
      <c r="AJ594" s="358"/>
      <c r="AK594" s="358"/>
      <c r="AL594" s="358"/>
      <c r="AM594" s="358"/>
    </row>
    <row r="595" ht="14.25" customHeight="1">
      <c r="G595" s="358"/>
      <c r="H595" s="358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  <c r="AA595" s="358"/>
      <c r="AB595" s="358"/>
      <c r="AC595" s="358"/>
      <c r="AD595" s="358"/>
      <c r="AE595" s="358"/>
      <c r="AF595" s="358"/>
      <c r="AG595" s="358"/>
      <c r="AH595" s="358"/>
      <c r="AI595" s="358"/>
      <c r="AJ595" s="358"/>
      <c r="AK595" s="358"/>
      <c r="AL595" s="358"/>
      <c r="AM595" s="358"/>
    </row>
    <row r="596" ht="14.25" customHeight="1">
      <c r="G596" s="358"/>
      <c r="H596" s="358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  <c r="AA596" s="358"/>
      <c r="AB596" s="358"/>
      <c r="AC596" s="358"/>
      <c r="AD596" s="358"/>
      <c r="AE596" s="358"/>
      <c r="AF596" s="358"/>
      <c r="AG596" s="358"/>
      <c r="AH596" s="358"/>
      <c r="AI596" s="358"/>
      <c r="AJ596" s="358"/>
      <c r="AK596" s="358"/>
      <c r="AL596" s="358"/>
      <c r="AM596" s="358"/>
    </row>
    <row r="597" ht="14.25" customHeight="1">
      <c r="G597" s="358"/>
      <c r="H597" s="358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  <c r="AA597" s="358"/>
      <c r="AB597" s="358"/>
      <c r="AC597" s="358"/>
      <c r="AD597" s="358"/>
      <c r="AE597" s="358"/>
      <c r="AF597" s="358"/>
      <c r="AG597" s="358"/>
      <c r="AH597" s="358"/>
      <c r="AI597" s="358"/>
      <c r="AJ597" s="358"/>
      <c r="AK597" s="358"/>
      <c r="AL597" s="358"/>
      <c r="AM597" s="358"/>
    </row>
    <row r="598" ht="14.25" customHeight="1">
      <c r="G598" s="358"/>
      <c r="H598" s="358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  <c r="AA598" s="358"/>
      <c r="AB598" s="358"/>
      <c r="AC598" s="358"/>
      <c r="AD598" s="358"/>
      <c r="AE598" s="358"/>
      <c r="AF598" s="358"/>
      <c r="AG598" s="358"/>
      <c r="AH598" s="358"/>
      <c r="AI598" s="358"/>
      <c r="AJ598" s="358"/>
      <c r="AK598" s="358"/>
      <c r="AL598" s="358"/>
      <c r="AM598" s="358"/>
    </row>
    <row r="599" ht="14.25" customHeight="1">
      <c r="G599" s="358"/>
      <c r="H599" s="358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  <c r="AA599" s="358"/>
      <c r="AB599" s="358"/>
      <c r="AC599" s="358"/>
      <c r="AD599" s="358"/>
      <c r="AE599" s="358"/>
      <c r="AF599" s="358"/>
      <c r="AG599" s="358"/>
      <c r="AH599" s="358"/>
      <c r="AI599" s="358"/>
      <c r="AJ599" s="358"/>
      <c r="AK599" s="358"/>
      <c r="AL599" s="358"/>
      <c r="AM599" s="358"/>
    </row>
    <row r="600" ht="14.25" customHeight="1">
      <c r="G600" s="358"/>
      <c r="H600" s="358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  <c r="AA600" s="358"/>
      <c r="AB600" s="358"/>
      <c r="AC600" s="358"/>
      <c r="AD600" s="358"/>
      <c r="AE600" s="358"/>
      <c r="AF600" s="358"/>
      <c r="AG600" s="358"/>
      <c r="AH600" s="358"/>
      <c r="AI600" s="358"/>
      <c r="AJ600" s="358"/>
      <c r="AK600" s="358"/>
      <c r="AL600" s="358"/>
      <c r="AM600" s="358"/>
    </row>
    <row r="601" ht="14.25" customHeight="1">
      <c r="G601" s="358"/>
      <c r="H601" s="358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  <c r="AA601" s="358"/>
      <c r="AB601" s="358"/>
      <c r="AC601" s="358"/>
      <c r="AD601" s="358"/>
      <c r="AE601" s="358"/>
      <c r="AF601" s="358"/>
      <c r="AG601" s="358"/>
      <c r="AH601" s="358"/>
      <c r="AI601" s="358"/>
      <c r="AJ601" s="358"/>
      <c r="AK601" s="358"/>
      <c r="AL601" s="358"/>
      <c r="AM601" s="358"/>
    </row>
    <row r="602" ht="14.25" customHeight="1">
      <c r="G602" s="358"/>
      <c r="H602" s="358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  <c r="AA602" s="358"/>
      <c r="AB602" s="358"/>
      <c r="AC602" s="358"/>
      <c r="AD602" s="358"/>
      <c r="AE602" s="358"/>
      <c r="AF602" s="358"/>
      <c r="AG602" s="358"/>
      <c r="AH602" s="358"/>
      <c r="AI602" s="358"/>
      <c r="AJ602" s="358"/>
      <c r="AK602" s="358"/>
      <c r="AL602" s="358"/>
      <c r="AM602" s="358"/>
    </row>
    <row r="603" ht="14.25" customHeight="1">
      <c r="G603" s="358"/>
      <c r="H603" s="358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  <c r="AA603" s="358"/>
      <c r="AB603" s="358"/>
      <c r="AC603" s="358"/>
      <c r="AD603" s="358"/>
      <c r="AE603" s="358"/>
      <c r="AF603" s="358"/>
      <c r="AG603" s="358"/>
      <c r="AH603" s="358"/>
      <c r="AI603" s="358"/>
      <c r="AJ603" s="358"/>
      <c r="AK603" s="358"/>
      <c r="AL603" s="358"/>
      <c r="AM603" s="358"/>
    </row>
    <row r="604" ht="14.25" customHeight="1">
      <c r="G604" s="358"/>
      <c r="H604" s="358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  <c r="AA604" s="358"/>
      <c r="AB604" s="358"/>
      <c r="AC604" s="358"/>
      <c r="AD604" s="358"/>
      <c r="AE604" s="358"/>
      <c r="AF604" s="358"/>
      <c r="AG604" s="358"/>
      <c r="AH604" s="358"/>
      <c r="AI604" s="358"/>
      <c r="AJ604" s="358"/>
      <c r="AK604" s="358"/>
      <c r="AL604" s="358"/>
      <c r="AM604" s="358"/>
    </row>
    <row r="605" ht="14.25" customHeight="1">
      <c r="G605" s="358"/>
      <c r="H605" s="358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  <c r="AA605" s="358"/>
      <c r="AB605" s="358"/>
      <c r="AC605" s="358"/>
      <c r="AD605" s="358"/>
      <c r="AE605" s="358"/>
      <c r="AF605" s="358"/>
      <c r="AG605" s="358"/>
      <c r="AH605" s="358"/>
      <c r="AI605" s="358"/>
      <c r="AJ605" s="358"/>
      <c r="AK605" s="358"/>
      <c r="AL605" s="358"/>
      <c r="AM605" s="358"/>
    </row>
    <row r="606" ht="14.25" customHeight="1">
      <c r="G606" s="358"/>
      <c r="H606" s="358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  <c r="AA606" s="358"/>
      <c r="AB606" s="358"/>
      <c r="AC606" s="358"/>
      <c r="AD606" s="358"/>
      <c r="AE606" s="358"/>
      <c r="AF606" s="358"/>
      <c r="AG606" s="358"/>
      <c r="AH606" s="358"/>
      <c r="AI606" s="358"/>
      <c r="AJ606" s="358"/>
      <c r="AK606" s="358"/>
      <c r="AL606" s="358"/>
      <c r="AM606" s="358"/>
    </row>
    <row r="607" ht="14.25" customHeight="1">
      <c r="G607" s="358"/>
      <c r="H607" s="358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  <c r="AA607" s="358"/>
      <c r="AB607" s="358"/>
      <c r="AC607" s="358"/>
      <c r="AD607" s="358"/>
      <c r="AE607" s="358"/>
      <c r="AF607" s="358"/>
      <c r="AG607" s="358"/>
      <c r="AH607" s="358"/>
      <c r="AI607" s="358"/>
      <c r="AJ607" s="358"/>
      <c r="AK607" s="358"/>
      <c r="AL607" s="358"/>
      <c r="AM607" s="358"/>
    </row>
    <row r="608" ht="14.25" customHeight="1">
      <c r="G608" s="358"/>
      <c r="H608" s="358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  <c r="AA608" s="358"/>
      <c r="AB608" s="358"/>
      <c r="AC608" s="358"/>
      <c r="AD608" s="358"/>
      <c r="AE608" s="358"/>
      <c r="AF608" s="358"/>
      <c r="AG608" s="358"/>
      <c r="AH608" s="358"/>
      <c r="AI608" s="358"/>
      <c r="AJ608" s="358"/>
      <c r="AK608" s="358"/>
      <c r="AL608" s="358"/>
      <c r="AM608" s="358"/>
    </row>
    <row r="609" ht="14.25" customHeight="1">
      <c r="G609" s="358"/>
      <c r="H609" s="358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  <c r="AA609" s="358"/>
      <c r="AB609" s="358"/>
      <c r="AC609" s="358"/>
      <c r="AD609" s="358"/>
      <c r="AE609" s="358"/>
      <c r="AF609" s="358"/>
      <c r="AG609" s="358"/>
      <c r="AH609" s="358"/>
      <c r="AI609" s="358"/>
      <c r="AJ609" s="358"/>
      <c r="AK609" s="358"/>
      <c r="AL609" s="358"/>
      <c r="AM609" s="358"/>
    </row>
    <row r="610" ht="14.25" customHeight="1">
      <c r="G610" s="358"/>
      <c r="H610" s="358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  <c r="AA610" s="358"/>
      <c r="AB610" s="358"/>
      <c r="AC610" s="358"/>
      <c r="AD610" s="358"/>
      <c r="AE610" s="358"/>
      <c r="AF610" s="358"/>
      <c r="AG610" s="358"/>
      <c r="AH610" s="358"/>
      <c r="AI610" s="358"/>
      <c r="AJ610" s="358"/>
      <c r="AK610" s="358"/>
      <c r="AL610" s="358"/>
      <c r="AM610" s="358"/>
    </row>
    <row r="611" ht="14.25" customHeight="1">
      <c r="G611" s="358"/>
      <c r="H611" s="358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  <c r="AA611" s="358"/>
      <c r="AB611" s="358"/>
      <c r="AC611" s="358"/>
      <c r="AD611" s="358"/>
      <c r="AE611" s="358"/>
      <c r="AF611" s="358"/>
      <c r="AG611" s="358"/>
      <c r="AH611" s="358"/>
      <c r="AI611" s="358"/>
      <c r="AJ611" s="358"/>
      <c r="AK611" s="358"/>
      <c r="AL611" s="358"/>
      <c r="AM611" s="358"/>
    </row>
    <row r="612" ht="14.25" customHeight="1">
      <c r="G612" s="358"/>
      <c r="H612" s="358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  <c r="AA612" s="358"/>
      <c r="AB612" s="358"/>
      <c r="AC612" s="358"/>
      <c r="AD612" s="358"/>
      <c r="AE612" s="358"/>
      <c r="AF612" s="358"/>
      <c r="AG612" s="358"/>
      <c r="AH612" s="358"/>
      <c r="AI612" s="358"/>
      <c r="AJ612" s="358"/>
      <c r="AK612" s="358"/>
      <c r="AL612" s="358"/>
      <c r="AM612" s="358"/>
    </row>
    <row r="613" ht="14.25" customHeight="1">
      <c r="G613" s="358"/>
      <c r="H613" s="358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  <c r="AA613" s="358"/>
      <c r="AB613" s="358"/>
      <c r="AC613" s="358"/>
      <c r="AD613" s="358"/>
      <c r="AE613" s="358"/>
      <c r="AF613" s="358"/>
      <c r="AG613" s="358"/>
      <c r="AH613" s="358"/>
      <c r="AI613" s="358"/>
      <c r="AJ613" s="358"/>
      <c r="AK613" s="358"/>
      <c r="AL613" s="358"/>
      <c r="AM613" s="358"/>
    </row>
    <row r="614" ht="14.25" customHeight="1">
      <c r="G614" s="358"/>
      <c r="H614" s="358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  <c r="AA614" s="358"/>
      <c r="AB614" s="358"/>
      <c r="AC614" s="358"/>
      <c r="AD614" s="358"/>
      <c r="AE614" s="358"/>
      <c r="AF614" s="358"/>
      <c r="AG614" s="358"/>
      <c r="AH614" s="358"/>
      <c r="AI614" s="358"/>
      <c r="AJ614" s="358"/>
      <c r="AK614" s="358"/>
      <c r="AL614" s="358"/>
      <c r="AM614" s="358"/>
    </row>
    <row r="615" ht="14.25" customHeight="1">
      <c r="G615" s="358"/>
      <c r="H615" s="358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  <c r="AA615" s="358"/>
      <c r="AB615" s="358"/>
      <c r="AC615" s="358"/>
      <c r="AD615" s="358"/>
      <c r="AE615" s="358"/>
      <c r="AF615" s="358"/>
      <c r="AG615" s="358"/>
      <c r="AH615" s="358"/>
      <c r="AI615" s="358"/>
      <c r="AJ615" s="358"/>
      <c r="AK615" s="358"/>
      <c r="AL615" s="358"/>
      <c r="AM615" s="358"/>
    </row>
    <row r="616" ht="14.25" customHeight="1">
      <c r="G616" s="358"/>
      <c r="H616" s="358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  <c r="AA616" s="358"/>
      <c r="AB616" s="358"/>
      <c r="AC616" s="358"/>
      <c r="AD616" s="358"/>
      <c r="AE616" s="358"/>
      <c r="AF616" s="358"/>
      <c r="AG616" s="358"/>
      <c r="AH616" s="358"/>
      <c r="AI616" s="358"/>
      <c r="AJ616" s="358"/>
      <c r="AK616" s="358"/>
      <c r="AL616" s="358"/>
      <c r="AM616" s="358"/>
    </row>
    <row r="617" ht="14.25" customHeight="1">
      <c r="G617" s="358"/>
      <c r="H617" s="358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  <c r="AA617" s="358"/>
      <c r="AB617" s="358"/>
      <c r="AC617" s="358"/>
      <c r="AD617" s="358"/>
      <c r="AE617" s="358"/>
      <c r="AF617" s="358"/>
      <c r="AG617" s="358"/>
      <c r="AH617" s="358"/>
      <c r="AI617" s="358"/>
      <c r="AJ617" s="358"/>
      <c r="AK617" s="358"/>
      <c r="AL617" s="358"/>
      <c r="AM617" s="358"/>
    </row>
    <row r="618" ht="14.25" customHeight="1">
      <c r="G618" s="358"/>
      <c r="H618" s="358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  <c r="AA618" s="358"/>
      <c r="AB618" s="358"/>
      <c r="AC618" s="358"/>
      <c r="AD618" s="358"/>
      <c r="AE618" s="358"/>
      <c r="AF618" s="358"/>
      <c r="AG618" s="358"/>
      <c r="AH618" s="358"/>
      <c r="AI618" s="358"/>
      <c r="AJ618" s="358"/>
      <c r="AK618" s="358"/>
      <c r="AL618" s="358"/>
      <c r="AM618" s="358"/>
    </row>
    <row r="619" ht="14.25" customHeight="1">
      <c r="G619" s="358"/>
      <c r="H619" s="358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  <c r="AA619" s="358"/>
      <c r="AB619" s="358"/>
      <c r="AC619" s="358"/>
      <c r="AD619" s="358"/>
      <c r="AE619" s="358"/>
      <c r="AF619" s="358"/>
      <c r="AG619" s="358"/>
      <c r="AH619" s="358"/>
      <c r="AI619" s="358"/>
      <c r="AJ619" s="358"/>
      <c r="AK619" s="358"/>
      <c r="AL619" s="358"/>
      <c r="AM619" s="358"/>
    </row>
    <row r="620" ht="14.25" customHeight="1">
      <c r="G620" s="358"/>
      <c r="H620" s="358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  <c r="AA620" s="358"/>
      <c r="AB620" s="358"/>
      <c r="AC620" s="358"/>
      <c r="AD620" s="358"/>
      <c r="AE620" s="358"/>
      <c r="AF620" s="358"/>
      <c r="AG620" s="358"/>
      <c r="AH620" s="358"/>
      <c r="AI620" s="358"/>
      <c r="AJ620" s="358"/>
      <c r="AK620" s="358"/>
      <c r="AL620" s="358"/>
      <c r="AM620" s="358"/>
    </row>
    <row r="621" ht="14.25" customHeight="1">
      <c r="G621" s="358"/>
      <c r="H621" s="358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  <c r="AA621" s="358"/>
      <c r="AB621" s="358"/>
      <c r="AC621" s="358"/>
      <c r="AD621" s="358"/>
      <c r="AE621" s="358"/>
      <c r="AF621" s="358"/>
      <c r="AG621" s="358"/>
      <c r="AH621" s="358"/>
      <c r="AI621" s="358"/>
      <c r="AJ621" s="358"/>
      <c r="AK621" s="358"/>
      <c r="AL621" s="358"/>
      <c r="AM621" s="358"/>
    </row>
    <row r="622" ht="14.25" customHeight="1">
      <c r="G622" s="358"/>
      <c r="H622" s="358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  <c r="AA622" s="358"/>
      <c r="AB622" s="358"/>
      <c r="AC622" s="358"/>
      <c r="AD622" s="358"/>
      <c r="AE622" s="358"/>
      <c r="AF622" s="358"/>
      <c r="AG622" s="358"/>
      <c r="AH622" s="358"/>
      <c r="AI622" s="358"/>
      <c r="AJ622" s="358"/>
      <c r="AK622" s="358"/>
      <c r="AL622" s="358"/>
      <c r="AM622" s="358"/>
    </row>
    <row r="623" ht="14.25" customHeight="1">
      <c r="G623" s="358"/>
      <c r="H623" s="358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  <c r="AA623" s="358"/>
      <c r="AB623" s="358"/>
      <c r="AC623" s="358"/>
      <c r="AD623" s="358"/>
      <c r="AE623" s="358"/>
      <c r="AF623" s="358"/>
      <c r="AG623" s="358"/>
      <c r="AH623" s="358"/>
      <c r="AI623" s="358"/>
      <c r="AJ623" s="358"/>
      <c r="AK623" s="358"/>
      <c r="AL623" s="358"/>
      <c r="AM623" s="358"/>
    </row>
    <row r="624" ht="14.25" customHeight="1">
      <c r="G624" s="358"/>
      <c r="H624" s="358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  <c r="AA624" s="358"/>
      <c r="AB624" s="358"/>
      <c r="AC624" s="358"/>
      <c r="AD624" s="358"/>
      <c r="AE624" s="358"/>
      <c r="AF624" s="358"/>
      <c r="AG624" s="358"/>
      <c r="AH624" s="358"/>
      <c r="AI624" s="358"/>
      <c r="AJ624" s="358"/>
      <c r="AK624" s="358"/>
      <c r="AL624" s="358"/>
      <c r="AM624" s="358"/>
    </row>
    <row r="625" ht="14.25" customHeight="1">
      <c r="G625" s="358"/>
      <c r="H625" s="358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  <c r="AA625" s="358"/>
      <c r="AB625" s="358"/>
      <c r="AC625" s="358"/>
      <c r="AD625" s="358"/>
      <c r="AE625" s="358"/>
      <c r="AF625" s="358"/>
      <c r="AG625" s="358"/>
      <c r="AH625" s="358"/>
      <c r="AI625" s="358"/>
      <c r="AJ625" s="358"/>
      <c r="AK625" s="358"/>
      <c r="AL625" s="358"/>
      <c r="AM625" s="358"/>
    </row>
    <row r="626" ht="14.25" customHeight="1">
      <c r="G626" s="358"/>
      <c r="H626" s="358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  <c r="AA626" s="358"/>
      <c r="AB626" s="358"/>
      <c r="AC626" s="358"/>
      <c r="AD626" s="358"/>
      <c r="AE626" s="358"/>
      <c r="AF626" s="358"/>
      <c r="AG626" s="358"/>
      <c r="AH626" s="358"/>
      <c r="AI626" s="358"/>
      <c r="AJ626" s="358"/>
      <c r="AK626" s="358"/>
      <c r="AL626" s="358"/>
      <c r="AM626" s="358"/>
    </row>
    <row r="627" ht="14.25" customHeight="1">
      <c r="G627" s="358"/>
      <c r="H627" s="358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  <c r="AA627" s="358"/>
      <c r="AB627" s="358"/>
      <c r="AC627" s="358"/>
      <c r="AD627" s="358"/>
      <c r="AE627" s="358"/>
      <c r="AF627" s="358"/>
      <c r="AG627" s="358"/>
      <c r="AH627" s="358"/>
      <c r="AI627" s="358"/>
      <c r="AJ627" s="358"/>
      <c r="AK627" s="358"/>
      <c r="AL627" s="358"/>
      <c r="AM627" s="358"/>
    </row>
    <row r="628" ht="14.25" customHeight="1">
      <c r="G628" s="358"/>
      <c r="H628" s="358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  <c r="AA628" s="358"/>
      <c r="AB628" s="358"/>
      <c r="AC628" s="358"/>
      <c r="AD628" s="358"/>
      <c r="AE628" s="358"/>
      <c r="AF628" s="358"/>
      <c r="AG628" s="358"/>
      <c r="AH628" s="358"/>
      <c r="AI628" s="358"/>
      <c r="AJ628" s="358"/>
      <c r="AK628" s="358"/>
      <c r="AL628" s="358"/>
      <c r="AM628" s="358"/>
    </row>
    <row r="629" ht="14.25" customHeight="1">
      <c r="G629" s="358"/>
      <c r="H629" s="358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  <c r="AA629" s="358"/>
      <c r="AB629" s="358"/>
      <c r="AC629" s="358"/>
      <c r="AD629" s="358"/>
      <c r="AE629" s="358"/>
      <c r="AF629" s="358"/>
      <c r="AG629" s="358"/>
      <c r="AH629" s="358"/>
      <c r="AI629" s="358"/>
      <c r="AJ629" s="358"/>
      <c r="AK629" s="358"/>
      <c r="AL629" s="358"/>
      <c r="AM629" s="358"/>
    </row>
    <row r="630" ht="14.25" customHeight="1">
      <c r="G630" s="358"/>
      <c r="H630" s="358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  <c r="AA630" s="358"/>
      <c r="AB630" s="358"/>
      <c r="AC630" s="358"/>
      <c r="AD630" s="358"/>
      <c r="AE630" s="358"/>
      <c r="AF630" s="358"/>
      <c r="AG630" s="358"/>
      <c r="AH630" s="358"/>
      <c r="AI630" s="358"/>
      <c r="AJ630" s="358"/>
      <c r="AK630" s="358"/>
      <c r="AL630" s="358"/>
      <c r="AM630" s="358"/>
    </row>
    <row r="631" ht="14.25" customHeight="1">
      <c r="G631" s="358"/>
      <c r="H631" s="358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  <c r="AA631" s="358"/>
      <c r="AB631" s="358"/>
      <c r="AC631" s="358"/>
      <c r="AD631" s="358"/>
      <c r="AE631" s="358"/>
      <c r="AF631" s="358"/>
      <c r="AG631" s="358"/>
      <c r="AH631" s="358"/>
      <c r="AI631" s="358"/>
      <c r="AJ631" s="358"/>
      <c r="AK631" s="358"/>
      <c r="AL631" s="358"/>
      <c r="AM631" s="358"/>
    </row>
    <row r="632" ht="14.25" customHeight="1">
      <c r="G632" s="358"/>
      <c r="H632" s="358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  <c r="AA632" s="358"/>
      <c r="AB632" s="358"/>
      <c r="AC632" s="358"/>
      <c r="AD632" s="358"/>
      <c r="AE632" s="358"/>
      <c r="AF632" s="358"/>
      <c r="AG632" s="358"/>
      <c r="AH632" s="358"/>
      <c r="AI632" s="358"/>
      <c r="AJ632" s="358"/>
      <c r="AK632" s="358"/>
      <c r="AL632" s="358"/>
      <c r="AM632" s="358"/>
    </row>
    <row r="633" ht="14.25" customHeight="1">
      <c r="G633" s="358"/>
      <c r="H633" s="358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  <c r="AA633" s="358"/>
      <c r="AB633" s="358"/>
      <c r="AC633" s="358"/>
      <c r="AD633" s="358"/>
      <c r="AE633" s="358"/>
      <c r="AF633" s="358"/>
      <c r="AG633" s="358"/>
      <c r="AH633" s="358"/>
      <c r="AI633" s="358"/>
      <c r="AJ633" s="358"/>
      <c r="AK633" s="358"/>
      <c r="AL633" s="358"/>
      <c r="AM633" s="358"/>
    </row>
    <row r="634" ht="14.25" customHeight="1">
      <c r="G634" s="358"/>
      <c r="H634" s="358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  <c r="AA634" s="358"/>
      <c r="AB634" s="358"/>
      <c r="AC634" s="358"/>
      <c r="AD634" s="358"/>
      <c r="AE634" s="358"/>
      <c r="AF634" s="358"/>
      <c r="AG634" s="358"/>
      <c r="AH634" s="358"/>
      <c r="AI634" s="358"/>
      <c r="AJ634" s="358"/>
      <c r="AK634" s="358"/>
      <c r="AL634" s="358"/>
      <c r="AM634" s="358"/>
    </row>
    <row r="635" ht="14.25" customHeight="1">
      <c r="G635" s="358"/>
      <c r="H635" s="358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  <c r="AA635" s="358"/>
      <c r="AB635" s="358"/>
      <c r="AC635" s="358"/>
      <c r="AD635" s="358"/>
      <c r="AE635" s="358"/>
      <c r="AF635" s="358"/>
      <c r="AG635" s="358"/>
      <c r="AH635" s="358"/>
      <c r="AI635" s="358"/>
      <c r="AJ635" s="358"/>
      <c r="AK635" s="358"/>
      <c r="AL635" s="358"/>
      <c r="AM635" s="358"/>
    </row>
    <row r="636" ht="14.25" customHeight="1">
      <c r="G636" s="358"/>
      <c r="H636" s="358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  <c r="AA636" s="358"/>
      <c r="AB636" s="358"/>
      <c r="AC636" s="358"/>
      <c r="AD636" s="358"/>
      <c r="AE636" s="358"/>
      <c r="AF636" s="358"/>
      <c r="AG636" s="358"/>
      <c r="AH636" s="358"/>
      <c r="AI636" s="358"/>
      <c r="AJ636" s="358"/>
      <c r="AK636" s="358"/>
      <c r="AL636" s="358"/>
      <c r="AM636" s="358"/>
    </row>
    <row r="637" ht="14.25" customHeight="1">
      <c r="G637" s="358"/>
      <c r="H637" s="358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  <c r="AA637" s="358"/>
      <c r="AB637" s="358"/>
      <c r="AC637" s="358"/>
      <c r="AD637" s="358"/>
      <c r="AE637" s="358"/>
      <c r="AF637" s="358"/>
      <c r="AG637" s="358"/>
      <c r="AH637" s="358"/>
      <c r="AI637" s="358"/>
      <c r="AJ637" s="358"/>
      <c r="AK637" s="358"/>
      <c r="AL637" s="358"/>
      <c r="AM637" s="358"/>
    </row>
    <row r="638" ht="14.25" customHeight="1">
      <c r="G638" s="358"/>
      <c r="H638" s="358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  <c r="AA638" s="358"/>
      <c r="AB638" s="358"/>
      <c r="AC638" s="358"/>
      <c r="AD638" s="358"/>
      <c r="AE638" s="358"/>
      <c r="AF638" s="358"/>
      <c r="AG638" s="358"/>
      <c r="AH638" s="358"/>
      <c r="AI638" s="358"/>
      <c r="AJ638" s="358"/>
      <c r="AK638" s="358"/>
      <c r="AL638" s="358"/>
      <c r="AM638" s="358"/>
    </row>
    <row r="639" ht="14.25" customHeight="1">
      <c r="G639" s="358"/>
      <c r="H639" s="358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  <c r="AA639" s="358"/>
      <c r="AB639" s="358"/>
      <c r="AC639" s="358"/>
      <c r="AD639" s="358"/>
      <c r="AE639" s="358"/>
      <c r="AF639" s="358"/>
      <c r="AG639" s="358"/>
      <c r="AH639" s="358"/>
      <c r="AI639" s="358"/>
      <c r="AJ639" s="358"/>
      <c r="AK639" s="358"/>
      <c r="AL639" s="358"/>
      <c r="AM639" s="358"/>
    </row>
    <row r="640" ht="14.25" customHeight="1">
      <c r="G640" s="358"/>
      <c r="H640" s="358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  <c r="AA640" s="358"/>
      <c r="AB640" s="358"/>
      <c r="AC640" s="358"/>
      <c r="AD640" s="358"/>
      <c r="AE640" s="358"/>
      <c r="AF640" s="358"/>
      <c r="AG640" s="358"/>
      <c r="AH640" s="358"/>
      <c r="AI640" s="358"/>
      <c r="AJ640" s="358"/>
      <c r="AK640" s="358"/>
      <c r="AL640" s="358"/>
      <c r="AM640" s="358"/>
    </row>
    <row r="641" ht="14.25" customHeight="1">
      <c r="G641" s="358"/>
      <c r="H641" s="358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  <c r="AA641" s="358"/>
      <c r="AB641" s="358"/>
      <c r="AC641" s="358"/>
      <c r="AD641" s="358"/>
      <c r="AE641" s="358"/>
      <c r="AF641" s="358"/>
      <c r="AG641" s="358"/>
      <c r="AH641" s="358"/>
      <c r="AI641" s="358"/>
      <c r="AJ641" s="358"/>
      <c r="AK641" s="358"/>
      <c r="AL641" s="358"/>
      <c r="AM641" s="358"/>
    </row>
    <row r="642" ht="14.25" customHeight="1">
      <c r="G642" s="358"/>
      <c r="H642" s="358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  <c r="AA642" s="358"/>
      <c r="AB642" s="358"/>
      <c r="AC642" s="358"/>
      <c r="AD642" s="358"/>
      <c r="AE642" s="358"/>
      <c r="AF642" s="358"/>
      <c r="AG642" s="358"/>
      <c r="AH642" s="358"/>
      <c r="AI642" s="358"/>
      <c r="AJ642" s="358"/>
      <c r="AK642" s="358"/>
      <c r="AL642" s="358"/>
      <c r="AM642" s="358"/>
    </row>
    <row r="643" ht="14.25" customHeight="1">
      <c r="G643" s="358"/>
      <c r="H643" s="358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  <c r="AA643" s="358"/>
      <c r="AB643" s="358"/>
      <c r="AC643" s="358"/>
      <c r="AD643" s="358"/>
      <c r="AE643" s="358"/>
      <c r="AF643" s="358"/>
      <c r="AG643" s="358"/>
      <c r="AH643" s="358"/>
      <c r="AI643" s="358"/>
      <c r="AJ643" s="358"/>
      <c r="AK643" s="358"/>
      <c r="AL643" s="358"/>
      <c r="AM643" s="358"/>
    </row>
    <row r="644" ht="14.25" customHeight="1">
      <c r="G644" s="358"/>
      <c r="H644" s="358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  <c r="AA644" s="358"/>
      <c r="AB644" s="358"/>
      <c r="AC644" s="358"/>
      <c r="AD644" s="358"/>
      <c r="AE644" s="358"/>
      <c r="AF644" s="358"/>
      <c r="AG644" s="358"/>
      <c r="AH644" s="358"/>
      <c r="AI644" s="358"/>
      <c r="AJ644" s="358"/>
      <c r="AK644" s="358"/>
      <c r="AL644" s="358"/>
      <c r="AM644" s="358"/>
    </row>
    <row r="645" ht="14.25" customHeight="1">
      <c r="G645" s="358"/>
      <c r="H645" s="358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  <c r="AA645" s="358"/>
      <c r="AB645" s="358"/>
      <c r="AC645" s="358"/>
      <c r="AD645" s="358"/>
      <c r="AE645" s="358"/>
      <c r="AF645" s="358"/>
      <c r="AG645" s="358"/>
      <c r="AH645" s="358"/>
      <c r="AI645" s="358"/>
      <c r="AJ645" s="358"/>
      <c r="AK645" s="358"/>
      <c r="AL645" s="358"/>
      <c r="AM645" s="358"/>
    </row>
    <row r="646" ht="14.25" customHeight="1">
      <c r="G646" s="358"/>
      <c r="H646" s="358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  <c r="AA646" s="358"/>
      <c r="AB646" s="358"/>
      <c r="AC646" s="358"/>
      <c r="AD646" s="358"/>
      <c r="AE646" s="358"/>
      <c r="AF646" s="358"/>
      <c r="AG646" s="358"/>
      <c r="AH646" s="358"/>
      <c r="AI646" s="358"/>
      <c r="AJ646" s="358"/>
      <c r="AK646" s="358"/>
      <c r="AL646" s="358"/>
      <c r="AM646" s="358"/>
    </row>
    <row r="647" ht="14.25" customHeight="1">
      <c r="G647" s="358"/>
      <c r="H647" s="358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  <c r="AA647" s="358"/>
      <c r="AB647" s="358"/>
      <c r="AC647" s="358"/>
      <c r="AD647" s="358"/>
      <c r="AE647" s="358"/>
      <c r="AF647" s="358"/>
      <c r="AG647" s="358"/>
      <c r="AH647" s="358"/>
      <c r="AI647" s="358"/>
      <c r="AJ647" s="358"/>
      <c r="AK647" s="358"/>
      <c r="AL647" s="358"/>
      <c r="AM647" s="358"/>
    </row>
    <row r="648" ht="14.25" customHeight="1">
      <c r="G648" s="358"/>
      <c r="H648" s="358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  <c r="AA648" s="358"/>
      <c r="AB648" s="358"/>
      <c r="AC648" s="358"/>
      <c r="AD648" s="358"/>
      <c r="AE648" s="358"/>
      <c r="AF648" s="358"/>
      <c r="AG648" s="358"/>
      <c r="AH648" s="358"/>
      <c r="AI648" s="358"/>
      <c r="AJ648" s="358"/>
      <c r="AK648" s="358"/>
      <c r="AL648" s="358"/>
      <c r="AM648" s="358"/>
    </row>
    <row r="649" ht="14.25" customHeight="1">
      <c r="G649" s="358"/>
      <c r="H649" s="358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  <c r="AA649" s="358"/>
      <c r="AB649" s="358"/>
      <c r="AC649" s="358"/>
      <c r="AD649" s="358"/>
      <c r="AE649" s="358"/>
      <c r="AF649" s="358"/>
      <c r="AG649" s="358"/>
      <c r="AH649" s="358"/>
      <c r="AI649" s="358"/>
      <c r="AJ649" s="358"/>
      <c r="AK649" s="358"/>
      <c r="AL649" s="358"/>
      <c r="AM649" s="358"/>
    </row>
    <row r="650" ht="14.25" customHeight="1">
      <c r="G650" s="358"/>
      <c r="H650" s="358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  <c r="AA650" s="358"/>
      <c r="AB650" s="358"/>
      <c r="AC650" s="358"/>
      <c r="AD650" s="358"/>
      <c r="AE650" s="358"/>
      <c r="AF650" s="358"/>
      <c r="AG650" s="358"/>
      <c r="AH650" s="358"/>
      <c r="AI650" s="358"/>
      <c r="AJ650" s="358"/>
      <c r="AK650" s="358"/>
      <c r="AL650" s="358"/>
      <c r="AM650" s="358"/>
    </row>
    <row r="651" ht="14.25" customHeight="1">
      <c r="G651" s="358"/>
      <c r="H651" s="358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  <c r="AA651" s="358"/>
      <c r="AB651" s="358"/>
      <c r="AC651" s="358"/>
      <c r="AD651" s="358"/>
      <c r="AE651" s="358"/>
      <c r="AF651" s="358"/>
      <c r="AG651" s="358"/>
      <c r="AH651" s="358"/>
      <c r="AI651" s="358"/>
      <c r="AJ651" s="358"/>
      <c r="AK651" s="358"/>
      <c r="AL651" s="358"/>
      <c r="AM651" s="358"/>
    </row>
    <row r="652" ht="14.25" customHeight="1">
      <c r="G652" s="358"/>
      <c r="H652" s="358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  <c r="AA652" s="358"/>
      <c r="AB652" s="358"/>
      <c r="AC652" s="358"/>
      <c r="AD652" s="358"/>
      <c r="AE652" s="358"/>
      <c r="AF652" s="358"/>
      <c r="AG652" s="358"/>
      <c r="AH652" s="358"/>
      <c r="AI652" s="358"/>
      <c r="AJ652" s="358"/>
      <c r="AK652" s="358"/>
      <c r="AL652" s="358"/>
      <c r="AM652" s="358"/>
    </row>
    <row r="653" ht="14.25" customHeight="1">
      <c r="G653" s="358"/>
      <c r="H653" s="358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  <c r="AA653" s="358"/>
      <c r="AB653" s="358"/>
      <c r="AC653" s="358"/>
      <c r="AD653" s="358"/>
      <c r="AE653" s="358"/>
      <c r="AF653" s="358"/>
      <c r="AG653" s="358"/>
      <c r="AH653" s="358"/>
      <c r="AI653" s="358"/>
      <c r="AJ653" s="358"/>
      <c r="AK653" s="358"/>
      <c r="AL653" s="358"/>
      <c r="AM653" s="358"/>
    </row>
    <row r="654" ht="14.25" customHeight="1">
      <c r="G654" s="358"/>
      <c r="H654" s="358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  <c r="AA654" s="358"/>
      <c r="AB654" s="358"/>
      <c r="AC654" s="358"/>
      <c r="AD654" s="358"/>
      <c r="AE654" s="358"/>
      <c r="AF654" s="358"/>
      <c r="AG654" s="358"/>
      <c r="AH654" s="358"/>
      <c r="AI654" s="358"/>
      <c r="AJ654" s="358"/>
      <c r="AK654" s="358"/>
      <c r="AL654" s="358"/>
      <c r="AM654" s="358"/>
    </row>
    <row r="655" ht="14.25" customHeight="1">
      <c r="G655" s="358"/>
      <c r="H655" s="358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  <c r="AA655" s="358"/>
      <c r="AB655" s="358"/>
      <c r="AC655" s="358"/>
      <c r="AD655" s="358"/>
      <c r="AE655" s="358"/>
      <c r="AF655" s="358"/>
      <c r="AG655" s="358"/>
      <c r="AH655" s="358"/>
      <c r="AI655" s="358"/>
      <c r="AJ655" s="358"/>
      <c r="AK655" s="358"/>
      <c r="AL655" s="358"/>
      <c r="AM655" s="358"/>
    </row>
    <row r="656" ht="14.25" customHeight="1">
      <c r="G656" s="358"/>
      <c r="H656" s="358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  <c r="AA656" s="358"/>
      <c r="AB656" s="358"/>
      <c r="AC656" s="358"/>
      <c r="AD656" s="358"/>
      <c r="AE656" s="358"/>
      <c r="AF656" s="358"/>
      <c r="AG656" s="358"/>
      <c r="AH656" s="358"/>
      <c r="AI656" s="358"/>
      <c r="AJ656" s="358"/>
      <c r="AK656" s="358"/>
      <c r="AL656" s="358"/>
      <c r="AM656" s="358"/>
    </row>
    <row r="657" ht="14.25" customHeight="1">
      <c r="G657" s="358"/>
      <c r="H657" s="358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  <c r="AA657" s="358"/>
      <c r="AB657" s="358"/>
      <c r="AC657" s="358"/>
      <c r="AD657" s="358"/>
      <c r="AE657" s="358"/>
      <c r="AF657" s="358"/>
      <c r="AG657" s="358"/>
      <c r="AH657" s="358"/>
      <c r="AI657" s="358"/>
      <c r="AJ657" s="358"/>
      <c r="AK657" s="358"/>
      <c r="AL657" s="358"/>
      <c r="AM657" s="358"/>
    </row>
    <row r="658" ht="14.25" customHeight="1">
      <c r="G658" s="358"/>
      <c r="H658" s="358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  <c r="AA658" s="358"/>
      <c r="AB658" s="358"/>
      <c r="AC658" s="358"/>
      <c r="AD658" s="358"/>
      <c r="AE658" s="358"/>
      <c r="AF658" s="358"/>
      <c r="AG658" s="358"/>
      <c r="AH658" s="358"/>
      <c r="AI658" s="358"/>
      <c r="AJ658" s="358"/>
      <c r="AK658" s="358"/>
      <c r="AL658" s="358"/>
      <c r="AM658" s="358"/>
    </row>
    <row r="659" ht="14.25" customHeight="1">
      <c r="G659" s="358"/>
      <c r="H659" s="358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  <c r="AA659" s="358"/>
      <c r="AB659" s="358"/>
      <c r="AC659" s="358"/>
      <c r="AD659" s="358"/>
      <c r="AE659" s="358"/>
      <c r="AF659" s="358"/>
      <c r="AG659" s="358"/>
      <c r="AH659" s="358"/>
      <c r="AI659" s="358"/>
      <c r="AJ659" s="358"/>
      <c r="AK659" s="358"/>
      <c r="AL659" s="358"/>
      <c r="AM659" s="358"/>
    </row>
    <row r="660" ht="14.25" customHeight="1">
      <c r="G660" s="358"/>
      <c r="H660" s="358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  <c r="AA660" s="358"/>
      <c r="AB660" s="358"/>
      <c r="AC660" s="358"/>
      <c r="AD660" s="358"/>
      <c r="AE660" s="358"/>
      <c r="AF660" s="358"/>
      <c r="AG660" s="358"/>
      <c r="AH660" s="358"/>
      <c r="AI660" s="358"/>
      <c r="AJ660" s="358"/>
      <c r="AK660" s="358"/>
      <c r="AL660" s="358"/>
      <c r="AM660" s="358"/>
    </row>
    <row r="661" ht="14.25" customHeight="1">
      <c r="G661" s="358"/>
      <c r="H661" s="358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  <c r="AA661" s="358"/>
      <c r="AB661" s="358"/>
      <c r="AC661" s="358"/>
      <c r="AD661" s="358"/>
      <c r="AE661" s="358"/>
      <c r="AF661" s="358"/>
      <c r="AG661" s="358"/>
      <c r="AH661" s="358"/>
      <c r="AI661" s="358"/>
      <c r="AJ661" s="358"/>
      <c r="AK661" s="358"/>
      <c r="AL661" s="358"/>
      <c r="AM661" s="358"/>
    </row>
    <row r="662" ht="14.25" customHeight="1">
      <c r="G662" s="358"/>
      <c r="H662" s="358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  <c r="AA662" s="358"/>
      <c r="AB662" s="358"/>
      <c r="AC662" s="358"/>
      <c r="AD662" s="358"/>
      <c r="AE662" s="358"/>
      <c r="AF662" s="358"/>
      <c r="AG662" s="358"/>
      <c r="AH662" s="358"/>
      <c r="AI662" s="358"/>
      <c r="AJ662" s="358"/>
      <c r="AK662" s="358"/>
      <c r="AL662" s="358"/>
      <c r="AM662" s="358"/>
    </row>
    <row r="663" ht="14.25" customHeight="1">
      <c r="G663" s="358"/>
      <c r="H663" s="358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  <c r="AA663" s="358"/>
      <c r="AB663" s="358"/>
      <c r="AC663" s="358"/>
      <c r="AD663" s="358"/>
      <c r="AE663" s="358"/>
      <c r="AF663" s="358"/>
      <c r="AG663" s="358"/>
      <c r="AH663" s="358"/>
      <c r="AI663" s="358"/>
      <c r="AJ663" s="358"/>
      <c r="AK663" s="358"/>
      <c r="AL663" s="358"/>
      <c r="AM663" s="358"/>
    </row>
    <row r="664" ht="14.25" customHeight="1">
      <c r="G664" s="358"/>
      <c r="H664" s="358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  <c r="AA664" s="358"/>
      <c r="AB664" s="358"/>
      <c r="AC664" s="358"/>
      <c r="AD664" s="358"/>
      <c r="AE664" s="358"/>
      <c r="AF664" s="358"/>
      <c r="AG664" s="358"/>
      <c r="AH664" s="358"/>
      <c r="AI664" s="358"/>
      <c r="AJ664" s="358"/>
      <c r="AK664" s="358"/>
      <c r="AL664" s="358"/>
      <c r="AM664" s="358"/>
    </row>
    <row r="665" ht="14.25" customHeight="1">
      <c r="G665" s="358"/>
      <c r="H665" s="358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  <c r="AA665" s="358"/>
      <c r="AB665" s="358"/>
      <c r="AC665" s="358"/>
      <c r="AD665" s="358"/>
      <c r="AE665" s="358"/>
      <c r="AF665" s="358"/>
      <c r="AG665" s="358"/>
      <c r="AH665" s="358"/>
      <c r="AI665" s="358"/>
      <c r="AJ665" s="358"/>
      <c r="AK665" s="358"/>
      <c r="AL665" s="358"/>
      <c r="AM665" s="358"/>
    </row>
    <row r="666" ht="14.25" customHeight="1">
      <c r="G666" s="358"/>
      <c r="H666" s="358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  <c r="AA666" s="358"/>
      <c r="AB666" s="358"/>
      <c r="AC666" s="358"/>
      <c r="AD666" s="358"/>
      <c r="AE666" s="358"/>
      <c r="AF666" s="358"/>
      <c r="AG666" s="358"/>
      <c r="AH666" s="358"/>
      <c r="AI666" s="358"/>
      <c r="AJ666" s="358"/>
      <c r="AK666" s="358"/>
      <c r="AL666" s="358"/>
      <c r="AM666" s="358"/>
    </row>
    <row r="667" ht="14.25" customHeight="1">
      <c r="G667" s="358"/>
      <c r="H667" s="358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  <c r="AA667" s="358"/>
      <c r="AB667" s="358"/>
      <c r="AC667" s="358"/>
      <c r="AD667" s="358"/>
      <c r="AE667" s="358"/>
      <c r="AF667" s="358"/>
      <c r="AG667" s="358"/>
      <c r="AH667" s="358"/>
      <c r="AI667" s="358"/>
      <c r="AJ667" s="358"/>
      <c r="AK667" s="358"/>
      <c r="AL667" s="358"/>
      <c r="AM667" s="358"/>
    </row>
    <row r="668" ht="14.25" customHeight="1"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  <c r="AA668" s="358"/>
      <c r="AB668" s="358"/>
      <c r="AC668" s="358"/>
      <c r="AD668" s="358"/>
      <c r="AE668" s="358"/>
      <c r="AF668" s="358"/>
      <c r="AG668" s="358"/>
      <c r="AH668" s="358"/>
      <c r="AI668" s="358"/>
      <c r="AJ668" s="358"/>
      <c r="AK668" s="358"/>
      <c r="AL668" s="358"/>
      <c r="AM668" s="358"/>
    </row>
    <row r="669" ht="14.25" customHeight="1">
      <c r="G669" s="358"/>
      <c r="H669" s="358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  <c r="AA669" s="358"/>
      <c r="AB669" s="358"/>
      <c r="AC669" s="358"/>
      <c r="AD669" s="358"/>
      <c r="AE669" s="358"/>
      <c r="AF669" s="358"/>
      <c r="AG669" s="358"/>
      <c r="AH669" s="358"/>
      <c r="AI669" s="358"/>
      <c r="AJ669" s="358"/>
      <c r="AK669" s="358"/>
      <c r="AL669" s="358"/>
      <c r="AM669" s="358"/>
    </row>
    <row r="670" ht="14.25" customHeight="1">
      <c r="G670" s="358"/>
      <c r="H670" s="358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  <c r="AA670" s="358"/>
      <c r="AB670" s="358"/>
      <c r="AC670" s="358"/>
      <c r="AD670" s="358"/>
      <c r="AE670" s="358"/>
      <c r="AF670" s="358"/>
      <c r="AG670" s="358"/>
      <c r="AH670" s="358"/>
      <c r="AI670" s="358"/>
      <c r="AJ670" s="358"/>
      <c r="AK670" s="358"/>
      <c r="AL670" s="358"/>
      <c r="AM670" s="358"/>
    </row>
    <row r="671" ht="14.25" customHeight="1">
      <c r="G671" s="358"/>
      <c r="H671" s="358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  <c r="AA671" s="358"/>
      <c r="AB671" s="358"/>
      <c r="AC671" s="358"/>
      <c r="AD671" s="358"/>
      <c r="AE671" s="358"/>
      <c r="AF671" s="358"/>
      <c r="AG671" s="358"/>
      <c r="AH671" s="358"/>
      <c r="AI671" s="358"/>
      <c r="AJ671" s="358"/>
      <c r="AK671" s="358"/>
      <c r="AL671" s="358"/>
      <c r="AM671" s="358"/>
    </row>
    <row r="672" ht="14.25" customHeight="1">
      <c r="G672" s="358"/>
      <c r="H672" s="358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  <c r="AA672" s="358"/>
      <c r="AB672" s="358"/>
      <c r="AC672" s="358"/>
      <c r="AD672" s="358"/>
      <c r="AE672" s="358"/>
      <c r="AF672" s="358"/>
      <c r="AG672" s="358"/>
      <c r="AH672" s="358"/>
      <c r="AI672" s="358"/>
      <c r="AJ672" s="358"/>
      <c r="AK672" s="358"/>
      <c r="AL672" s="358"/>
      <c r="AM672" s="358"/>
    </row>
    <row r="673" ht="14.25" customHeight="1">
      <c r="G673" s="358"/>
      <c r="H673" s="358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  <c r="AA673" s="358"/>
      <c r="AB673" s="358"/>
      <c r="AC673" s="358"/>
      <c r="AD673" s="358"/>
      <c r="AE673" s="358"/>
      <c r="AF673" s="358"/>
      <c r="AG673" s="358"/>
      <c r="AH673" s="358"/>
      <c r="AI673" s="358"/>
      <c r="AJ673" s="358"/>
      <c r="AK673" s="358"/>
      <c r="AL673" s="358"/>
      <c r="AM673" s="358"/>
    </row>
    <row r="674" ht="14.25" customHeight="1">
      <c r="G674" s="358"/>
      <c r="H674" s="358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  <c r="AA674" s="358"/>
      <c r="AB674" s="358"/>
      <c r="AC674" s="358"/>
      <c r="AD674" s="358"/>
      <c r="AE674" s="358"/>
      <c r="AF674" s="358"/>
      <c r="AG674" s="358"/>
      <c r="AH674" s="358"/>
      <c r="AI674" s="358"/>
      <c r="AJ674" s="358"/>
      <c r="AK674" s="358"/>
      <c r="AL674" s="358"/>
      <c r="AM674" s="358"/>
    </row>
    <row r="675" ht="14.25" customHeight="1">
      <c r="G675" s="358"/>
      <c r="H675" s="358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  <c r="AA675" s="358"/>
      <c r="AB675" s="358"/>
      <c r="AC675" s="358"/>
      <c r="AD675" s="358"/>
      <c r="AE675" s="358"/>
      <c r="AF675" s="358"/>
      <c r="AG675" s="358"/>
      <c r="AH675" s="358"/>
      <c r="AI675" s="358"/>
      <c r="AJ675" s="358"/>
      <c r="AK675" s="358"/>
      <c r="AL675" s="358"/>
      <c r="AM675" s="358"/>
    </row>
    <row r="676" ht="14.25" customHeight="1">
      <c r="G676" s="358"/>
      <c r="H676" s="358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  <c r="AA676" s="358"/>
      <c r="AB676" s="358"/>
      <c r="AC676" s="358"/>
      <c r="AD676" s="358"/>
      <c r="AE676" s="358"/>
      <c r="AF676" s="358"/>
      <c r="AG676" s="358"/>
      <c r="AH676" s="358"/>
      <c r="AI676" s="358"/>
      <c r="AJ676" s="358"/>
      <c r="AK676" s="358"/>
      <c r="AL676" s="358"/>
      <c r="AM676" s="358"/>
    </row>
    <row r="677" ht="14.25" customHeight="1">
      <c r="G677" s="358"/>
      <c r="H677" s="358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  <c r="AA677" s="358"/>
      <c r="AB677" s="358"/>
      <c r="AC677" s="358"/>
      <c r="AD677" s="358"/>
      <c r="AE677" s="358"/>
      <c r="AF677" s="358"/>
      <c r="AG677" s="358"/>
      <c r="AH677" s="358"/>
      <c r="AI677" s="358"/>
      <c r="AJ677" s="358"/>
      <c r="AK677" s="358"/>
      <c r="AL677" s="358"/>
      <c r="AM677" s="358"/>
    </row>
    <row r="678" ht="14.25" customHeight="1">
      <c r="G678" s="358"/>
      <c r="H678" s="358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  <c r="AA678" s="358"/>
      <c r="AB678" s="358"/>
      <c r="AC678" s="358"/>
      <c r="AD678" s="358"/>
      <c r="AE678" s="358"/>
      <c r="AF678" s="358"/>
      <c r="AG678" s="358"/>
      <c r="AH678" s="358"/>
      <c r="AI678" s="358"/>
      <c r="AJ678" s="358"/>
      <c r="AK678" s="358"/>
      <c r="AL678" s="358"/>
      <c r="AM678" s="358"/>
    </row>
    <row r="679" ht="14.25" customHeight="1">
      <c r="G679" s="358"/>
      <c r="H679" s="358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  <c r="AA679" s="358"/>
      <c r="AB679" s="358"/>
      <c r="AC679" s="358"/>
      <c r="AD679" s="358"/>
      <c r="AE679" s="358"/>
      <c r="AF679" s="358"/>
      <c r="AG679" s="358"/>
      <c r="AH679" s="358"/>
      <c r="AI679" s="358"/>
      <c r="AJ679" s="358"/>
      <c r="AK679" s="358"/>
      <c r="AL679" s="358"/>
      <c r="AM679" s="358"/>
    </row>
    <row r="680" ht="14.25" customHeight="1">
      <c r="G680" s="358"/>
      <c r="H680" s="358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  <c r="AA680" s="358"/>
      <c r="AB680" s="358"/>
      <c r="AC680" s="358"/>
      <c r="AD680" s="358"/>
      <c r="AE680" s="358"/>
      <c r="AF680" s="358"/>
      <c r="AG680" s="358"/>
      <c r="AH680" s="358"/>
      <c r="AI680" s="358"/>
      <c r="AJ680" s="358"/>
      <c r="AK680" s="358"/>
      <c r="AL680" s="358"/>
      <c r="AM680" s="358"/>
    </row>
    <row r="681" ht="14.25" customHeight="1">
      <c r="G681" s="358"/>
      <c r="H681" s="358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  <c r="AA681" s="358"/>
      <c r="AB681" s="358"/>
      <c r="AC681" s="358"/>
      <c r="AD681" s="358"/>
      <c r="AE681" s="358"/>
      <c r="AF681" s="358"/>
      <c r="AG681" s="358"/>
      <c r="AH681" s="358"/>
      <c r="AI681" s="358"/>
      <c r="AJ681" s="358"/>
      <c r="AK681" s="358"/>
      <c r="AL681" s="358"/>
      <c r="AM681" s="358"/>
    </row>
    <row r="682" ht="14.25" customHeight="1">
      <c r="G682" s="358"/>
      <c r="H682" s="358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  <c r="AA682" s="358"/>
      <c r="AB682" s="358"/>
      <c r="AC682" s="358"/>
      <c r="AD682" s="358"/>
      <c r="AE682" s="358"/>
      <c r="AF682" s="358"/>
      <c r="AG682" s="358"/>
      <c r="AH682" s="358"/>
      <c r="AI682" s="358"/>
      <c r="AJ682" s="358"/>
      <c r="AK682" s="358"/>
      <c r="AL682" s="358"/>
      <c r="AM682" s="358"/>
    </row>
    <row r="683" ht="14.25" customHeight="1">
      <c r="G683" s="358"/>
      <c r="H683" s="358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  <c r="AA683" s="358"/>
      <c r="AB683" s="358"/>
      <c r="AC683" s="358"/>
      <c r="AD683" s="358"/>
      <c r="AE683" s="358"/>
      <c r="AF683" s="358"/>
      <c r="AG683" s="358"/>
      <c r="AH683" s="358"/>
      <c r="AI683" s="358"/>
      <c r="AJ683" s="358"/>
      <c r="AK683" s="358"/>
      <c r="AL683" s="358"/>
      <c r="AM683" s="358"/>
    </row>
    <row r="684" ht="14.25" customHeight="1">
      <c r="G684" s="358"/>
      <c r="H684" s="358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  <c r="AA684" s="358"/>
      <c r="AB684" s="358"/>
      <c r="AC684" s="358"/>
      <c r="AD684" s="358"/>
      <c r="AE684" s="358"/>
      <c r="AF684" s="358"/>
      <c r="AG684" s="358"/>
      <c r="AH684" s="358"/>
      <c r="AI684" s="358"/>
      <c r="AJ684" s="358"/>
      <c r="AK684" s="358"/>
      <c r="AL684" s="358"/>
      <c r="AM684" s="358"/>
    </row>
    <row r="685" ht="14.25" customHeight="1">
      <c r="G685" s="358"/>
      <c r="H685" s="358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  <c r="AA685" s="358"/>
      <c r="AB685" s="358"/>
      <c r="AC685" s="358"/>
      <c r="AD685" s="358"/>
      <c r="AE685" s="358"/>
      <c r="AF685" s="358"/>
      <c r="AG685" s="358"/>
      <c r="AH685" s="358"/>
      <c r="AI685" s="358"/>
      <c r="AJ685" s="358"/>
      <c r="AK685" s="358"/>
      <c r="AL685" s="358"/>
      <c r="AM685" s="358"/>
    </row>
    <row r="686" ht="14.25" customHeight="1">
      <c r="G686" s="358"/>
      <c r="H686" s="358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  <c r="AA686" s="358"/>
      <c r="AB686" s="358"/>
      <c r="AC686" s="358"/>
      <c r="AD686" s="358"/>
      <c r="AE686" s="358"/>
      <c r="AF686" s="358"/>
      <c r="AG686" s="358"/>
      <c r="AH686" s="358"/>
      <c r="AI686" s="358"/>
      <c r="AJ686" s="358"/>
      <c r="AK686" s="358"/>
      <c r="AL686" s="358"/>
      <c r="AM686" s="358"/>
    </row>
    <row r="687" ht="14.25" customHeight="1">
      <c r="G687" s="358"/>
      <c r="H687" s="358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  <c r="AA687" s="358"/>
      <c r="AB687" s="358"/>
      <c r="AC687" s="358"/>
      <c r="AD687" s="358"/>
      <c r="AE687" s="358"/>
      <c r="AF687" s="358"/>
      <c r="AG687" s="358"/>
      <c r="AH687" s="358"/>
      <c r="AI687" s="358"/>
      <c r="AJ687" s="358"/>
      <c r="AK687" s="358"/>
      <c r="AL687" s="358"/>
      <c r="AM687" s="358"/>
    </row>
    <row r="688" ht="14.25" customHeight="1">
      <c r="G688" s="358"/>
      <c r="H688" s="358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  <c r="AA688" s="358"/>
      <c r="AB688" s="358"/>
      <c r="AC688" s="358"/>
      <c r="AD688" s="358"/>
      <c r="AE688" s="358"/>
      <c r="AF688" s="358"/>
      <c r="AG688" s="358"/>
      <c r="AH688" s="358"/>
      <c r="AI688" s="358"/>
      <c r="AJ688" s="358"/>
      <c r="AK688" s="358"/>
      <c r="AL688" s="358"/>
      <c r="AM688" s="358"/>
    </row>
    <row r="689" ht="14.25" customHeight="1">
      <c r="G689" s="358"/>
      <c r="H689" s="358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  <c r="AA689" s="358"/>
      <c r="AB689" s="358"/>
      <c r="AC689" s="358"/>
      <c r="AD689" s="358"/>
      <c r="AE689" s="358"/>
      <c r="AF689" s="358"/>
      <c r="AG689" s="358"/>
      <c r="AH689" s="358"/>
      <c r="AI689" s="358"/>
      <c r="AJ689" s="358"/>
      <c r="AK689" s="358"/>
      <c r="AL689" s="358"/>
      <c r="AM689" s="358"/>
    </row>
    <row r="690" ht="14.25" customHeight="1">
      <c r="G690" s="358"/>
      <c r="H690" s="358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  <c r="AA690" s="358"/>
      <c r="AB690" s="358"/>
      <c r="AC690" s="358"/>
      <c r="AD690" s="358"/>
      <c r="AE690" s="358"/>
      <c r="AF690" s="358"/>
      <c r="AG690" s="358"/>
      <c r="AH690" s="358"/>
      <c r="AI690" s="358"/>
      <c r="AJ690" s="358"/>
      <c r="AK690" s="358"/>
      <c r="AL690" s="358"/>
      <c r="AM690" s="358"/>
    </row>
    <row r="691" ht="14.25" customHeight="1">
      <c r="G691" s="358"/>
      <c r="H691" s="358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  <c r="AA691" s="358"/>
      <c r="AB691" s="358"/>
      <c r="AC691" s="358"/>
      <c r="AD691" s="358"/>
      <c r="AE691" s="358"/>
      <c r="AF691" s="358"/>
      <c r="AG691" s="358"/>
      <c r="AH691" s="358"/>
      <c r="AI691" s="358"/>
      <c r="AJ691" s="358"/>
      <c r="AK691" s="358"/>
      <c r="AL691" s="358"/>
      <c r="AM691" s="358"/>
    </row>
    <row r="692" ht="14.25" customHeight="1">
      <c r="G692" s="358"/>
      <c r="H692" s="358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  <c r="AA692" s="358"/>
      <c r="AB692" s="358"/>
      <c r="AC692" s="358"/>
      <c r="AD692" s="358"/>
      <c r="AE692" s="358"/>
      <c r="AF692" s="358"/>
      <c r="AG692" s="358"/>
      <c r="AH692" s="358"/>
      <c r="AI692" s="358"/>
      <c r="AJ692" s="358"/>
      <c r="AK692" s="358"/>
      <c r="AL692" s="358"/>
      <c r="AM692" s="358"/>
    </row>
    <row r="693" ht="14.25" customHeight="1">
      <c r="G693" s="358"/>
      <c r="H693" s="358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  <c r="AA693" s="358"/>
      <c r="AB693" s="358"/>
      <c r="AC693" s="358"/>
      <c r="AD693" s="358"/>
      <c r="AE693" s="358"/>
      <c r="AF693" s="358"/>
      <c r="AG693" s="358"/>
      <c r="AH693" s="358"/>
      <c r="AI693" s="358"/>
      <c r="AJ693" s="358"/>
      <c r="AK693" s="358"/>
      <c r="AL693" s="358"/>
      <c r="AM693" s="358"/>
    </row>
    <row r="694" ht="14.25" customHeight="1">
      <c r="G694" s="358"/>
      <c r="H694" s="358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  <c r="AA694" s="358"/>
      <c r="AB694" s="358"/>
      <c r="AC694" s="358"/>
      <c r="AD694" s="358"/>
      <c r="AE694" s="358"/>
      <c r="AF694" s="358"/>
      <c r="AG694" s="358"/>
      <c r="AH694" s="358"/>
      <c r="AI694" s="358"/>
      <c r="AJ694" s="358"/>
      <c r="AK694" s="358"/>
      <c r="AL694" s="358"/>
      <c r="AM694" s="358"/>
    </row>
    <row r="695" ht="14.25" customHeight="1">
      <c r="G695" s="358"/>
      <c r="H695" s="358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  <c r="AA695" s="358"/>
      <c r="AB695" s="358"/>
      <c r="AC695" s="358"/>
      <c r="AD695" s="358"/>
      <c r="AE695" s="358"/>
      <c r="AF695" s="358"/>
      <c r="AG695" s="358"/>
      <c r="AH695" s="358"/>
      <c r="AI695" s="358"/>
      <c r="AJ695" s="358"/>
      <c r="AK695" s="358"/>
      <c r="AL695" s="358"/>
      <c r="AM695" s="358"/>
    </row>
    <row r="696" ht="14.25" customHeight="1">
      <c r="G696" s="358"/>
      <c r="H696" s="358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  <c r="AA696" s="358"/>
      <c r="AB696" s="358"/>
      <c r="AC696" s="358"/>
      <c r="AD696" s="358"/>
      <c r="AE696" s="358"/>
      <c r="AF696" s="358"/>
      <c r="AG696" s="358"/>
      <c r="AH696" s="358"/>
      <c r="AI696" s="358"/>
      <c r="AJ696" s="358"/>
      <c r="AK696" s="358"/>
      <c r="AL696" s="358"/>
      <c r="AM696" s="358"/>
    </row>
    <row r="697" ht="14.25" customHeight="1">
      <c r="G697" s="358"/>
      <c r="H697" s="358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  <c r="AA697" s="358"/>
      <c r="AB697" s="358"/>
      <c r="AC697" s="358"/>
      <c r="AD697" s="358"/>
      <c r="AE697" s="358"/>
      <c r="AF697" s="358"/>
      <c r="AG697" s="358"/>
      <c r="AH697" s="358"/>
      <c r="AI697" s="358"/>
      <c r="AJ697" s="358"/>
      <c r="AK697" s="358"/>
      <c r="AL697" s="358"/>
      <c r="AM697" s="358"/>
    </row>
    <row r="698" ht="14.25" customHeight="1">
      <c r="G698" s="358"/>
      <c r="H698" s="358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  <c r="AA698" s="358"/>
      <c r="AB698" s="358"/>
      <c r="AC698" s="358"/>
      <c r="AD698" s="358"/>
      <c r="AE698" s="358"/>
      <c r="AF698" s="358"/>
      <c r="AG698" s="358"/>
      <c r="AH698" s="358"/>
      <c r="AI698" s="358"/>
      <c r="AJ698" s="358"/>
      <c r="AK698" s="358"/>
      <c r="AL698" s="358"/>
      <c r="AM698" s="358"/>
    </row>
    <row r="699" ht="14.25" customHeight="1">
      <c r="G699" s="358"/>
      <c r="H699" s="358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  <c r="AA699" s="358"/>
      <c r="AB699" s="358"/>
      <c r="AC699" s="358"/>
      <c r="AD699" s="358"/>
      <c r="AE699" s="358"/>
      <c r="AF699" s="358"/>
      <c r="AG699" s="358"/>
      <c r="AH699" s="358"/>
      <c r="AI699" s="358"/>
      <c r="AJ699" s="358"/>
      <c r="AK699" s="358"/>
      <c r="AL699" s="358"/>
      <c r="AM699" s="358"/>
    </row>
    <row r="700" ht="14.25" customHeight="1">
      <c r="G700" s="358"/>
      <c r="H700" s="358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  <c r="AA700" s="358"/>
      <c r="AB700" s="358"/>
      <c r="AC700" s="358"/>
      <c r="AD700" s="358"/>
      <c r="AE700" s="358"/>
      <c r="AF700" s="358"/>
      <c r="AG700" s="358"/>
      <c r="AH700" s="358"/>
      <c r="AI700" s="358"/>
      <c r="AJ700" s="358"/>
      <c r="AK700" s="358"/>
      <c r="AL700" s="358"/>
      <c r="AM700" s="358"/>
    </row>
    <row r="701" ht="14.25" customHeight="1">
      <c r="G701" s="358"/>
      <c r="H701" s="358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  <c r="AA701" s="358"/>
      <c r="AB701" s="358"/>
      <c r="AC701" s="358"/>
      <c r="AD701" s="358"/>
      <c r="AE701" s="358"/>
      <c r="AF701" s="358"/>
      <c r="AG701" s="358"/>
      <c r="AH701" s="358"/>
      <c r="AI701" s="358"/>
      <c r="AJ701" s="358"/>
      <c r="AK701" s="358"/>
      <c r="AL701" s="358"/>
      <c r="AM701" s="358"/>
    </row>
    <row r="702" ht="14.25" customHeight="1">
      <c r="G702" s="358"/>
      <c r="H702" s="358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  <c r="AA702" s="358"/>
      <c r="AB702" s="358"/>
      <c r="AC702" s="358"/>
      <c r="AD702" s="358"/>
      <c r="AE702" s="358"/>
      <c r="AF702" s="358"/>
      <c r="AG702" s="358"/>
      <c r="AH702" s="358"/>
      <c r="AI702" s="358"/>
      <c r="AJ702" s="358"/>
      <c r="AK702" s="358"/>
      <c r="AL702" s="358"/>
      <c r="AM702" s="358"/>
    </row>
    <row r="703" ht="14.25" customHeight="1">
      <c r="G703" s="358"/>
      <c r="H703" s="358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  <c r="AA703" s="358"/>
      <c r="AB703" s="358"/>
      <c r="AC703" s="358"/>
      <c r="AD703" s="358"/>
      <c r="AE703" s="358"/>
      <c r="AF703" s="358"/>
      <c r="AG703" s="358"/>
      <c r="AH703" s="358"/>
      <c r="AI703" s="358"/>
      <c r="AJ703" s="358"/>
      <c r="AK703" s="358"/>
      <c r="AL703" s="358"/>
      <c r="AM703" s="358"/>
    </row>
    <row r="704" ht="14.25" customHeight="1">
      <c r="G704" s="358"/>
      <c r="H704" s="358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  <c r="AA704" s="358"/>
      <c r="AB704" s="358"/>
      <c r="AC704" s="358"/>
      <c r="AD704" s="358"/>
      <c r="AE704" s="358"/>
      <c r="AF704" s="358"/>
      <c r="AG704" s="358"/>
      <c r="AH704" s="358"/>
      <c r="AI704" s="358"/>
      <c r="AJ704" s="358"/>
      <c r="AK704" s="358"/>
      <c r="AL704" s="358"/>
      <c r="AM704" s="358"/>
    </row>
    <row r="705" ht="14.25" customHeight="1">
      <c r="G705" s="358"/>
      <c r="H705" s="358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  <c r="AA705" s="358"/>
      <c r="AB705" s="358"/>
      <c r="AC705" s="358"/>
      <c r="AD705" s="358"/>
      <c r="AE705" s="358"/>
      <c r="AF705" s="358"/>
      <c r="AG705" s="358"/>
      <c r="AH705" s="358"/>
      <c r="AI705" s="358"/>
      <c r="AJ705" s="358"/>
      <c r="AK705" s="358"/>
      <c r="AL705" s="358"/>
      <c r="AM705" s="358"/>
    </row>
    <row r="706" ht="14.25" customHeight="1">
      <c r="G706" s="358"/>
      <c r="H706" s="358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  <c r="AA706" s="358"/>
      <c r="AB706" s="358"/>
      <c r="AC706" s="358"/>
      <c r="AD706" s="358"/>
      <c r="AE706" s="358"/>
      <c r="AF706" s="358"/>
      <c r="AG706" s="358"/>
      <c r="AH706" s="358"/>
      <c r="AI706" s="358"/>
      <c r="AJ706" s="358"/>
      <c r="AK706" s="358"/>
      <c r="AL706" s="358"/>
      <c r="AM706" s="358"/>
    </row>
    <row r="707" ht="14.25" customHeight="1">
      <c r="G707" s="358"/>
      <c r="H707" s="358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  <c r="AA707" s="358"/>
      <c r="AB707" s="358"/>
      <c r="AC707" s="358"/>
      <c r="AD707" s="358"/>
      <c r="AE707" s="358"/>
      <c r="AF707" s="358"/>
      <c r="AG707" s="358"/>
      <c r="AH707" s="358"/>
      <c r="AI707" s="358"/>
      <c r="AJ707" s="358"/>
      <c r="AK707" s="358"/>
      <c r="AL707" s="358"/>
      <c r="AM707" s="358"/>
    </row>
    <row r="708" ht="14.25" customHeight="1">
      <c r="G708" s="358"/>
      <c r="H708" s="358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  <c r="AA708" s="358"/>
      <c r="AB708" s="358"/>
      <c r="AC708" s="358"/>
      <c r="AD708" s="358"/>
      <c r="AE708" s="358"/>
      <c r="AF708" s="358"/>
      <c r="AG708" s="358"/>
      <c r="AH708" s="358"/>
      <c r="AI708" s="358"/>
      <c r="AJ708" s="358"/>
      <c r="AK708" s="358"/>
      <c r="AL708" s="358"/>
      <c r="AM708" s="358"/>
    </row>
    <row r="709" ht="14.25" customHeight="1">
      <c r="G709" s="358"/>
      <c r="H709" s="358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  <c r="AA709" s="358"/>
      <c r="AB709" s="358"/>
      <c r="AC709" s="358"/>
      <c r="AD709" s="358"/>
      <c r="AE709" s="358"/>
      <c r="AF709" s="358"/>
      <c r="AG709" s="358"/>
      <c r="AH709" s="358"/>
      <c r="AI709" s="358"/>
      <c r="AJ709" s="358"/>
      <c r="AK709" s="358"/>
      <c r="AL709" s="358"/>
      <c r="AM709" s="358"/>
    </row>
    <row r="710" ht="14.25" customHeight="1">
      <c r="G710" s="358"/>
      <c r="H710" s="358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  <c r="AA710" s="358"/>
      <c r="AB710" s="358"/>
      <c r="AC710" s="358"/>
      <c r="AD710" s="358"/>
      <c r="AE710" s="358"/>
      <c r="AF710" s="358"/>
      <c r="AG710" s="358"/>
      <c r="AH710" s="358"/>
      <c r="AI710" s="358"/>
      <c r="AJ710" s="358"/>
      <c r="AK710" s="358"/>
      <c r="AL710" s="358"/>
      <c r="AM710" s="358"/>
    </row>
    <row r="711" ht="14.25" customHeight="1">
      <c r="G711" s="358"/>
      <c r="H711" s="358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  <c r="AA711" s="358"/>
      <c r="AB711" s="358"/>
      <c r="AC711" s="358"/>
      <c r="AD711" s="358"/>
      <c r="AE711" s="358"/>
      <c r="AF711" s="358"/>
      <c r="AG711" s="358"/>
      <c r="AH711" s="358"/>
      <c r="AI711" s="358"/>
      <c r="AJ711" s="358"/>
      <c r="AK711" s="358"/>
      <c r="AL711" s="358"/>
      <c r="AM711" s="358"/>
    </row>
    <row r="712" ht="14.25" customHeight="1">
      <c r="G712" s="358"/>
      <c r="H712" s="358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  <c r="AA712" s="358"/>
      <c r="AB712" s="358"/>
      <c r="AC712" s="358"/>
      <c r="AD712" s="358"/>
      <c r="AE712" s="358"/>
      <c r="AF712" s="358"/>
      <c r="AG712" s="358"/>
      <c r="AH712" s="358"/>
      <c r="AI712" s="358"/>
      <c r="AJ712" s="358"/>
      <c r="AK712" s="358"/>
      <c r="AL712" s="358"/>
      <c r="AM712" s="358"/>
    </row>
    <row r="713" ht="14.25" customHeight="1">
      <c r="G713" s="358"/>
      <c r="H713" s="358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  <c r="AA713" s="358"/>
      <c r="AB713" s="358"/>
      <c r="AC713" s="358"/>
      <c r="AD713" s="358"/>
      <c r="AE713" s="358"/>
      <c r="AF713" s="358"/>
      <c r="AG713" s="358"/>
      <c r="AH713" s="358"/>
      <c r="AI713" s="358"/>
      <c r="AJ713" s="358"/>
      <c r="AK713" s="358"/>
      <c r="AL713" s="358"/>
      <c r="AM713" s="358"/>
    </row>
    <row r="714" ht="14.25" customHeight="1">
      <c r="G714" s="358"/>
      <c r="H714" s="358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  <c r="AA714" s="358"/>
      <c r="AB714" s="358"/>
      <c r="AC714" s="358"/>
      <c r="AD714" s="358"/>
      <c r="AE714" s="358"/>
      <c r="AF714" s="358"/>
      <c r="AG714" s="358"/>
      <c r="AH714" s="358"/>
      <c r="AI714" s="358"/>
      <c r="AJ714" s="358"/>
      <c r="AK714" s="358"/>
      <c r="AL714" s="358"/>
      <c r="AM714" s="358"/>
    </row>
    <row r="715" ht="14.25" customHeight="1">
      <c r="G715" s="358"/>
      <c r="H715" s="358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  <c r="AA715" s="358"/>
      <c r="AB715" s="358"/>
      <c r="AC715" s="358"/>
      <c r="AD715" s="358"/>
      <c r="AE715" s="358"/>
      <c r="AF715" s="358"/>
      <c r="AG715" s="358"/>
      <c r="AH715" s="358"/>
      <c r="AI715" s="358"/>
      <c r="AJ715" s="358"/>
      <c r="AK715" s="358"/>
      <c r="AL715" s="358"/>
      <c r="AM715" s="358"/>
    </row>
    <row r="716" ht="14.25" customHeight="1">
      <c r="G716" s="358"/>
      <c r="H716" s="358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  <c r="AA716" s="358"/>
      <c r="AB716" s="358"/>
      <c r="AC716" s="358"/>
      <c r="AD716" s="358"/>
      <c r="AE716" s="358"/>
      <c r="AF716" s="358"/>
      <c r="AG716" s="358"/>
      <c r="AH716" s="358"/>
      <c r="AI716" s="358"/>
      <c r="AJ716" s="358"/>
      <c r="AK716" s="358"/>
      <c r="AL716" s="358"/>
      <c r="AM716" s="358"/>
    </row>
    <row r="717" ht="14.25" customHeight="1">
      <c r="G717" s="358"/>
      <c r="H717" s="358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  <c r="AA717" s="358"/>
      <c r="AB717" s="358"/>
      <c r="AC717" s="358"/>
      <c r="AD717" s="358"/>
      <c r="AE717" s="358"/>
      <c r="AF717" s="358"/>
      <c r="AG717" s="358"/>
      <c r="AH717" s="358"/>
      <c r="AI717" s="358"/>
      <c r="AJ717" s="358"/>
      <c r="AK717" s="358"/>
      <c r="AL717" s="358"/>
      <c r="AM717" s="358"/>
    </row>
    <row r="718" ht="14.25" customHeight="1">
      <c r="G718" s="358"/>
      <c r="H718" s="358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  <c r="AA718" s="358"/>
      <c r="AB718" s="358"/>
      <c r="AC718" s="358"/>
      <c r="AD718" s="358"/>
      <c r="AE718" s="358"/>
      <c r="AF718" s="358"/>
      <c r="AG718" s="358"/>
      <c r="AH718" s="358"/>
      <c r="AI718" s="358"/>
      <c r="AJ718" s="358"/>
      <c r="AK718" s="358"/>
      <c r="AL718" s="358"/>
      <c r="AM718" s="358"/>
    </row>
    <row r="719" ht="14.25" customHeight="1">
      <c r="G719" s="358"/>
      <c r="H719" s="358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  <c r="AA719" s="358"/>
      <c r="AB719" s="358"/>
      <c r="AC719" s="358"/>
      <c r="AD719" s="358"/>
      <c r="AE719" s="358"/>
      <c r="AF719" s="358"/>
      <c r="AG719" s="358"/>
      <c r="AH719" s="358"/>
      <c r="AI719" s="358"/>
      <c r="AJ719" s="358"/>
      <c r="AK719" s="358"/>
      <c r="AL719" s="358"/>
      <c r="AM719" s="358"/>
    </row>
    <row r="720" ht="14.25" customHeight="1">
      <c r="G720" s="358"/>
      <c r="H720" s="358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  <c r="AA720" s="358"/>
      <c r="AB720" s="358"/>
      <c r="AC720" s="358"/>
      <c r="AD720" s="358"/>
      <c r="AE720" s="358"/>
      <c r="AF720" s="358"/>
      <c r="AG720" s="358"/>
      <c r="AH720" s="358"/>
      <c r="AI720" s="358"/>
      <c r="AJ720" s="358"/>
      <c r="AK720" s="358"/>
      <c r="AL720" s="358"/>
      <c r="AM720" s="358"/>
    </row>
    <row r="721" ht="14.25" customHeight="1">
      <c r="G721" s="358"/>
      <c r="H721" s="358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  <c r="AA721" s="358"/>
      <c r="AB721" s="358"/>
      <c r="AC721" s="358"/>
      <c r="AD721" s="358"/>
      <c r="AE721" s="358"/>
      <c r="AF721" s="358"/>
      <c r="AG721" s="358"/>
      <c r="AH721" s="358"/>
      <c r="AI721" s="358"/>
      <c r="AJ721" s="358"/>
      <c r="AK721" s="358"/>
      <c r="AL721" s="358"/>
      <c r="AM721" s="358"/>
    </row>
    <row r="722" ht="14.25" customHeight="1">
      <c r="G722" s="358"/>
      <c r="H722" s="358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  <c r="AA722" s="358"/>
      <c r="AB722" s="358"/>
      <c r="AC722" s="358"/>
      <c r="AD722" s="358"/>
      <c r="AE722" s="358"/>
      <c r="AF722" s="358"/>
      <c r="AG722" s="358"/>
      <c r="AH722" s="358"/>
      <c r="AI722" s="358"/>
      <c r="AJ722" s="358"/>
      <c r="AK722" s="358"/>
      <c r="AL722" s="358"/>
      <c r="AM722" s="358"/>
    </row>
    <row r="723" ht="14.25" customHeight="1">
      <c r="G723" s="358"/>
      <c r="H723" s="358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  <c r="AA723" s="358"/>
      <c r="AB723" s="358"/>
      <c r="AC723" s="358"/>
      <c r="AD723" s="358"/>
      <c r="AE723" s="358"/>
      <c r="AF723" s="358"/>
      <c r="AG723" s="358"/>
      <c r="AH723" s="358"/>
      <c r="AI723" s="358"/>
      <c r="AJ723" s="358"/>
      <c r="AK723" s="358"/>
      <c r="AL723" s="358"/>
      <c r="AM723" s="358"/>
    </row>
    <row r="724" ht="14.25" customHeight="1">
      <c r="G724" s="358"/>
      <c r="H724" s="358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  <c r="AA724" s="358"/>
      <c r="AB724" s="358"/>
      <c r="AC724" s="358"/>
      <c r="AD724" s="358"/>
      <c r="AE724" s="358"/>
      <c r="AF724" s="358"/>
      <c r="AG724" s="358"/>
      <c r="AH724" s="358"/>
      <c r="AI724" s="358"/>
      <c r="AJ724" s="358"/>
      <c r="AK724" s="358"/>
      <c r="AL724" s="358"/>
      <c r="AM724" s="358"/>
    </row>
    <row r="725" ht="14.25" customHeight="1">
      <c r="G725" s="358"/>
      <c r="H725" s="358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  <c r="AA725" s="358"/>
      <c r="AB725" s="358"/>
      <c r="AC725" s="358"/>
      <c r="AD725" s="358"/>
      <c r="AE725" s="358"/>
      <c r="AF725" s="358"/>
      <c r="AG725" s="358"/>
      <c r="AH725" s="358"/>
      <c r="AI725" s="358"/>
      <c r="AJ725" s="358"/>
      <c r="AK725" s="358"/>
      <c r="AL725" s="358"/>
      <c r="AM725" s="358"/>
    </row>
    <row r="726" ht="14.25" customHeight="1">
      <c r="G726" s="358"/>
      <c r="H726" s="358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  <c r="AA726" s="358"/>
      <c r="AB726" s="358"/>
      <c r="AC726" s="358"/>
      <c r="AD726" s="358"/>
      <c r="AE726" s="358"/>
      <c r="AF726" s="358"/>
      <c r="AG726" s="358"/>
      <c r="AH726" s="358"/>
      <c r="AI726" s="358"/>
      <c r="AJ726" s="358"/>
      <c r="AK726" s="358"/>
      <c r="AL726" s="358"/>
      <c r="AM726" s="358"/>
    </row>
    <row r="727" ht="14.25" customHeight="1">
      <c r="G727" s="358"/>
      <c r="H727" s="358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  <c r="AA727" s="358"/>
      <c r="AB727" s="358"/>
      <c r="AC727" s="358"/>
      <c r="AD727" s="358"/>
      <c r="AE727" s="358"/>
      <c r="AF727" s="358"/>
      <c r="AG727" s="358"/>
      <c r="AH727" s="358"/>
      <c r="AI727" s="358"/>
      <c r="AJ727" s="358"/>
      <c r="AK727" s="358"/>
      <c r="AL727" s="358"/>
      <c r="AM727" s="358"/>
    </row>
    <row r="728" ht="14.25" customHeight="1">
      <c r="G728" s="358"/>
      <c r="H728" s="358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  <c r="AA728" s="358"/>
      <c r="AB728" s="358"/>
      <c r="AC728" s="358"/>
      <c r="AD728" s="358"/>
      <c r="AE728" s="358"/>
      <c r="AF728" s="358"/>
      <c r="AG728" s="358"/>
      <c r="AH728" s="358"/>
      <c r="AI728" s="358"/>
      <c r="AJ728" s="358"/>
      <c r="AK728" s="358"/>
      <c r="AL728" s="358"/>
      <c r="AM728" s="358"/>
    </row>
    <row r="729" ht="14.25" customHeight="1">
      <c r="G729" s="358"/>
      <c r="H729" s="358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  <c r="AA729" s="358"/>
      <c r="AB729" s="358"/>
      <c r="AC729" s="358"/>
      <c r="AD729" s="358"/>
      <c r="AE729" s="358"/>
      <c r="AF729" s="358"/>
      <c r="AG729" s="358"/>
      <c r="AH729" s="358"/>
      <c r="AI729" s="358"/>
      <c r="AJ729" s="358"/>
      <c r="AK729" s="358"/>
      <c r="AL729" s="358"/>
      <c r="AM729" s="358"/>
    </row>
    <row r="730" ht="14.25" customHeight="1">
      <c r="G730" s="358"/>
      <c r="H730" s="358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  <c r="AA730" s="358"/>
      <c r="AB730" s="358"/>
      <c r="AC730" s="358"/>
      <c r="AD730" s="358"/>
      <c r="AE730" s="358"/>
      <c r="AF730" s="358"/>
      <c r="AG730" s="358"/>
      <c r="AH730" s="358"/>
      <c r="AI730" s="358"/>
      <c r="AJ730" s="358"/>
      <c r="AK730" s="358"/>
      <c r="AL730" s="358"/>
      <c r="AM730" s="358"/>
    </row>
    <row r="731" ht="14.25" customHeight="1">
      <c r="G731" s="358"/>
      <c r="H731" s="358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  <c r="AA731" s="358"/>
      <c r="AB731" s="358"/>
      <c r="AC731" s="358"/>
      <c r="AD731" s="358"/>
      <c r="AE731" s="358"/>
      <c r="AF731" s="358"/>
      <c r="AG731" s="358"/>
      <c r="AH731" s="358"/>
      <c r="AI731" s="358"/>
      <c r="AJ731" s="358"/>
      <c r="AK731" s="358"/>
      <c r="AL731" s="358"/>
      <c r="AM731" s="358"/>
    </row>
    <row r="732" ht="14.25" customHeight="1">
      <c r="G732" s="358"/>
      <c r="H732" s="358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  <c r="AA732" s="358"/>
      <c r="AB732" s="358"/>
      <c r="AC732" s="358"/>
      <c r="AD732" s="358"/>
      <c r="AE732" s="358"/>
      <c r="AF732" s="358"/>
      <c r="AG732" s="358"/>
      <c r="AH732" s="358"/>
      <c r="AI732" s="358"/>
      <c r="AJ732" s="358"/>
      <c r="AK732" s="358"/>
      <c r="AL732" s="358"/>
      <c r="AM732" s="358"/>
    </row>
    <row r="733" ht="14.25" customHeight="1">
      <c r="G733" s="358"/>
      <c r="H733" s="358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  <c r="AA733" s="358"/>
      <c r="AB733" s="358"/>
      <c r="AC733" s="358"/>
      <c r="AD733" s="358"/>
      <c r="AE733" s="358"/>
      <c r="AF733" s="358"/>
      <c r="AG733" s="358"/>
      <c r="AH733" s="358"/>
      <c r="AI733" s="358"/>
      <c r="AJ733" s="358"/>
      <c r="AK733" s="358"/>
      <c r="AL733" s="358"/>
      <c r="AM733" s="358"/>
    </row>
    <row r="734" ht="14.25" customHeight="1">
      <c r="G734" s="358"/>
      <c r="H734" s="358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  <c r="AA734" s="358"/>
      <c r="AB734" s="358"/>
      <c r="AC734" s="358"/>
      <c r="AD734" s="358"/>
      <c r="AE734" s="358"/>
      <c r="AF734" s="358"/>
      <c r="AG734" s="358"/>
      <c r="AH734" s="358"/>
      <c r="AI734" s="358"/>
      <c r="AJ734" s="358"/>
      <c r="AK734" s="358"/>
      <c r="AL734" s="358"/>
      <c r="AM734" s="358"/>
    </row>
    <row r="735" ht="14.25" customHeight="1">
      <c r="G735" s="358"/>
      <c r="H735" s="358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  <c r="AA735" s="358"/>
      <c r="AB735" s="358"/>
      <c r="AC735" s="358"/>
      <c r="AD735" s="358"/>
      <c r="AE735" s="358"/>
      <c r="AF735" s="358"/>
      <c r="AG735" s="358"/>
      <c r="AH735" s="358"/>
      <c r="AI735" s="358"/>
      <c r="AJ735" s="358"/>
      <c r="AK735" s="358"/>
      <c r="AL735" s="358"/>
      <c r="AM735" s="358"/>
    </row>
    <row r="736" ht="14.25" customHeight="1">
      <c r="G736" s="358"/>
      <c r="H736" s="358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  <c r="AA736" s="358"/>
      <c r="AB736" s="358"/>
      <c r="AC736" s="358"/>
      <c r="AD736" s="358"/>
      <c r="AE736" s="358"/>
      <c r="AF736" s="358"/>
      <c r="AG736" s="358"/>
      <c r="AH736" s="358"/>
      <c r="AI736" s="358"/>
      <c r="AJ736" s="358"/>
      <c r="AK736" s="358"/>
      <c r="AL736" s="358"/>
      <c r="AM736" s="358"/>
    </row>
    <row r="737" ht="14.25" customHeight="1">
      <c r="G737" s="358"/>
      <c r="H737" s="358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  <c r="AA737" s="358"/>
      <c r="AB737" s="358"/>
      <c r="AC737" s="358"/>
      <c r="AD737" s="358"/>
      <c r="AE737" s="358"/>
      <c r="AF737" s="358"/>
      <c r="AG737" s="358"/>
      <c r="AH737" s="358"/>
      <c r="AI737" s="358"/>
      <c r="AJ737" s="358"/>
      <c r="AK737" s="358"/>
      <c r="AL737" s="358"/>
      <c r="AM737" s="358"/>
    </row>
    <row r="738" ht="14.25" customHeight="1">
      <c r="G738" s="358"/>
      <c r="H738" s="358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  <c r="AA738" s="358"/>
      <c r="AB738" s="358"/>
      <c r="AC738" s="358"/>
      <c r="AD738" s="358"/>
      <c r="AE738" s="358"/>
      <c r="AF738" s="358"/>
      <c r="AG738" s="358"/>
      <c r="AH738" s="358"/>
      <c r="AI738" s="358"/>
      <c r="AJ738" s="358"/>
      <c r="AK738" s="358"/>
      <c r="AL738" s="358"/>
      <c r="AM738" s="358"/>
    </row>
    <row r="739" ht="14.25" customHeight="1">
      <c r="G739" s="358"/>
      <c r="H739" s="358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  <c r="AA739" s="358"/>
      <c r="AB739" s="358"/>
      <c r="AC739" s="358"/>
      <c r="AD739" s="358"/>
      <c r="AE739" s="358"/>
      <c r="AF739" s="358"/>
      <c r="AG739" s="358"/>
      <c r="AH739" s="358"/>
      <c r="AI739" s="358"/>
      <c r="AJ739" s="358"/>
      <c r="AK739" s="358"/>
      <c r="AL739" s="358"/>
      <c r="AM739" s="358"/>
    </row>
    <row r="740" ht="14.25" customHeight="1">
      <c r="G740" s="358"/>
      <c r="H740" s="358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  <c r="AA740" s="358"/>
      <c r="AB740" s="358"/>
      <c r="AC740" s="358"/>
      <c r="AD740" s="358"/>
      <c r="AE740" s="358"/>
      <c r="AF740" s="358"/>
      <c r="AG740" s="358"/>
      <c r="AH740" s="358"/>
      <c r="AI740" s="358"/>
      <c r="AJ740" s="358"/>
      <c r="AK740" s="358"/>
      <c r="AL740" s="358"/>
      <c r="AM740" s="358"/>
    </row>
    <row r="741" ht="14.25" customHeight="1">
      <c r="G741" s="358"/>
      <c r="H741" s="358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  <c r="AA741" s="358"/>
      <c r="AB741" s="358"/>
      <c r="AC741" s="358"/>
      <c r="AD741" s="358"/>
      <c r="AE741" s="358"/>
      <c r="AF741" s="358"/>
      <c r="AG741" s="358"/>
      <c r="AH741" s="358"/>
      <c r="AI741" s="358"/>
      <c r="AJ741" s="358"/>
      <c r="AK741" s="358"/>
      <c r="AL741" s="358"/>
      <c r="AM741" s="358"/>
    </row>
    <row r="742" ht="14.25" customHeight="1">
      <c r="G742" s="358"/>
      <c r="H742" s="358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  <c r="AA742" s="358"/>
      <c r="AB742" s="358"/>
      <c r="AC742" s="358"/>
      <c r="AD742" s="358"/>
      <c r="AE742" s="358"/>
      <c r="AF742" s="358"/>
      <c r="AG742" s="358"/>
      <c r="AH742" s="358"/>
      <c r="AI742" s="358"/>
      <c r="AJ742" s="358"/>
      <c r="AK742" s="358"/>
      <c r="AL742" s="358"/>
      <c r="AM742" s="358"/>
    </row>
    <row r="743" ht="14.25" customHeight="1">
      <c r="G743" s="358"/>
      <c r="H743" s="358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  <c r="AA743" s="358"/>
      <c r="AB743" s="358"/>
      <c r="AC743" s="358"/>
      <c r="AD743" s="358"/>
      <c r="AE743" s="358"/>
      <c r="AF743" s="358"/>
      <c r="AG743" s="358"/>
      <c r="AH743" s="358"/>
      <c r="AI743" s="358"/>
      <c r="AJ743" s="358"/>
      <c r="AK743" s="358"/>
      <c r="AL743" s="358"/>
      <c r="AM743" s="358"/>
    </row>
    <row r="744" ht="14.25" customHeight="1">
      <c r="G744" s="358"/>
      <c r="H744" s="358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  <c r="AA744" s="358"/>
      <c r="AB744" s="358"/>
      <c r="AC744" s="358"/>
      <c r="AD744" s="358"/>
      <c r="AE744" s="358"/>
      <c r="AF744" s="358"/>
      <c r="AG744" s="358"/>
      <c r="AH744" s="358"/>
      <c r="AI744" s="358"/>
      <c r="AJ744" s="358"/>
      <c r="AK744" s="358"/>
      <c r="AL744" s="358"/>
      <c r="AM744" s="358"/>
    </row>
    <row r="745" ht="14.25" customHeight="1">
      <c r="G745" s="358"/>
      <c r="H745" s="358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  <c r="AA745" s="358"/>
      <c r="AB745" s="358"/>
      <c r="AC745" s="358"/>
      <c r="AD745" s="358"/>
      <c r="AE745" s="358"/>
      <c r="AF745" s="358"/>
      <c r="AG745" s="358"/>
      <c r="AH745" s="358"/>
      <c r="AI745" s="358"/>
      <c r="AJ745" s="358"/>
      <c r="AK745" s="358"/>
      <c r="AL745" s="358"/>
      <c r="AM745" s="358"/>
    </row>
    <row r="746" ht="14.25" customHeight="1">
      <c r="G746" s="358"/>
      <c r="H746" s="358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  <c r="AA746" s="358"/>
      <c r="AB746" s="358"/>
      <c r="AC746" s="358"/>
      <c r="AD746" s="358"/>
      <c r="AE746" s="358"/>
      <c r="AF746" s="358"/>
      <c r="AG746" s="358"/>
      <c r="AH746" s="358"/>
      <c r="AI746" s="358"/>
      <c r="AJ746" s="358"/>
      <c r="AK746" s="358"/>
      <c r="AL746" s="358"/>
      <c r="AM746" s="358"/>
    </row>
    <row r="747" ht="14.25" customHeight="1">
      <c r="G747" s="358"/>
      <c r="H747" s="358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  <c r="AA747" s="358"/>
      <c r="AB747" s="358"/>
      <c r="AC747" s="358"/>
      <c r="AD747" s="358"/>
      <c r="AE747" s="358"/>
      <c r="AF747" s="358"/>
      <c r="AG747" s="358"/>
      <c r="AH747" s="358"/>
      <c r="AI747" s="358"/>
      <c r="AJ747" s="358"/>
      <c r="AK747" s="358"/>
      <c r="AL747" s="358"/>
      <c r="AM747" s="358"/>
    </row>
    <row r="748" ht="14.25" customHeight="1">
      <c r="G748" s="358"/>
      <c r="H748" s="358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  <c r="AA748" s="358"/>
      <c r="AB748" s="358"/>
      <c r="AC748" s="358"/>
      <c r="AD748" s="358"/>
      <c r="AE748" s="358"/>
      <c r="AF748" s="358"/>
      <c r="AG748" s="358"/>
      <c r="AH748" s="358"/>
      <c r="AI748" s="358"/>
      <c r="AJ748" s="358"/>
      <c r="AK748" s="358"/>
      <c r="AL748" s="358"/>
      <c r="AM748" s="358"/>
    </row>
    <row r="749" ht="14.25" customHeight="1">
      <c r="G749" s="358"/>
      <c r="H749" s="358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  <c r="AA749" s="358"/>
      <c r="AB749" s="358"/>
      <c r="AC749" s="358"/>
      <c r="AD749" s="358"/>
      <c r="AE749" s="358"/>
      <c r="AF749" s="358"/>
      <c r="AG749" s="358"/>
      <c r="AH749" s="358"/>
      <c r="AI749" s="358"/>
      <c r="AJ749" s="358"/>
      <c r="AK749" s="358"/>
      <c r="AL749" s="358"/>
      <c r="AM749" s="358"/>
    </row>
    <row r="750" ht="14.25" customHeight="1">
      <c r="G750" s="358"/>
      <c r="H750" s="358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  <c r="AA750" s="358"/>
      <c r="AB750" s="358"/>
      <c r="AC750" s="358"/>
      <c r="AD750" s="358"/>
      <c r="AE750" s="358"/>
      <c r="AF750" s="358"/>
      <c r="AG750" s="358"/>
      <c r="AH750" s="358"/>
      <c r="AI750" s="358"/>
      <c r="AJ750" s="358"/>
      <c r="AK750" s="358"/>
      <c r="AL750" s="358"/>
      <c r="AM750" s="358"/>
    </row>
    <row r="751" ht="14.25" customHeight="1">
      <c r="G751" s="358"/>
      <c r="H751" s="358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  <c r="AA751" s="358"/>
      <c r="AB751" s="358"/>
      <c r="AC751" s="358"/>
      <c r="AD751" s="358"/>
      <c r="AE751" s="358"/>
      <c r="AF751" s="358"/>
      <c r="AG751" s="358"/>
      <c r="AH751" s="358"/>
      <c r="AI751" s="358"/>
      <c r="AJ751" s="358"/>
      <c r="AK751" s="358"/>
      <c r="AL751" s="358"/>
      <c r="AM751" s="358"/>
    </row>
    <row r="752" ht="14.25" customHeight="1">
      <c r="G752" s="358"/>
      <c r="H752" s="358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  <c r="AA752" s="358"/>
      <c r="AB752" s="358"/>
      <c r="AC752" s="358"/>
      <c r="AD752" s="358"/>
      <c r="AE752" s="358"/>
      <c r="AF752" s="358"/>
      <c r="AG752" s="358"/>
      <c r="AH752" s="358"/>
      <c r="AI752" s="358"/>
      <c r="AJ752" s="358"/>
      <c r="AK752" s="358"/>
      <c r="AL752" s="358"/>
      <c r="AM752" s="358"/>
    </row>
    <row r="753" ht="14.25" customHeight="1">
      <c r="G753" s="358"/>
      <c r="H753" s="358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  <c r="AA753" s="358"/>
      <c r="AB753" s="358"/>
      <c r="AC753" s="358"/>
      <c r="AD753" s="358"/>
      <c r="AE753" s="358"/>
      <c r="AF753" s="358"/>
      <c r="AG753" s="358"/>
      <c r="AH753" s="358"/>
      <c r="AI753" s="358"/>
      <c r="AJ753" s="358"/>
      <c r="AK753" s="358"/>
      <c r="AL753" s="358"/>
      <c r="AM753" s="358"/>
    </row>
    <row r="754" ht="14.25" customHeight="1">
      <c r="G754" s="358"/>
      <c r="H754" s="358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  <c r="AA754" s="358"/>
      <c r="AB754" s="358"/>
      <c r="AC754" s="358"/>
      <c r="AD754" s="358"/>
      <c r="AE754" s="358"/>
      <c r="AF754" s="358"/>
      <c r="AG754" s="358"/>
      <c r="AH754" s="358"/>
      <c r="AI754" s="358"/>
      <c r="AJ754" s="358"/>
      <c r="AK754" s="358"/>
      <c r="AL754" s="358"/>
      <c r="AM754" s="358"/>
    </row>
    <row r="755" ht="14.25" customHeight="1">
      <c r="G755" s="358"/>
      <c r="H755" s="358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  <c r="AA755" s="358"/>
      <c r="AB755" s="358"/>
      <c r="AC755" s="358"/>
      <c r="AD755" s="358"/>
      <c r="AE755" s="358"/>
      <c r="AF755" s="358"/>
      <c r="AG755" s="358"/>
      <c r="AH755" s="358"/>
      <c r="AI755" s="358"/>
      <c r="AJ755" s="358"/>
      <c r="AK755" s="358"/>
      <c r="AL755" s="358"/>
      <c r="AM755" s="358"/>
    </row>
    <row r="756" ht="14.25" customHeight="1">
      <c r="G756" s="358"/>
      <c r="H756" s="358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  <c r="AA756" s="358"/>
      <c r="AB756" s="358"/>
      <c r="AC756" s="358"/>
      <c r="AD756" s="358"/>
      <c r="AE756" s="358"/>
      <c r="AF756" s="358"/>
      <c r="AG756" s="358"/>
      <c r="AH756" s="358"/>
      <c r="AI756" s="358"/>
      <c r="AJ756" s="358"/>
      <c r="AK756" s="358"/>
      <c r="AL756" s="358"/>
      <c r="AM756" s="358"/>
    </row>
    <row r="757" ht="14.25" customHeight="1">
      <c r="G757" s="358"/>
      <c r="H757" s="358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  <c r="AA757" s="358"/>
      <c r="AB757" s="358"/>
      <c r="AC757" s="358"/>
      <c r="AD757" s="358"/>
      <c r="AE757" s="358"/>
      <c r="AF757" s="358"/>
      <c r="AG757" s="358"/>
      <c r="AH757" s="358"/>
      <c r="AI757" s="358"/>
      <c r="AJ757" s="358"/>
      <c r="AK757" s="358"/>
      <c r="AL757" s="358"/>
      <c r="AM757" s="358"/>
    </row>
    <row r="758" ht="14.25" customHeight="1">
      <c r="G758" s="358"/>
      <c r="H758" s="358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  <c r="AA758" s="358"/>
      <c r="AB758" s="358"/>
      <c r="AC758" s="358"/>
      <c r="AD758" s="358"/>
      <c r="AE758" s="358"/>
      <c r="AF758" s="358"/>
      <c r="AG758" s="358"/>
      <c r="AH758" s="358"/>
      <c r="AI758" s="358"/>
      <c r="AJ758" s="358"/>
      <c r="AK758" s="358"/>
      <c r="AL758" s="358"/>
      <c r="AM758" s="358"/>
    </row>
    <row r="759" ht="14.25" customHeight="1">
      <c r="G759" s="358"/>
      <c r="H759" s="358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  <c r="AA759" s="358"/>
      <c r="AB759" s="358"/>
      <c r="AC759" s="358"/>
      <c r="AD759" s="358"/>
      <c r="AE759" s="358"/>
      <c r="AF759" s="358"/>
      <c r="AG759" s="358"/>
      <c r="AH759" s="358"/>
      <c r="AI759" s="358"/>
      <c r="AJ759" s="358"/>
      <c r="AK759" s="358"/>
      <c r="AL759" s="358"/>
      <c r="AM759" s="358"/>
    </row>
    <row r="760" ht="14.25" customHeight="1">
      <c r="G760" s="358"/>
      <c r="H760" s="358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  <c r="AA760" s="358"/>
      <c r="AB760" s="358"/>
      <c r="AC760" s="358"/>
      <c r="AD760" s="358"/>
      <c r="AE760" s="358"/>
      <c r="AF760" s="358"/>
      <c r="AG760" s="358"/>
      <c r="AH760" s="358"/>
      <c r="AI760" s="358"/>
      <c r="AJ760" s="358"/>
      <c r="AK760" s="358"/>
      <c r="AL760" s="358"/>
      <c r="AM760" s="358"/>
    </row>
    <row r="761" ht="14.25" customHeight="1">
      <c r="G761" s="358"/>
      <c r="H761" s="358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  <c r="AA761" s="358"/>
      <c r="AB761" s="358"/>
      <c r="AC761" s="358"/>
      <c r="AD761" s="358"/>
      <c r="AE761" s="358"/>
      <c r="AF761" s="358"/>
      <c r="AG761" s="358"/>
      <c r="AH761" s="358"/>
      <c r="AI761" s="358"/>
      <c r="AJ761" s="358"/>
      <c r="AK761" s="358"/>
      <c r="AL761" s="358"/>
      <c r="AM761" s="358"/>
    </row>
    <row r="762" ht="14.25" customHeight="1">
      <c r="G762" s="358"/>
      <c r="H762" s="358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  <c r="AA762" s="358"/>
      <c r="AB762" s="358"/>
      <c r="AC762" s="358"/>
      <c r="AD762" s="358"/>
      <c r="AE762" s="358"/>
      <c r="AF762" s="358"/>
      <c r="AG762" s="358"/>
      <c r="AH762" s="358"/>
      <c r="AI762" s="358"/>
      <c r="AJ762" s="358"/>
      <c r="AK762" s="358"/>
      <c r="AL762" s="358"/>
      <c r="AM762" s="358"/>
    </row>
    <row r="763" ht="14.25" customHeight="1">
      <c r="G763" s="358"/>
      <c r="H763" s="358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  <c r="AA763" s="358"/>
      <c r="AB763" s="358"/>
      <c r="AC763" s="358"/>
      <c r="AD763" s="358"/>
      <c r="AE763" s="358"/>
      <c r="AF763" s="358"/>
      <c r="AG763" s="358"/>
      <c r="AH763" s="358"/>
      <c r="AI763" s="358"/>
      <c r="AJ763" s="358"/>
      <c r="AK763" s="358"/>
      <c r="AL763" s="358"/>
      <c r="AM763" s="358"/>
    </row>
    <row r="764" ht="14.25" customHeight="1">
      <c r="G764" s="358"/>
      <c r="H764" s="358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  <c r="AA764" s="358"/>
      <c r="AB764" s="358"/>
      <c r="AC764" s="358"/>
      <c r="AD764" s="358"/>
      <c r="AE764" s="358"/>
      <c r="AF764" s="358"/>
      <c r="AG764" s="358"/>
      <c r="AH764" s="358"/>
      <c r="AI764" s="358"/>
      <c r="AJ764" s="358"/>
      <c r="AK764" s="358"/>
      <c r="AL764" s="358"/>
      <c r="AM764" s="358"/>
    </row>
    <row r="765" ht="14.25" customHeight="1">
      <c r="G765" s="358"/>
      <c r="H765" s="358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  <c r="AA765" s="358"/>
      <c r="AB765" s="358"/>
      <c r="AC765" s="358"/>
      <c r="AD765" s="358"/>
      <c r="AE765" s="358"/>
      <c r="AF765" s="358"/>
      <c r="AG765" s="358"/>
      <c r="AH765" s="358"/>
      <c r="AI765" s="358"/>
      <c r="AJ765" s="358"/>
      <c r="AK765" s="358"/>
      <c r="AL765" s="358"/>
      <c r="AM765" s="358"/>
    </row>
    <row r="766" ht="14.25" customHeight="1">
      <c r="G766" s="358"/>
      <c r="H766" s="358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  <c r="AA766" s="358"/>
      <c r="AB766" s="358"/>
      <c r="AC766" s="358"/>
      <c r="AD766" s="358"/>
      <c r="AE766" s="358"/>
      <c r="AF766" s="358"/>
      <c r="AG766" s="358"/>
      <c r="AH766" s="358"/>
      <c r="AI766" s="358"/>
      <c r="AJ766" s="358"/>
      <c r="AK766" s="358"/>
      <c r="AL766" s="358"/>
      <c r="AM766" s="358"/>
    </row>
    <row r="767" ht="14.25" customHeight="1">
      <c r="G767" s="358"/>
      <c r="H767" s="358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  <c r="AA767" s="358"/>
      <c r="AB767" s="358"/>
      <c r="AC767" s="358"/>
      <c r="AD767" s="358"/>
      <c r="AE767" s="358"/>
      <c r="AF767" s="358"/>
      <c r="AG767" s="358"/>
      <c r="AH767" s="358"/>
      <c r="AI767" s="358"/>
      <c r="AJ767" s="358"/>
      <c r="AK767" s="358"/>
      <c r="AL767" s="358"/>
      <c r="AM767" s="358"/>
    </row>
    <row r="768" ht="14.25" customHeight="1">
      <c r="G768" s="358"/>
      <c r="H768" s="358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  <c r="AA768" s="358"/>
      <c r="AB768" s="358"/>
      <c r="AC768" s="358"/>
      <c r="AD768" s="358"/>
      <c r="AE768" s="358"/>
      <c r="AF768" s="358"/>
      <c r="AG768" s="358"/>
      <c r="AH768" s="358"/>
      <c r="AI768" s="358"/>
      <c r="AJ768" s="358"/>
      <c r="AK768" s="358"/>
      <c r="AL768" s="358"/>
      <c r="AM768" s="358"/>
    </row>
    <row r="769" ht="14.25" customHeight="1">
      <c r="G769" s="358"/>
      <c r="H769" s="358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  <c r="AA769" s="358"/>
      <c r="AB769" s="358"/>
      <c r="AC769" s="358"/>
      <c r="AD769" s="358"/>
      <c r="AE769" s="358"/>
      <c r="AF769" s="358"/>
      <c r="AG769" s="358"/>
      <c r="AH769" s="358"/>
      <c r="AI769" s="358"/>
      <c r="AJ769" s="358"/>
      <c r="AK769" s="358"/>
      <c r="AL769" s="358"/>
      <c r="AM769" s="358"/>
    </row>
    <row r="770" ht="14.25" customHeight="1">
      <c r="G770" s="358"/>
      <c r="H770" s="358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  <c r="AA770" s="358"/>
      <c r="AB770" s="358"/>
      <c r="AC770" s="358"/>
      <c r="AD770" s="358"/>
      <c r="AE770" s="358"/>
      <c r="AF770" s="358"/>
      <c r="AG770" s="358"/>
      <c r="AH770" s="358"/>
      <c r="AI770" s="358"/>
      <c r="AJ770" s="358"/>
      <c r="AK770" s="358"/>
      <c r="AL770" s="358"/>
      <c r="AM770" s="358"/>
    </row>
    <row r="771" ht="14.25" customHeight="1">
      <c r="G771" s="358"/>
      <c r="H771" s="358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  <c r="AA771" s="358"/>
      <c r="AB771" s="358"/>
      <c r="AC771" s="358"/>
      <c r="AD771" s="358"/>
      <c r="AE771" s="358"/>
      <c r="AF771" s="358"/>
      <c r="AG771" s="358"/>
      <c r="AH771" s="358"/>
      <c r="AI771" s="358"/>
      <c r="AJ771" s="358"/>
      <c r="AK771" s="358"/>
      <c r="AL771" s="358"/>
      <c r="AM771" s="358"/>
    </row>
    <row r="772" ht="14.25" customHeight="1">
      <c r="G772" s="358"/>
      <c r="H772" s="358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  <c r="AA772" s="358"/>
      <c r="AB772" s="358"/>
      <c r="AC772" s="358"/>
      <c r="AD772" s="358"/>
      <c r="AE772" s="358"/>
      <c r="AF772" s="358"/>
      <c r="AG772" s="358"/>
      <c r="AH772" s="358"/>
      <c r="AI772" s="358"/>
      <c r="AJ772" s="358"/>
      <c r="AK772" s="358"/>
      <c r="AL772" s="358"/>
      <c r="AM772" s="358"/>
    </row>
    <row r="773" ht="14.25" customHeight="1">
      <c r="G773" s="358"/>
      <c r="H773" s="358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  <c r="AA773" s="358"/>
      <c r="AB773" s="358"/>
      <c r="AC773" s="358"/>
      <c r="AD773" s="358"/>
      <c r="AE773" s="358"/>
      <c r="AF773" s="358"/>
      <c r="AG773" s="358"/>
      <c r="AH773" s="358"/>
      <c r="AI773" s="358"/>
      <c r="AJ773" s="358"/>
      <c r="AK773" s="358"/>
      <c r="AL773" s="358"/>
      <c r="AM773" s="358"/>
    </row>
    <row r="774" ht="14.25" customHeight="1">
      <c r="G774" s="358"/>
      <c r="H774" s="358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  <c r="AA774" s="358"/>
      <c r="AB774" s="358"/>
      <c r="AC774" s="358"/>
      <c r="AD774" s="358"/>
      <c r="AE774" s="358"/>
      <c r="AF774" s="358"/>
      <c r="AG774" s="358"/>
      <c r="AH774" s="358"/>
      <c r="AI774" s="358"/>
      <c r="AJ774" s="358"/>
      <c r="AK774" s="358"/>
      <c r="AL774" s="358"/>
      <c r="AM774" s="358"/>
    </row>
    <row r="775" ht="14.25" customHeight="1">
      <c r="G775" s="358"/>
      <c r="H775" s="358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  <c r="AA775" s="358"/>
      <c r="AB775" s="358"/>
      <c r="AC775" s="358"/>
      <c r="AD775" s="358"/>
      <c r="AE775" s="358"/>
      <c r="AF775" s="358"/>
      <c r="AG775" s="358"/>
      <c r="AH775" s="358"/>
      <c r="AI775" s="358"/>
      <c r="AJ775" s="358"/>
      <c r="AK775" s="358"/>
      <c r="AL775" s="358"/>
      <c r="AM775" s="358"/>
    </row>
    <row r="776" ht="14.25" customHeight="1">
      <c r="G776" s="358"/>
      <c r="H776" s="358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  <c r="AA776" s="358"/>
      <c r="AB776" s="358"/>
      <c r="AC776" s="358"/>
      <c r="AD776" s="358"/>
      <c r="AE776" s="358"/>
      <c r="AF776" s="358"/>
      <c r="AG776" s="358"/>
      <c r="AH776" s="358"/>
      <c r="AI776" s="358"/>
      <c r="AJ776" s="358"/>
      <c r="AK776" s="358"/>
      <c r="AL776" s="358"/>
      <c r="AM776" s="358"/>
    </row>
    <row r="777" ht="14.25" customHeight="1">
      <c r="G777" s="358"/>
      <c r="H777" s="358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  <c r="AA777" s="358"/>
      <c r="AB777" s="358"/>
      <c r="AC777" s="358"/>
      <c r="AD777" s="358"/>
      <c r="AE777" s="358"/>
      <c r="AF777" s="358"/>
      <c r="AG777" s="358"/>
      <c r="AH777" s="358"/>
      <c r="AI777" s="358"/>
      <c r="AJ777" s="358"/>
      <c r="AK777" s="358"/>
      <c r="AL777" s="358"/>
      <c r="AM777" s="358"/>
    </row>
    <row r="778" ht="14.25" customHeight="1">
      <c r="G778" s="358"/>
      <c r="H778" s="358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  <c r="AA778" s="358"/>
      <c r="AB778" s="358"/>
      <c r="AC778" s="358"/>
      <c r="AD778" s="358"/>
      <c r="AE778" s="358"/>
      <c r="AF778" s="358"/>
      <c r="AG778" s="358"/>
      <c r="AH778" s="358"/>
      <c r="AI778" s="358"/>
      <c r="AJ778" s="358"/>
      <c r="AK778" s="358"/>
      <c r="AL778" s="358"/>
      <c r="AM778" s="358"/>
    </row>
    <row r="779" ht="14.25" customHeight="1">
      <c r="G779" s="358"/>
      <c r="H779" s="358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  <c r="AA779" s="358"/>
      <c r="AB779" s="358"/>
      <c r="AC779" s="358"/>
      <c r="AD779" s="358"/>
      <c r="AE779" s="358"/>
      <c r="AF779" s="358"/>
      <c r="AG779" s="358"/>
      <c r="AH779" s="358"/>
      <c r="AI779" s="358"/>
      <c r="AJ779" s="358"/>
      <c r="AK779" s="358"/>
      <c r="AL779" s="358"/>
      <c r="AM779" s="358"/>
    </row>
    <row r="780" ht="14.25" customHeight="1">
      <c r="G780" s="358"/>
      <c r="H780" s="358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  <c r="AA780" s="358"/>
      <c r="AB780" s="358"/>
      <c r="AC780" s="358"/>
      <c r="AD780" s="358"/>
      <c r="AE780" s="358"/>
      <c r="AF780" s="358"/>
      <c r="AG780" s="358"/>
      <c r="AH780" s="358"/>
      <c r="AI780" s="358"/>
      <c r="AJ780" s="358"/>
      <c r="AK780" s="358"/>
      <c r="AL780" s="358"/>
      <c r="AM780" s="358"/>
    </row>
    <row r="781" ht="14.25" customHeight="1">
      <c r="G781" s="358"/>
      <c r="H781" s="358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  <c r="AA781" s="358"/>
      <c r="AB781" s="358"/>
      <c r="AC781" s="358"/>
      <c r="AD781" s="358"/>
      <c r="AE781" s="358"/>
      <c r="AF781" s="358"/>
      <c r="AG781" s="358"/>
      <c r="AH781" s="358"/>
      <c r="AI781" s="358"/>
      <c r="AJ781" s="358"/>
      <c r="AK781" s="358"/>
      <c r="AL781" s="358"/>
      <c r="AM781" s="358"/>
    </row>
    <row r="782" ht="14.25" customHeight="1">
      <c r="G782" s="358"/>
      <c r="H782" s="358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  <c r="AA782" s="358"/>
      <c r="AB782" s="358"/>
      <c r="AC782" s="358"/>
      <c r="AD782" s="358"/>
      <c r="AE782" s="358"/>
      <c r="AF782" s="358"/>
      <c r="AG782" s="358"/>
      <c r="AH782" s="358"/>
      <c r="AI782" s="358"/>
      <c r="AJ782" s="358"/>
      <c r="AK782" s="358"/>
      <c r="AL782" s="358"/>
      <c r="AM782" s="358"/>
    </row>
    <row r="783" ht="14.25" customHeight="1">
      <c r="G783" s="358"/>
      <c r="H783" s="358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  <c r="AA783" s="358"/>
      <c r="AB783" s="358"/>
      <c r="AC783" s="358"/>
      <c r="AD783" s="358"/>
      <c r="AE783" s="358"/>
      <c r="AF783" s="358"/>
      <c r="AG783" s="358"/>
      <c r="AH783" s="358"/>
      <c r="AI783" s="358"/>
      <c r="AJ783" s="358"/>
      <c r="AK783" s="358"/>
      <c r="AL783" s="358"/>
      <c r="AM783" s="358"/>
    </row>
    <row r="784" ht="14.25" customHeight="1">
      <c r="G784" s="358"/>
      <c r="H784" s="358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  <c r="AA784" s="358"/>
      <c r="AB784" s="358"/>
      <c r="AC784" s="358"/>
      <c r="AD784" s="358"/>
      <c r="AE784" s="358"/>
      <c r="AF784" s="358"/>
      <c r="AG784" s="358"/>
      <c r="AH784" s="358"/>
      <c r="AI784" s="358"/>
      <c r="AJ784" s="358"/>
      <c r="AK784" s="358"/>
      <c r="AL784" s="358"/>
      <c r="AM784" s="358"/>
    </row>
    <row r="785" ht="14.25" customHeight="1">
      <c r="G785" s="358"/>
      <c r="H785" s="358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  <c r="AA785" s="358"/>
      <c r="AB785" s="358"/>
      <c r="AC785" s="358"/>
      <c r="AD785" s="358"/>
      <c r="AE785" s="358"/>
      <c r="AF785" s="358"/>
      <c r="AG785" s="358"/>
      <c r="AH785" s="358"/>
      <c r="AI785" s="358"/>
      <c r="AJ785" s="358"/>
      <c r="AK785" s="358"/>
      <c r="AL785" s="358"/>
      <c r="AM785" s="358"/>
    </row>
    <row r="786" ht="14.25" customHeight="1">
      <c r="G786" s="358"/>
      <c r="H786" s="358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  <c r="AA786" s="358"/>
      <c r="AB786" s="358"/>
      <c r="AC786" s="358"/>
      <c r="AD786" s="358"/>
      <c r="AE786" s="358"/>
      <c r="AF786" s="358"/>
      <c r="AG786" s="358"/>
      <c r="AH786" s="358"/>
      <c r="AI786" s="358"/>
      <c r="AJ786" s="358"/>
      <c r="AK786" s="358"/>
      <c r="AL786" s="358"/>
      <c r="AM786" s="358"/>
    </row>
    <row r="787" ht="14.25" customHeight="1">
      <c r="G787" s="358"/>
      <c r="H787" s="358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  <c r="AA787" s="358"/>
      <c r="AB787" s="358"/>
      <c r="AC787" s="358"/>
      <c r="AD787" s="358"/>
      <c r="AE787" s="358"/>
      <c r="AF787" s="358"/>
      <c r="AG787" s="358"/>
      <c r="AH787" s="358"/>
      <c r="AI787" s="358"/>
      <c r="AJ787" s="358"/>
      <c r="AK787" s="358"/>
      <c r="AL787" s="358"/>
      <c r="AM787" s="358"/>
    </row>
    <row r="788" ht="14.25" customHeight="1">
      <c r="G788" s="358"/>
      <c r="H788" s="358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  <c r="AA788" s="358"/>
      <c r="AB788" s="358"/>
      <c r="AC788" s="358"/>
      <c r="AD788" s="358"/>
      <c r="AE788" s="358"/>
      <c r="AF788" s="358"/>
      <c r="AG788" s="358"/>
      <c r="AH788" s="358"/>
      <c r="AI788" s="358"/>
      <c r="AJ788" s="358"/>
      <c r="AK788" s="358"/>
      <c r="AL788" s="358"/>
      <c r="AM788" s="358"/>
    </row>
    <row r="789" ht="14.25" customHeight="1">
      <c r="G789" s="358"/>
      <c r="H789" s="358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  <c r="AA789" s="358"/>
      <c r="AB789" s="358"/>
      <c r="AC789" s="358"/>
      <c r="AD789" s="358"/>
      <c r="AE789" s="358"/>
      <c r="AF789" s="358"/>
      <c r="AG789" s="358"/>
      <c r="AH789" s="358"/>
      <c r="AI789" s="358"/>
      <c r="AJ789" s="358"/>
      <c r="AK789" s="358"/>
      <c r="AL789" s="358"/>
      <c r="AM789" s="358"/>
    </row>
    <row r="790" ht="14.25" customHeight="1">
      <c r="G790" s="358"/>
      <c r="H790" s="358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  <c r="AA790" s="358"/>
      <c r="AB790" s="358"/>
      <c r="AC790" s="358"/>
      <c r="AD790" s="358"/>
      <c r="AE790" s="358"/>
      <c r="AF790" s="358"/>
      <c r="AG790" s="358"/>
      <c r="AH790" s="358"/>
      <c r="AI790" s="358"/>
      <c r="AJ790" s="358"/>
      <c r="AK790" s="358"/>
      <c r="AL790" s="358"/>
      <c r="AM790" s="358"/>
    </row>
    <row r="791" ht="14.25" customHeight="1">
      <c r="G791" s="358"/>
      <c r="H791" s="358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  <c r="AA791" s="358"/>
      <c r="AB791" s="358"/>
      <c r="AC791" s="358"/>
      <c r="AD791" s="358"/>
      <c r="AE791" s="358"/>
      <c r="AF791" s="358"/>
      <c r="AG791" s="358"/>
      <c r="AH791" s="358"/>
      <c r="AI791" s="358"/>
      <c r="AJ791" s="358"/>
      <c r="AK791" s="358"/>
      <c r="AL791" s="358"/>
      <c r="AM791" s="358"/>
    </row>
    <row r="792" ht="14.25" customHeight="1">
      <c r="G792" s="358"/>
      <c r="H792" s="358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  <c r="AA792" s="358"/>
      <c r="AB792" s="358"/>
      <c r="AC792" s="358"/>
      <c r="AD792" s="358"/>
      <c r="AE792" s="358"/>
      <c r="AF792" s="358"/>
      <c r="AG792" s="358"/>
      <c r="AH792" s="358"/>
      <c r="AI792" s="358"/>
      <c r="AJ792" s="358"/>
      <c r="AK792" s="358"/>
      <c r="AL792" s="358"/>
      <c r="AM792" s="358"/>
    </row>
    <row r="793" ht="14.25" customHeight="1">
      <c r="G793" s="358"/>
      <c r="H793" s="358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  <c r="AA793" s="358"/>
      <c r="AB793" s="358"/>
      <c r="AC793" s="358"/>
      <c r="AD793" s="358"/>
      <c r="AE793" s="358"/>
      <c r="AF793" s="358"/>
      <c r="AG793" s="358"/>
      <c r="AH793" s="358"/>
      <c r="AI793" s="358"/>
      <c r="AJ793" s="358"/>
      <c r="AK793" s="358"/>
      <c r="AL793" s="358"/>
      <c r="AM793" s="358"/>
    </row>
    <row r="794" ht="14.25" customHeight="1">
      <c r="G794" s="358"/>
      <c r="H794" s="358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  <c r="AA794" s="358"/>
      <c r="AB794" s="358"/>
      <c r="AC794" s="358"/>
      <c r="AD794" s="358"/>
      <c r="AE794" s="358"/>
      <c r="AF794" s="358"/>
      <c r="AG794" s="358"/>
      <c r="AH794" s="358"/>
      <c r="AI794" s="358"/>
      <c r="AJ794" s="358"/>
      <c r="AK794" s="358"/>
      <c r="AL794" s="358"/>
      <c r="AM794" s="358"/>
    </row>
    <row r="795" ht="14.25" customHeight="1">
      <c r="G795" s="358"/>
      <c r="H795" s="358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  <c r="AA795" s="358"/>
      <c r="AB795" s="358"/>
      <c r="AC795" s="358"/>
      <c r="AD795" s="358"/>
      <c r="AE795" s="358"/>
      <c r="AF795" s="358"/>
      <c r="AG795" s="358"/>
      <c r="AH795" s="358"/>
      <c r="AI795" s="358"/>
      <c r="AJ795" s="358"/>
      <c r="AK795" s="358"/>
      <c r="AL795" s="358"/>
      <c r="AM795" s="358"/>
    </row>
    <row r="796" ht="14.25" customHeight="1"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</row>
    <row r="797" ht="14.25" customHeight="1">
      <c r="G797" s="358"/>
      <c r="H797" s="358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  <c r="AA797" s="358"/>
      <c r="AB797" s="358"/>
      <c r="AC797" s="358"/>
      <c r="AD797" s="358"/>
      <c r="AE797" s="358"/>
      <c r="AF797" s="358"/>
      <c r="AG797" s="358"/>
      <c r="AH797" s="358"/>
      <c r="AI797" s="358"/>
      <c r="AJ797" s="358"/>
      <c r="AK797" s="358"/>
      <c r="AL797" s="358"/>
      <c r="AM797" s="358"/>
    </row>
    <row r="798" ht="14.25" customHeight="1">
      <c r="G798" s="358"/>
      <c r="H798" s="358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  <c r="AA798" s="358"/>
      <c r="AB798" s="358"/>
      <c r="AC798" s="358"/>
      <c r="AD798" s="358"/>
      <c r="AE798" s="358"/>
      <c r="AF798" s="358"/>
      <c r="AG798" s="358"/>
      <c r="AH798" s="358"/>
      <c r="AI798" s="358"/>
      <c r="AJ798" s="358"/>
      <c r="AK798" s="358"/>
      <c r="AL798" s="358"/>
      <c r="AM798" s="358"/>
    </row>
    <row r="799" ht="14.25" customHeight="1">
      <c r="G799" s="358"/>
      <c r="H799" s="358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  <c r="AA799" s="358"/>
      <c r="AB799" s="358"/>
      <c r="AC799" s="358"/>
      <c r="AD799" s="358"/>
      <c r="AE799" s="358"/>
      <c r="AF799" s="358"/>
      <c r="AG799" s="358"/>
      <c r="AH799" s="358"/>
      <c r="AI799" s="358"/>
      <c r="AJ799" s="358"/>
      <c r="AK799" s="358"/>
      <c r="AL799" s="358"/>
      <c r="AM799" s="358"/>
    </row>
    <row r="800" ht="14.25" customHeight="1">
      <c r="G800" s="358"/>
      <c r="H800" s="358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  <c r="AA800" s="358"/>
      <c r="AB800" s="358"/>
      <c r="AC800" s="358"/>
      <c r="AD800" s="358"/>
      <c r="AE800" s="358"/>
      <c r="AF800" s="358"/>
      <c r="AG800" s="358"/>
      <c r="AH800" s="358"/>
      <c r="AI800" s="358"/>
      <c r="AJ800" s="358"/>
      <c r="AK800" s="358"/>
      <c r="AL800" s="358"/>
      <c r="AM800" s="358"/>
    </row>
    <row r="801" ht="14.25" customHeight="1">
      <c r="G801" s="358"/>
      <c r="H801" s="358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  <c r="AA801" s="358"/>
      <c r="AB801" s="358"/>
      <c r="AC801" s="358"/>
      <c r="AD801" s="358"/>
      <c r="AE801" s="358"/>
      <c r="AF801" s="358"/>
      <c r="AG801" s="358"/>
      <c r="AH801" s="358"/>
      <c r="AI801" s="358"/>
      <c r="AJ801" s="358"/>
      <c r="AK801" s="358"/>
      <c r="AL801" s="358"/>
      <c r="AM801" s="358"/>
    </row>
    <row r="802" ht="14.25" customHeight="1">
      <c r="G802" s="358"/>
      <c r="H802" s="358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  <c r="AA802" s="358"/>
      <c r="AB802" s="358"/>
      <c r="AC802" s="358"/>
      <c r="AD802" s="358"/>
      <c r="AE802" s="358"/>
      <c r="AF802" s="358"/>
      <c r="AG802" s="358"/>
      <c r="AH802" s="358"/>
      <c r="AI802" s="358"/>
      <c r="AJ802" s="358"/>
      <c r="AK802" s="358"/>
      <c r="AL802" s="358"/>
      <c r="AM802" s="358"/>
    </row>
    <row r="803" ht="14.25" customHeight="1">
      <c r="G803" s="358"/>
      <c r="H803" s="358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  <c r="AA803" s="358"/>
      <c r="AB803" s="358"/>
      <c r="AC803" s="358"/>
      <c r="AD803" s="358"/>
      <c r="AE803" s="358"/>
      <c r="AF803" s="358"/>
      <c r="AG803" s="358"/>
      <c r="AH803" s="358"/>
      <c r="AI803" s="358"/>
      <c r="AJ803" s="358"/>
      <c r="AK803" s="358"/>
      <c r="AL803" s="358"/>
      <c r="AM803" s="358"/>
    </row>
    <row r="804" ht="14.25" customHeight="1">
      <c r="G804" s="358"/>
      <c r="H804" s="358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  <c r="AA804" s="358"/>
      <c r="AB804" s="358"/>
      <c r="AC804" s="358"/>
      <c r="AD804" s="358"/>
      <c r="AE804" s="358"/>
      <c r="AF804" s="358"/>
      <c r="AG804" s="358"/>
      <c r="AH804" s="358"/>
      <c r="AI804" s="358"/>
      <c r="AJ804" s="358"/>
      <c r="AK804" s="358"/>
      <c r="AL804" s="358"/>
      <c r="AM804" s="358"/>
    </row>
    <row r="805" ht="14.25" customHeight="1">
      <c r="G805" s="358"/>
      <c r="H805" s="358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  <c r="AA805" s="358"/>
      <c r="AB805" s="358"/>
      <c r="AC805" s="358"/>
      <c r="AD805" s="358"/>
      <c r="AE805" s="358"/>
      <c r="AF805" s="358"/>
      <c r="AG805" s="358"/>
      <c r="AH805" s="358"/>
      <c r="AI805" s="358"/>
      <c r="AJ805" s="358"/>
      <c r="AK805" s="358"/>
      <c r="AL805" s="358"/>
      <c r="AM805" s="358"/>
    </row>
    <row r="806" ht="14.25" customHeight="1"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  <c r="AB806" s="358"/>
      <c r="AC806" s="358"/>
      <c r="AD806" s="358"/>
      <c r="AE806" s="358"/>
      <c r="AF806" s="358"/>
      <c r="AG806" s="358"/>
      <c r="AH806" s="358"/>
      <c r="AI806" s="358"/>
      <c r="AJ806" s="358"/>
      <c r="AK806" s="358"/>
      <c r="AL806" s="358"/>
      <c r="AM806" s="358"/>
    </row>
    <row r="807" ht="14.25" customHeight="1"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  <c r="AF807" s="358"/>
      <c r="AG807" s="358"/>
      <c r="AH807" s="358"/>
      <c r="AI807" s="358"/>
      <c r="AJ807" s="358"/>
      <c r="AK807" s="358"/>
      <c r="AL807" s="358"/>
      <c r="AM807" s="358"/>
    </row>
    <row r="808" ht="14.25" customHeight="1">
      <c r="G808" s="358"/>
      <c r="H808" s="358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  <c r="AA808" s="358"/>
      <c r="AB808" s="358"/>
      <c r="AC808" s="358"/>
      <c r="AD808" s="358"/>
      <c r="AE808" s="358"/>
      <c r="AF808" s="358"/>
      <c r="AG808" s="358"/>
      <c r="AH808" s="358"/>
      <c r="AI808" s="358"/>
      <c r="AJ808" s="358"/>
      <c r="AK808" s="358"/>
      <c r="AL808" s="358"/>
      <c r="AM808" s="358"/>
    </row>
    <row r="809" ht="14.25" customHeight="1">
      <c r="G809" s="358"/>
      <c r="H809" s="358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  <c r="AA809" s="358"/>
      <c r="AB809" s="358"/>
      <c r="AC809" s="358"/>
      <c r="AD809" s="358"/>
      <c r="AE809" s="358"/>
      <c r="AF809" s="358"/>
      <c r="AG809" s="358"/>
      <c r="AH809" s="358"/>
      <c r="AI809" s="358"/>
      <c r="AJ809" s="358"/>
      <c r="AK809" s="358"/>
      <c r="AL809" s="358"/>
      <c r="AM809" s="358"/>
    </row>
    <row r="810" ht="14.25" customHeight="1">
      <c r="G810" s="358"/>
      <c r="H810" s="358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  <c r="AA810" s="358"/>
      <c r="AB810" s="358"/>
      <c r="AC810" s="358"/>
      <c r="AD810" s="358"/>
      <c r="AE810" s="358"/>
      <c r="AF810" s="358"/>
      <c r="AG810" s="358"/>
      <c r="AH810" s="358"/>
      <c r="AI810" s="358"/>
      <c r="AJ810" s="358"/>
      <c r="AK810" s="358"/>
      <c r="AL810" s="358"/>
      <c r="AM810" s="358"/>
    </row>
    <row r="811" ht="14.25" customHeight="1">
      <c r="G811" s="358"/>
      <c r="H811" s="358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  <c r="AA811" s="358"/>
      <c r="AB811" s="358"/>
      <c r="AC811" s="358"/>
      <c r="AD811" s="358"/>
      <c r="AE811" s="358"/>
      <c r="AF811" s="358"/>
      <c r="AG811" s="358"/>
      <c r="AH811" s="358"/>
      <c r="AI811" s="358"/>
      <c r="AJ811" s="358"/>
      <c r="AK811" s="358"/>
      <c r="AL811" s="358"/>
      <c r="AM811" s="358"/>
    </row>
    <row r="812" ht="14.25" customHeight="1">
      <c r="G812" s="358"/>
      <c r="H812" s="358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  <c r="AA812" s="358"/>
      <c r="AB812" s="358"/>
      <c r="AC812" s="358"/>
      <c r="AD812" s="358"/>
      <c r="AE812" s="358"/>
      <c r="AF812" s="358"/>
      <c r="AG812" s="358"/>
      <c r="AH812" s="358"/>
      <c r="AI812" s="358"/>
      <c r="AJ812" s="358"/>
      <c r="AK812" s="358"/>
      <c r="AL812" s="358"/>
      <c r="AM812" s="358"/>
    </row>
    <row r="813" ht="14.25" customHeight="1">
      <c r="G813" s="358"/>
      <c r="H813" s="358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  <c r="AA813" s="358"/>
      <c r="AB813" s="358"/>
      <c r="AC813" s="358"/>
      <c r="AD813" s="358"/>
      <c r="AE813" s="358"/>
      <c r="AF813" s="358"/>
      <c r="AG813" s="358"/>
      <c r="AH813" s="358"/>
      <c r="AI813" s="358"/>
      <c r="AJ813" s="358"/>
      <c r="AK813" s="358"/>
      <c r="AL813" s="358"/>
      <c r="AM813" s="358"/>
    </row>
    <row r="814" ht="14.25" customHeight="1">
      <c r="G814" s="358"/>
      <c r="H814" s="358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  <c r="AA814" s="358"/>
      <c r="AB814" s="358"/>
      <c r="AC814" s="358"/>
      <c r="AD814" s="358"/>
      <c r="AE814" s="358"/>
      <c r="AF814" s="358"/>
      <c r="AG814" s="358"/>
      <c r="AH814" s="358"/>
      <c r="AI814" s="358"/>
      <c r="AJ814" s="358"/>
      <c r="AK814" s="358"/>
      <c r="AL814" s="358"/>
      <c r="AM814" s="358"/>
    </row>
    <row r="815" ht="14.25" customHeight="1">
      <c r="G815" s="358"/>
      <c r="H815" s="358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  <c r="AA815" s="358"/>
      <c r="AB815" s="358"/>
      <c r="AC815" s="358"/>
      <c r="AD815" s="358"/>
      <c r="AE815" s="358"/>
      <c r="AF815" s="358"/>
      <c r="AG815" s="358"/>
      <c r="AH815" s="358"/>
      <c r="AI815" s="358"/>
      <c r="AJ815" s="358"/>
      <c r="AK815" s="358"/>
      <c r="AL815" s="358"/>
      <c r="AM815" s="358"/>
    </row>
    <row r="816" ht="14.25" customHeight="1"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  <c r="AB816" s="358"/>
      <c r="AC816" s="358"/>
      <c r="AD816" s="358"/>
      <c r="AE816" s="358"/>
      <c r="AF816" s="358"/>
      <c r="AG816" s="358"/>
      <c r="AH816" s="358"/>
      <c r="AI816" s="358"/>
      <c r="AJ816" s="358"/>
      <c r="AK816" s="358"/>
      <c r="AL816" s="358"/>
      <c r="AM816" s="358"/>
    </row>
    <row r="817" ht="14.25" customHeight="1"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</row>
    <row r="818" ht="14.25" customHeight="1"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  <c r="AF818" s="358"/>
      <c r="AG818" s="358"/>
      <c r="AH818" s="358"/>
      <c r="AI818" s="358"/>
      <c r="AJ818" s="358"/>
      <c r="AK818" s="358"/>
      <c r="AL818" s="358"/>
      <c r="AM818" s="358"/>
    </row>
    <row r="819" ht="14.25" customHeight="1">
      <c r="G819" s="358"/>
      <c r="H819" s="358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  <c r="AA819" s="358"/>
      <c r="AB819" s="358"/>
      <c r="AC819" s="358"/>
      <c r="AD819" s="358"/>
      <c r="AE819" s="358"/>
      <c r="AF819" s="358"/>
      <c r="AG819" s="358"/>
      <c r="AH819" s="358"/>
      <c r="AI819" s="358"/>
      <c r="AJ819" s="358"/>
      <c r="AK819" s="358"/>
      <c r="AL819" s="358"/>
      <c r="AM819" s="358"/>
    </row>
    <row r="820" ht="14.25" customHeight="1"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  <c r="AB820" s="358"/>
      <c r="AC820" s="358"/>
      <c r="AD820" s="358"/>
      <c r="AE820" s="358"/>
      <c r="AF820" s="358"/>
      <c r="AG820" s="358"/>
      <c r="AH820" s="358"/>
      <c r="AI820" s="358"/>
      <c r="AJ820" s="358"/>
      <c r="AK820" s="358"/>
      <c r="AL820" s="358"/>
      <c r="AM820" s="358"/>
    </row>
    <row r="821" ht="14.25" customHeight="1"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  <c r="AF821" s="358"/>
      <c r="AG821" s="358"/>
      <c r="AH821" s="358"/>
      <c r="AI821" s="358"/>
      <c r="AJ821" s="358"/>
      <c r="AK821" s="358"/>
      <c r="AL821" s="358"/>
      <c r="AM821" s="358"/>
    </row>
    <row r="822" ht="14.25" customHeight="1">
      <c r="G822" s="358"/>
      <c r="H822" s="358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  <c r="AA822" s="358"/>
      <c r="AB822" s="358"/>
      <c r="AC822" s="358"/>
      <c r="AD822" s="358"/>
      <c r="AE822" s="358"/>
      <c r="AF822" s="358"/>
      <c r="AG822" s="358"/>
      <c r="AH822" s="358"/>
      <c r="AI822" s="358"/>
      <c r="AJ822" s="358"/>
      <c r="AK822" s="358"/>
      <c r="AL822" s="358"/>
      <c r="AM822" s="358"/>
    </row>
    <row r="823" ht="14.25" customHeight="1">
      <c r="G823" s="358"/>
      <c r="H823" s="358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  <c r="AA823" s="358"/>
      <c r="AB823" s="358"/>
      <c r="AC823" s="358"/>
      <c r="AD823" s="358"/>
      <c r="AE823" s="358"/>
      <c r="AF823" s="358"/>
      <c r="AG823" s="358"/>
      <c r="AH823" s="358"/>
      <c r="AI823" s="358"/>
      <c r="AJ823" s="358"/>
      <c r="AK823" s="358"/>
      <c r="AL823" s="358"/>
      <c r="AM823" s="358"/>
    </row>
    <row r="824" ht="14.25" customHeight="1">
      <c r="G824" s="358"/>
      <c r="H824" s="358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  <c r="AA824" s="358"/>
      <c r="AB824" s="358"/>
      <c r="AC824" s="358"/>
      <c r="AD824" s="358"/>
      <c r="AE824" s="358"/>
      <c r="AF824" s="358"/>
      <c r="AG824" s="358"/>
      <c r="AH824" s="358"/>
      <c r="AI824" s="358"/>
      <c r="AJ824" s="358"/>
      <c r="AK824" s="358"/>
      <c r="AL824" s="358"/>
      <c r="AM824" s="358"/>
    </row>
    <row r="825" ht="14.25" customHeight="1">
      <c r="G825" s="358"/>
      <c r="H825" s="358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  <c r="AA825" s="358"/>
      <c r="AB825" s="358"/>
      <c r="AC825" s="358"/>
      <c r="AD825" s="358"/>
      <c r="AE825" s="358"/>
      <c r="AF825" s="358"/>
      <c r="AG825" s="358"/>
      <c r="AH825" s="358"/>
      <c r="AI825" s="358"/>
      <c r="AJ825" s="358"/>
      <c r="AK825" s="358"/>
      <c r="AL825" s="358"/>
      <c r="AM825" s="358"/>
    </row>
    <row r="826" ht="14.25" customHeight="1">
      <c r="G826" s="358"/>
      <c r="H826" s="358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  <c r="AA826" s="358"/>
      <c r="AB826" s="358"/>
      <c r="AC826" s="358"/>
      <c r="AD826" s="358"/>
      <c r="AE826" s="358"/>
      <c r="AF826" s="358"/>
      <c r="AG826" s="358"/>
      <c r="AH826" s="358"/>
      <c r="AI826" s="358"/>
      <c r="AJ826" s="358"/>
      <c r="AK826" s="358"/>
      <c r="AL826" s="358"/>
      <c r="AM826" s="358"/>
    </row>
    <row r="827" ht="14.25" customHeight="1">
      <c r="G827" s="358"/>
      <c r="H827" s="358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  <c r="AA827" s="358"/>
      <c r="AB827" s="358"/>
      <c r="AC827" s="358"/>
      <c r="AD827" s="358"/>
      <c r="AE827" s="358"/>
      <c r="AF827" s="358"/>
      <c r="AG827" s="358"/>
      <c r="AH827" s="358"/>
      <c r="AI827" s="358"/>
      <c r="AJ827" s="358"/>
      <c r="AK827" s="358"/>
      <c r="AL827" s="358"/>
      <c r="AM827" s="358"/>
    </row>
    <row r="828" ht="14.25" customHeight="1">
      <c r="G828" s="358"/>
      <c r="H828" s="358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  <c r="AA828" s="358"/>
      <c r="AB828" s="358"/>
      <c r="AC828" s="358"/>
      <c r="AD828" s="358"/>
      <c r="AE828" s="358"/>
      <c r="AF828" s="358"/>
      <c r="AG828" s="358"/>
      <c r="AH828" s="358"/>
      <c r="AI828" s="358"/>
      <c r="AJ828" s="358"/>
      <c r="AK828" s="358"/>
      <c r="AL828" s="358"/>
      <c r="AM828" s="358"/>
    </row>
    <row r="829" ht="14.25" customHeight="1">
      <c r="G829" s="358"/>
      <c r="H829" s="358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  <c r="AA829" s="358"/>
      <c r="AB829" s="358"/>
      <c r="AC829" s="358"/>
      <c r="AD829" s="358"/>
      <c r="AE829" s="358"/>
      <c r="AF829" s="358"/>
      <c r="AG829" s="358"/>
      <c r="AH829" s="358"/>
      <c r="AI829" s="358"/>
      <c r="AJ829" s="358"/>
      <c r="AK829" s="358"/>
      <c r="AL829" s="358"/>
      <c r="AM829" s="358"/>
    </row>
    <row r="830" ht="14.25" customHeight="1">
      <c r="G830" s="358"/>
      <c r="H830" s="358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  <c r="AA830" s="358"/>
      <c r="AB830" s="358"/>
      <c r="AC830" s="358"/>
      <c r="AD830" s="358"/>
      <c r="AE830" s="358"/>
      <c r="AF830" s="358"/>
      <c r="AG830" s="358"/>
      <c r="AH830" s="358"/>
      <c r="AI830" s="358"/>
      <c r="AJ830" s="358"/>
      <c r="AK830" s="358"/>
      <c r="AL830" s="358"/>
      <c r="AM830" s="358"/>
    </row>
    <row r="831" ht="14.25" customHeight="1"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  <c r="AA831" s="358"/>
      <c r="AB831" s="358"/>
      <c r="AC831" s="358"/>
      <c r="AD831" s="358"/>
      <c r="AE831" s="358"/>
      <c r="AF831" s="358"/>
      <c r="AG831" s="358"/>
      <c r="AH831" s="358"/>
      <c r="AI831" s="358"/>
      <c r="AJ831" s="358"/>
      <c r="AK831" s="358"/>
      <c r="AL831" s="358"/>
      <c r="AM831" s="358"/>
    </row>
    <row r="832" ht="14.25" customHeight="1"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  <c r="AB832" s="358"/>
      <c r="AC832" s="358"/>
      <c r="AD832" s="358"/>
      <c r="AE832" s="358"/>
      <c r="AF832" s="358"/>
      <c r="AG832" s="358"/>
      <c r="AH832" s="358"/>
      <c r="AI832" s="358"/>
      <c r="AJ832" s="358"/>
      <c r="AK832" s="358"/>
      <c r="AL832" s="358"/>
      <c r="AM832" s="358"/>
    </row>
    <row r="833" ht="14.25" customHeight="1"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  <c r="AF833" s="358"/>
      <c r="AG833" s="358"/>
      <c r="AH833" s="358"/>
      <c r="AI833" s="358"/>
      <c r="AJ833" s="358"/>
      <c r="AK833" s="358"/>
      <c r="AL833" s="358"/>
      <c r="AM833" s="358"/>
    </row>
    <row r="834" ht="14.25" customHeight="1">
      <c r="G834" s="358"/>
      <c r="H834" s="358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  <c r="AA834" s="358"/>
      <c r="AB834" s="358"/>
      <c r="AC834" s="358"/>
      <c r="AD834" s="358"/>
      <c r="AE834" s="358"/>
      <c r="AF834" s="358"/>
      <c r="AG834" s="358"/>
      <c r="AH834" s="358"/>
      <c r="AI834" s="358"/>
      <c r="AJ834" s="358"/>
      <c r="AK834" s="358"/>
      <c r="AL834" s="358"/>
      <c r="AM834" s="358"/>
    </row>
    <row r="835" ht="14.25" customHeight="1">
      <c r="G835" s="358"/>
      <c r="H835" s="358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  <c r="AA835" s="358"/>
      <c r="AB835" s="358"/>
      <c r="AC835" s="358"/>
      <c r="AD835" s="358"/>
      <c r="AE835" s="358"/>
      <c r="AF835" s="358"/>
      <c r="AG835" s="358"/>
      <c r="AH835" s="358"/>
      <c r="AI835" s="358"/>
      <c r="AJ835" s="358"/>
      <c r="AK835" s="358"/>
      <c r="AL835" s="358"/>
      <c r="AM835" s="358"/>
    </row>
    <row r="836" ht="14.25" customHeight="1">
      <c r="G836" s="358"/>
      <c r="H836" s="358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  <c r="AA836" s="358"/>
      <c r="AB836" s="358"/>
      <c r="AC836" s="358"/>
      <c r="AD836" s="358"/>
      <c r="AE836" s="358"/>
      <c r="AF836" s="358"/>
      <c r="AG836" s="358"/>
      <c r="AH836" s="358"/>
      <c r="AI836" s="358"/>
      <c r="AJ836" s="358"/>
      <c r="AK836" s="358"/>
      <c r="AL836" s="358"/>
      <c r="AM836" s="358"/>
    </row>
    <row r="837" ht="14.25" customHeight="1"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  <c r="AB837" s="358"/>
      <c r="AC837" s="358"/>
      <c r="AD837" s="358"/>
      <c r="AE837" s="358"/>
      <c r="AF837" s="358"/>
      <c r="AG837" s="358"/>
      <c r="AH837" s="358"/>
      <c r="AI837" s="358"/>
      <c r="AJ837" s="358"/>
      <c r="AK837" s="358"/>
      <c r="AL837" s="358"/>
      <c r="AM837" s="358"/>
    </row>
    <row r="838" ht="14.25" customHeight="1"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  <c r="AF838" s="358"/>
      <c r="AG838" s="358"/>
      <c r="AH838" s="358"/>
      <c r="AI838" s="358"/>
      <c r="AJ838" s="358"/>
      <c r="AK838" s="358"/>
      <c r="AL838" s="358"/>
      <c r="AM838" s="358"/>
    </row>
    <row r="839" ht="14.25" customHeight="1">
      <c r="G839" s="358"/>
      <c r="H839" s="358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  <c r="AA839" s="358"/>
      <c r="AB839" s="358"/>
      <c r="AC839" s="358"/>
      <c r="AD839" s="358"/>
      <c r="AE839" s="358"/>
      <c r="AF839" s="358"/>
      <c r="AG839" s="358"/>
      <c r="AH839" s="358"/>
      <c r="AI839" s="358"/>
      <c r="AJ839" s="358"/>
      <c r="AK839" s="358"/>
      <c r="AL839" s="358"/>
      <c r="AM839" s="358"/>
    </row>
    <row r="840" ht="14.25" customHeight="1"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  <c r="AB840" s="358"/>
      <c r="AC840" s="358"/>
      <c r="AD840" s="358"/>
      <c r="AE840" s="358"/>
      <c r="AF840" s="358"/>
      <c r="AG840" s="358"/>
      <c r="AH840" s="358"/>
      <c r="AI840" s="358"/>
      <c r="AJ840" s="358"/>
      <c r="AK840" s="358"/>
      <c r="AL840" s="358"/>
      <c r="AM840" s="358"/>
    </row>
    <row r="841" ht="14.25" customHeight="1"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  <c r="AI841" s="358"/>
      <c r="AJ841" s="358"/>
      <c r="AK841" s="358"/>
      <c r="AL841" s="358"/>
      <c r="AM841" s="358"/>
    </row>
    <row r="842" ht="14.25" customHeight="1">
      <c r="G842" s="358"/>
      <c r="H842" s="358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  <c r="AA842" s="358"/>
      <c r="AB842" s="358"/>
      <c r="AC842" s="358"/>
      <c r="AD842" s="358"/>
      <c r="AE842" s="358"/>
      <c r="AF842" s="358"/>
      <c r="AG842" s="358"/>
      <c r="AH842" s="358"/>
      <c r="AI842" s="358"/>
      <c r="AJ842" s="358"/>
      <c r="AK842" s="358"/>
      <c r="AL842" s="358"/>
      <c r="AM842" s="358"/>
    </row>
    <row r="843" ht="14.25" customHeight="1">
      <c r="G843" s="358"/>
      <c r="H843" s="358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  <c r="AA843" s="358"/>
      <c r="AB843" s="358"/>
      <c r="AC843" s="358"/>
      <c r="AD843" s="358"/>
      <c r="AE843" s="358"/>
      <c r="AF843" s="358"/>
      <c r="AG843" s="358"/>
      <c r="AH843" s="358"/>
      <c r="AI843" s="358"/>
      <c r="AJ843" s="358"/>
      <c r="AK843" s="358"/>
      <c r="AL843" s="358"/>
      <c r="AM843" s="358"/>
    </row>
    <row r="844" ht="14.25" customHeight="1">
      <c r="G844" s="358"/>
      <c r="H844" s="358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  <c r="AA844" s="358"/>
      <c r="AB844" s="358"/>
      <c r="AC844" s="358"/>
      <c r="AD844" s="358"/>
      <c r="AE844" s="358"/>
      <c r="AF844" s="358"/>
      <c r="AG844" s="358"/>
      <c r="AH844" s="358"/>
      <c r="AI844" s="358"/>
      <c r="AJ844" s="358"/>
      <c r="AK844" s="358"/>
      <c r="AL844" s="358"/>
      <c r="AM844" s="358"/>
    </row>
    <row r="845" ht="14.25" customHeight="1"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  <c r="AB845" s="358"/>
      <c r="AC845" s="358"/>
      <c r="AD845" s="358"/>
      <c r="AE845" s="358"/>
      <c r="AF845" s="358"/>
      <c r="AG845" s="358"/>
      <c r="AH845" s="358"/>
      <c r="AI845" s="358"/>
      <c r="AJ845" s="358"/>
      <c r="AK845" s="358"/>
      <c r="AL845" s="358"/>
      <c r="AM845" s="358"/>
    </row>
    <row r="846" ht="14.25" customHeight="1"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  <c r="AF846" s="358"/>
      <c r="AG846" s="358"/>
      <c r="AH846" s="358"/>
      <c r="AI846" s="358"/>
      <c r="AJ846" s="358"/>
      <c r="AK846" s="358"/>
      <c r="AL846" s="358"/>
      <c r="AM846" s="358"/>
    </row>
    <row r="847" ht="14.25" customHeight="1"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  <c r="AA847" s="358"/>
      <c r="AB847" s="358"/>
      <c r="AC847" s="358"/>
      <c r="AD847" s="358"/>
      <c r="AE847" s="358"/>
      <c r="AF847" s="358"/>
      <c r="AG847" s="358"/>
      <c r="AH847" s="358"/>
      <c r="AI847" s="358"/>
      <c r="AJ847" s="358"/>
      <c r="AK847" s="358"/>
      <c r="AL847" s="358"/>
      <c r="AM847" s="358"/>
    </row>
    <row r="848" ht="14.25" customHeight="1">
      <c r="G848" s="358"/>
      <c r="H848" s="358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  <c r="AA848" s="358"/>
      <c r="AB848" s="358"/>
      <c r="AC848" s="358"/>
      <c r="AD848" s="358"/>
      <c r="AE848" s="358"/>
      <c r="AF848" s="358"/>
      <c r="AG848" s="358"/>
      <c r="AH848" s="358"/>
      <c r="AI848" s="358"/>
      <c r="AJ848" s="358"/>
      <c r="AK848" s="358"/>
      <c r="AL848" s="358"/>
      <c r="AM848" s="358"/>
    </row>
    <row r="849" ht="14.25" customHeight="1">
      <c r="G849" s="358"/>
      <c r="H849" s="358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  <c r="AA849" s="358"/>
      <c r="AB849" s="358"/>
      <c r="AC849" s="358"/>
      <c r="AD849" s="358"/>
      <c r="AE849" s="358"/>
      <c r="AF849" s="358"/>
      <c r="AG849" s="358"/>
      <c r="AH849" s="358"/>
      <c r="AI849" s="358"/>
      <c r="AJ849" s="358"/>
      <c r="AK849" s="358"/>
      <c r="AL849" s="358"/>
      <c r="AM849" s="358"/>
    </row>
    <row r="850" ht="14.25" customHeight="1">
      <c r="G850" s="358"/>
      <c r="H850" s="358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  <c r="AA850" s="358"/>
      <c r="AB850" s="358"/>
      <c r="AC850" s="358"/>
      <c r="AD850" s="358"/>
      <c r="AE850" s="358"/>
      <c r="AF850" s="358"/>
      <c r="AG850" s="358"/>
      <c r="AH850" s="358"/>
      <c r="AI850" s="358"/>
      <c r="AJ850" s="358"/>
      <c r="AK850" s="358"/>
      <c r="AL850" s="358"/>
      <c r="AM850" s="358"/>
    </row>
    <row r="851" ht="14.25" customHeight="1">
      <c r="G851" s="358"/>
      <c r="H851" s="358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  <c r="AA851" s="358"/>
      <c r="AB851" s="358"/>
      <c r="AC851" s="358"/>
      <c r="AD851" s="358"/>
      <c r="AE851" s="358"/>
      <c r="AF851" s="358"/>
      <c r="AG851" s="358"/>
      <c r="AH851" s="358"/>
      <c r="AI851" s="358"/>
      <c r="AJ851" s="358"/>
      <c r="AK851" s="358"/>
      <c r="AL851" s="358"/>
      <c r="AM851" s="358"/>
    </row>
    <row r="852" ht="14.25" customHeight="1">
      <c r="G852" s="358"/>
      <c r="H852" s="358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  <c r="AA852" s="358"/>
      <c r="AB852" s="358"/>
      <c r="AC852" s="358"/>
      <c r="AD852" s="358"/>
      <c r="AE852" s="358"/>
      <c r="AF852" s="358"/>
      <c r="AG852" s="358"/>
      <c r="AH852" s="358"/>
      <c r="AI852" s="358"/>
      <c r="AJ852" s="358"/>
      <c r="AK852" s="358"/>
      <c r="AL852" s="358"/>
      <c r="AM852" s="358"/>
    </row>
    <row r="853" ht="14.25" customHeight="1">
      <c r="G853" s="358"/>
      <c r="H853" s="358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  <c r="AA853" s="358"/>
      <c r="AB853" s="358"/>
      <c r="AC853" s="358"/>
      <c r="AD853" s="358"/>
      <c r="AE853" s="358"/>
      <c r="AF853" s="358"/>
      <c r="AG853" s="358"/>
      <c r="AH853" s="358"/>
      <c r="AI853" s="358"/>
      <c r="AJ853" s="358"/>
      <c r="AK853" s="358"/>
      <c r="AL853" s="358"/>
      <c r="AM853" s="358"/>
    </row>
    <row r="854" ht="14.25" customHeight="1">
      <c r="G854" s="358"/>
      <c r="H854" s="358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  <c r="AA854" s="358"/>
      <c r="AB854" s="358"/>
      <c r="AC854" s="358"/>
      <c r="AD854" s="358"/>
      <c r="AE854" s="358"/>
      <c r="AF854" s="358"/>
      <c r="AG854" s="358"/>
      <c r="AH854" s="358"/>
      <c r="AI854" s="358"/>
      <c r="AJ854" s="358"/>
      <c r="AK854" s="358"/>
      <c r="AL854" s="358"/>
      <c r="AM854" s="358"/>
    </row>
    <row r="855" ht="14.25" customHeight="1">
      <c r="G855" s="358"/>
      <c r="H855" s="358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  <c r="AA855" s="358"/>
      <c r="AB855" s="358"/>
      <c r="AC855" s="358"/>
      <c r="AD855" s="358"/>
      <c r="AE855" s="358"/>
      <c r="AF855" s="358"/>
      <c r="AG855" s="358"/>
      <c r="AH855" s="358"/>
      <c r="AI855" s="358"/>
      <c r="AJ855" s="358"/>
      <c r="AK855" s="358"/>
      <c r="AL855" s="358"/>
      <c r="AM855" s="358"/>
    </row>
    <row r="856" ht="14.25" customHeight="1"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  <c r="AB856" s="358"/>
      <c r="AC856" s="358"/>
      <c r="AD856" s="358"/>
      <c r="AE856" s="358"/>
      <c r="AF856" s="358"/>
      <c r="AG856" s="358"/>
      <c r="AH856" s="358"/>
      <c r="AI856" s="358"/>
      <c r="AJ856" s="358"/>
      <c r="AK856" s="358"/>
      <c r="AL856" s="358"/>
      <c r="AM856" s="358"/>
    </row>
    <row r="857" ht="14.25" customHeight="1"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</row>
    <row r="858" ht="14.25" customHeight="1"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  <c r="AF858" s="358"/>
      <c r="AG858" s="358"/>
      <c r="AH858" s="358"/>
      <c r="AI858" s="358"/>
      <c r="AJ858" s="358"/>
      <c r="AK858" s="358"/>
      <c r="AL858" s="358"/>
      <c r="AM858" s="358"/>
    </row>
    <row r="859" ht="14.25" customHeight="1">
      <c r="G859" s="358"/>
      <c r="H859" s="358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  <c r="AA859" s="358"/>
      <c r="AB859" s="358"/>
      <c r="AC859" s="358"/>
      <c r="AD859" s="358"/>
      <c r="AE859" s="358"/>
      <c r="AF859" s="358"/>
      <c r="AG859" s="358"/>
      <c r="AH859" s="358"/>
      <c r="AI859" s="358"/>
      <c r="AJ859" s="358"/>
      <c r="AK859" s="358"/>
      <c r="AL859" s="358"/>
      <c r="AM859" s="358"/>
    </row>
    <row r="860" ht="14.25" customHeight="1"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  <c r="AB860" s="358"/>
      <c r="AC860" s="358"/>
      <c r="AD860" s="358"/>
      <c r="AE860" s="358"/>
      <c r="AF860" s="358"/>
      <c r="AG860" s="358"/>
      <c r="AH860" s="358"/>
      <c r="AI860" s="358"/>
      <c r="AJ860" s="358"/>
      <c r="AK860" s="358"/>
      <c r="AL860" s="358"/>
      <c r="AM860" s="358"/>
    </row>
    <row r="861" ht="14.25" customHeight="1"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  <c r="AF861" s="358"/>
      <c r="AG861" s="358"/>
      <c r="AH861" s="358"/>
      <c r="AI861" s="358"/>
      <c r="AJ861" s="358"/>
      <c r="AK861" s="358"/>
      <c r="AL861" s="358"/>
      <c r="AM861" s="358"/>
    </row>
    <row r="862" ht="14.25" customHeight="1">
      <c r="G862" s="358"/>
      <c r="H862" s="358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  <c r="AA862" s="358"/>
      <c r="AB862" s="358"/>
      <c r="AC862" s="358"/>
      <c r="AD862" s="358"/>
      <c r="AE862" s="358"/>
      <c r="AF862" s="358"/>
      <c r="AG862" s="358"/>
      <c r="AH862" s="358"/>
      <c r="AI862" s="358"/>
      <c r="AJ862" s="358"/>
      <c r="AK862" s="358"/>
      <c r="AL862" s="358"/>
      <c r="AM862" s="358"/>
    </row>
    <row r="863" ht="14.25" customHeight="1">
      <c r="G863" s="358"/>
      <c r="H863" s="358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  <c r="AA863" s="358"/>
      <c r="AB863" s="358"/>
      <c r="AC863" s="358"/>
      <c r="AD863" s="358"/>
      <c r="AE863" s="358"/>
      <c r="AF863" s="358"/>
      <c r="AG863" s="358"/>
      <c r="AH863" s="358"/>
      <c r="AI863" s="358"/>
      <c r="AJ863" s="358"/>
      <c r="AK863" s="358"/>
      <c r="AL863" s="358"/>
      <c r="AM863" s="358"/>
    </row>
    <row r="864" ht="14.25" customHeight="1">
      <c r="G864" s="358"/>
      <c r="H864" s="358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  <c r="AA864" s="358"/>
      <c r="AB864" s="358"/>
      <c r="AC864" s="358"/>
      <c r="AD864" s="358"/>
      <c r="AE864" s="358"/>
      <c r="AF864" s="358"/>
      <c r="AG864" s="358"/>
      <c r="AH864" s="358"/>
      <c r="AI864" s="358"/>
      <c r="AJ864" s="358"/>
      <c r="AK864" s="358"/>
      <c r="AL864" s="358"/>
      <c r="AM864" s="358"/>
    </row>
    <row r="865" ht="14.25" customHeight="1">
      <c r="G865" s="358"/>
      <c r="H865" s="358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  <c r="AA865" s="358"/>
      <c r="AB865" s="358"/>
      <c r="AC865" s="358"/>
      <c r="AD865" s="358"/>
      <c r="AE865" s="358"/>
      <c r="AF865" s="358"/>
      <c r="AG865" s="358"/>
      <c r="AH865" s="358"/>
      <c r="AI865" s="358"/>
      <c r="AJ865" s="358"/>
      <c r="AK865" s="358"/>
      <c r="AL865" s="358"/>
      <c r="AM865" s="358"/>
    </row>
    <row r="866" ht="14.25" customHeight="1">
      <c r="G866" s="358"/>
      <c r="H866" s="358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  <c r="AA866" s="358"/>
      <c r="AB866" s="358"/>
      <c r="AC866" s="358"/>
      <c r="AD866" s="358"/>
      <c r="AE866" s="358"/>
      <c r="AF866" s="358"/>
      <c r="AG866" s="358"/>
      <c r="AH866" s="358"/>
      <c r="AI866" s="358"/>
      <c r="AJ866" s="358"/>
      <c r="AK866" s="358"/>
      <c r="AL866" s="358"/>
      <c r="AM866" s="358"/>
    </row>
    <row r="867" ht="14.25" customHeight="1">
      <c r="G867" s="358"/>
      <c r="H867" s="358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  <c r="AA867" s="358"/>
      <c r="AB867" s="358"/>
      <c r="AC867" s="358"/>
      <c r="AD867" s="358"/>
      <c r="AE867" s="358"/>
      <c r="AF867" s="358"/>
      <c r="AG867" s="358"/>
      <c r="AH867" s="358"/>
      <c r="AI867" s="358"/>
      <c r="AJ867" s="358"/>
      <c r="AK867" s="358"/>
      <c r="AL867" s="358"/>
      <c r="AM867" s="358"/>
    </row>
    <row r="868" ht="14.25" customHeight="1">
      <c r="G868" s="358"/>
      <c r="H868" s="358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  <c r="AA868" s="358"/>
      <c r="AB868" s="358"/>
      <c r="AC868" s="358"/>
      <c r="AD868" s="358"/>
      <c r="AE868" s="358"/>
      <c r="AF868" s="358"/>
      <c r="AG868" s="358"/>
      <c r="AH868" s="358"/>
      <c r="AI868" s="358"/>
      <c r="AJ868" s="358"/>
      <c r="AK868" s="358"/>
      <c r="AL868" s="358"/>
      <c r="AM868" s="358"/>
    </row>
    <row r="869" ht="14.25" customHeight="1">
      <c r="G869" s="358"/>
      <c r="H869" s="358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  <c r="AA869" s="358"/>
      <c r="AB869" s="358"/>
      <c r="AC869" s="358"/>
      <c r="AD869" s="358"/>
      <c r="AE869" s="358"/>
      <c r="AF869" s="358"/>
      <c r="AG869" s="358"/>
      <c r="AH869" s="358"/>
      <c r="AI869" s="358"/>
      <c r="AJ869" s="358"/>
      <c r="AK869" s="358"/>
      <c r="AL869" s="358"/>
      <c r="AM869" s="358"/>
    </row>
    <row r="870" ht="14.25" customHeight="1">
      <c r="G870" s="358"/>
      <c r="H870" s="358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  <c r="AA870" s="358"/>
      <c r="AB870" s="358"/>
      <c r="AC870" s="358"/>
      <c r="AD870" s="358"/>
      <c r="AE870" s="358"/>
      <c r="AF870" s="358"/>
      <c r="AG870" s="358"/>
      <c r="AH870" s="358"/>
      <c r="AI870" s="358"/>
      <c r="AJ870" s="358"/>
      <c r="AK870" s="358"/>
      <c r="AL870" s="358"/>
      <c r="AM870" s="358"/>
    </row>
    <row r="871" ht="14.25" customHeight="1">
      <c r="G871" s="358"/>
      <c r="H871" s="358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  <c r="AA871" s="358"/>
      <c r="AB871" s="358"/>
      <c r="AC871" s="358"/>
      <c r="AD871" s="358"/>
      <c r="AE871" s="358"/>
      <c r="AF871" s="358"/>
      <c r="AG871" s="358"/>
      <c r="AH871" s="358"/>
      <c r="AI871" s="358"/>
      <c r="AJ871" s="358"/>
      <c r="AK871" s="358"/>
      <c r="AL871" s="358"/>
      <c r="AM871" s="358"/>
    </row>
    <row r="872" ht="14.25" customHeight="1"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  <c r="AB872" s="358"/>
      <c r="AC872" s="358"/>
      <c r="AD872" s="358"/>
      <c r="AE872" s="358"/>
      <c r="AF872" s="358"/>
      <c r="AG872" s="358"/>
      <c r="AH872" s="358"/>
      <c r="AI872" s="358"/>
      <c r="AJ872" s="358"/>
      <c r="AK872" s="358"/>
      <c r="AL872" s="358"/>
      <c r="AM872" s="358"/>
    </row>
    <row r="873" ht="14.25" customHeight="1"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  <c r="AF873" s="358"/>
      <c r="AG873" s="358"/>
      <c r="AH873" s="358"/>
      <c r="AI873" s="358"/>
      <c r="AJ873" s="358"/>
      <c r="AK873" s="358"/>
      <c r="AL873" s="358"/>
      <c r="AM873" s="358"/>
    </row>
    <row r="874" ht="14.25" customHeight="1">
      <c r="G874" s="358"/>
      <c r="H874" s="358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  <c r="AA874" s="358"/>
      <c r="AB874" s="358"/>
      <c r="AC874" s="358"/>
      <c r="AD874" s="358"/>
      <c r="AE874" s="358"/>
      <c r="AF874" s="358"/>
      <c r="AG874" s="358"/>
      <c r="AH874" s="358"/>
      <c r="AI874" s="358"/>
      <c r="AJ874" s="358"/>
      <c r="AK874" s="358"/>
      <c r="AL874" s="358"/>
      <c r="AM874" s="358"/>
    </row>
    <row r="875" ht="14.25" customHeight="1">
      <c r="G875" s="358"/>
      <c r="H875" s="358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  <c r="AA875" s="358"/>
      <c r="AB875" s="358"/>
      <c r="AC875" s="358"/>
      <c r="AD875" s="358"/>
      <c r="AE875" s="358"/>
      <c r="AF875" s="358"/>
      <c r="AG875" s="358"/>
      <c r="AH875" s="358"/>
      <c r="AI875" s="358"/>
      <c r="AJ875" s="358"/>
      <c r="AK875" s="358"/>
      <c r="AL875" s="358"/>
      <c r="AM875" s="358"/>
    </row>
    <row r="876" ht="14.25" customHeight="1">
      <c r="G876" s="358"/>
      <c r="H876" s="358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  <c r="AA876" s="358"/>
      <c r="AB876" s="358"/>
      <c r="AC876" s="358"/>
      <c r="AD876" s="358"/>
      <c r="AE876" s="358"/>
      <c r="AF876" s="358"/>
      <c r="AG876" s="358"/>
      <c r="AH876" s="358"/>
      <c r="AI876" s="358"/>
      <c r="AJ876" s="358"/>
      <c r="AK876" s="358"/>
      <c r="AL876" s="358"/>
      <c r="AM876" s="358"/>
    </row>
    <row r="877" ht="14.25" customHeight="1"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  <c r="AB877" s="358"/>
      <c r="AC877" s="358"/>
      <c r="AD877" s="358"/>
      <c r="AE877" s="358"/>
      <c r="AF877" s="358"/>
      <c r="AG877" s="358"/>
      <c r="AH877" s="358"/>
      <c r="AI877" s="358"/>
      <c r="AJ877" s="358"/>
      <c r="AK877" s="358"/>
      <c r="AL877" s="358"/>
      <c r="AM877" s="358"/>
    </row>
    <row r="878" ht="14.25" customHeight="1"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  <c r="AF878" s="358"/>
      <c r="AG878" s="358"/>
      <c r="AH878" s="358"/>
      <c r="AI878" s="358"/>
      <c r="AJ878" s="358"/>
      <c r="AK878" s="358"/>
      <c r="AL878" s="358"/>
      <c r="AM878" s="358"/>
    </row>
    <row r="879" ht="14.25" customHeight="1">
      <c r="G879" s="358"/>
      <c r="H879" s="358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  <c r="AA879" s="358"/>
      <c r="AB879" s="358"/>
      <c r="AC879" s="358"/>
      <c r="AD879" s="358"/>
      <c r="AE879" s="358"/>
      <c r="AF879" s="358"/>
      <c r="AG879" s="358"/>
      <c r="AH879" s="358"/>
      <c r="AI879" s="358"/>
      <c r="AJ879" s="358"/>
      <c r="AK879" s="358"/>
      <c r="AL879" s="358"/>
      <c r="AM879" s="358"/>
    </row>
    <row r="880" ht="14.25" customHeight="1"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  <c r="AB880" s="358"/>
      <c r="AC880" s="358"/>
      <c r="AD880" s="358"/>
      <c r="AE880" s="358"/>
      <c r="AF880" s="358"/>
      <c r="AG880" s="358"/>
      <c r="AH880" s="358"/>
      <c r="AI880" s="358"/>
      <c r="AJ880" s="358"/>
      <c r="AK880" s="358"/>
      <c r="AL880" s="358"/>
      <c r="AM880" s="358"/>
    </row>
    <row r="881" ht="14.25" customHeight="1"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  <c r="AF881" s="358"/>
      <c r="AG881" s="358"/>
      <c r="AH881" s="358"/>
      <c r="AI881" s="358"/>
      <c r="AJ881" s="358"/>
      <c r="AK881" s="358"/>
      <c r="AL881" s="358"/>
      <c r="AM881" s="358"/>
    </row>
    <row r="882" ht="14.25" customHeight="1">
      <c r="G882" s="358"/>
      <c r="H882" s="358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  <c r="AA882" s="358"/>
      <c r="AB882" s="358"/>
      <c r="AC882" s="358"/>
      <c r="AD882" s="358"/>
      <c r="AE882" s="358"/>
      <c r="AF882" s="358"/>
      <c r="AG882" s="358"/>
      <c r="AH882" s="358"/>
      <c r="AI882" s="358"/>
      <c r="AJ882" s="358"/>
      <c r="AK882" s="358"/>
      <c r="AL882" s="358"/>
      <c r="AM882" s="358"/>
    </row>
    <row r="883" ht="14.25" customHeight="1"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  <c r="AA883" s="358"/>
      <c r="AB883" s="358"/>
      <c r="AC883" s="358"/>
      <c r="AD883" s="358"/>
      <c r="AE883" s="358"/>
      <c r="AF883" s="358"/>
      <c r="AG883" s="358"/>
      <c r="AH883" s="358"/>
      <c r="AI883" s="358"/>
      <c r="AJ883" s="358"/>
      <c r="AK883" s="358"/>
      <c r="AL883" s="358"/>
      <c r="AM883" s="358"/>
    </row>
    <row r="884" ht="14.25" customHeight="1">
      <c r="G884" s="358"/>
      <c r="H884" s="358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  <c r="AA884" s="358"/>
      <c r="AB884" s="358"/>
      <c r="AC884" s="358"/>
      <c r="AD884" s="358"/>
      <c r="AE884" s="358"/>
      <c r="AF884" s="358"/>
      <c r="AG884" s="358"/>
      <c r="AH884" s="358"/>
      <c r="AI884" s="358"/>
      <c r="AJ884" s="358"/>
      <c r="AK884" s="358"/>
      <c r="AL884" s="358"/>
      <c r="AM884" s="358"/>
    </row>
    <row r="885" ht="14.25" customHeight="1"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  <c r="AB885" s="358"/>
      <c r="AC885" s="358"/>
      <c r="AD885" s="358"/>
      <c r="AE885" s="358"/>
      <c r="AF885" s="358"/>
      <c r="AG885" s="358"/>
      <c r="AH885" s="358"/>
      <c r="AI885" s="358"/>
      <c r="AJ885" s="358"/>
      <c r="AK885" s="358"/>
      <c r="AL885" s="358"/>
      <c r="AM885" s="358"/>
    </row>
    <row r="886" ht="14.25" customHeight="1"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  <c r="AF886" s="358"/>
      <c r="AG886" s="358"/>
      <c r="AH886" s="358"/>
      <c r="AI886" s="358"/>
      <c r="AJ886" s="358"/>
      <c r="AK886" s="358"/>
      <c r="AL886" s="358"/>
      <c r="AM886" s="358"/>
    </row>
    <row r="887" ht="14.25" customHeight="1">
      <c r="G887" s="358"/>
      <c r="H887" s="358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  <c r="AA887" s="358"/>
      <c r="AB887" s="358"/>
      <c r="AC887" s="358"/>
      <c r="AD887" s="358"/>
      <c r="AE887" s="358"/>
      <c r="AF887" s="358"/>
      <c r="AG887" s="358"/>
      <c r="AH887" s="358"/>
      <c r="AI887" s="358"/>
      <c r="AJ887" s="358"/>
      <c r="AK887" s="358"/>
      <c r="AL887" s="358"/>
      <c r="AM887" s="358"/>
    </row>
    <row r="888" ht="14.25" customHeight="1">
      <c r="G888" s="358"/>
      <c r="H888" s="358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  <c r="AA888" s="358"/>
      <c r="AB888" s="358"/>
      <c r="AC888" s="358"/>
      <c r="AD888" s="358"/>
      <c r="AE888" s="358"/>
      <c r="AF888" s="358"/>
      <c r="AG888" s="358"/>
      <c r="AH888" s="358"/>
      <c r="AI888" s="358"/>
      <c r="AJ888" s="358"/>
      <c r="AK888" s="358"/>
      <c r="AL888" s="358"/>
      <c r="AM888" s="358"/>
    </row>
    <row r="889" ht="14.25" customHeight="1">
      <c r="G889" s="358"/>
      <c r="H889" s="358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  <c r="AA889" s="358"/>
      <c r="AB889" s="358"/>
      <c r="AC889" s="358"/>
      <c r="AD889" s="358"/>
      <c r="AE889" s="358"/>
      <c r="AF889" s="358"/>
      <c r="AG889" s="358"/>
      <c r="AH889" s="358"/>
      <c r="AI889" s="358"/>
      <c r="AJ889" s="358"/>
      <c r="AK889" s="358"/>
      <c r="AL889" s="358"/>
      <c r="AM889" s="358"/>
    </row>
    <row r="890" ht="14.25" customHeight="1">
      <c r="G890" s="358"/>
      <c r="H890" s="358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  <c r="AA890" s="358"/>
      <c r="AB890" s="358"/>
      <c r="AC890" s="358"/>
      <c r="AD890" s="358"/>
      <c r="AE890" s="358"/>
      <c r="AF890" s="358"/>
      <c r="AG890" s="358"/>
      <c r="AH890" s="358"/>
      <c r="AI890" s="358"/>
      <c r="AJ890" s="358"/>
      <c r="AK890" s="358"/>
      <c r="AL890" s="358"/>
      <c r="AM890" s="358"/>
    </row>
    <row r="891" ht="14.25" customHeight="1">
      <c r="G891" s="358"/>
      <c r="H891" s="358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  <c r="AA891" s="358"/>
      <c r="AB891" s="358"/>
      <c r="AC891" s="358"/>
      <c r="AD891" s="358"/>
      <c r="AE891" s="358"/>
      <c r="AF891" s="358"/>
      <c r="AG891" s="358"/>
      <c r="AH891" s="358"/>
      <c r="AI891" s="358"/>
      <c r="AJ891" s="358"/>
      <c r="AK891" s="358"/>
      <c r="AL891" s="358"/>
      <c r="AM891" s="358"/>
    </row>
    <row r="892" ht="14.25" customHeight="1">
      <c r="G892" s="358"/>
      <c r="H892" s="358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  <c r="AA892" s="358"/>
      <c r="AB892" s="358"/>
      <c r="AC892" s="358"/>
      <c r="AD892" s="358"/>
      <c r="AE892" s="358"/>
      <c r="AF892" s="358"/>
      <c r="AG892" s="358"/>
      <c r="AH892" s="358"/>
      <c r="AI892" s="358"/>
      <c r="AJ892" s="358"/>
      <c r="AK892" s="358"/>
      <c r="AL892" s="358"/>
      <c r="AM892" s="358"/>
    </row>
    <row r="893" ht="14.25" customHeight="1">
      <c r="G893" s="358"/>
      <c r="H893" s="358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  <c r="AA893" s="358"/>
      <c r="AB893" s="358"/>
      <c r="AC893" s="358"/>
      <c r="AD893" s="358"/>
      <c r="AE893" s="358"/>
      <c r="AF893" s="358"/>
      <c r="AG893" s="358"/>
      <c r="AH893" s="358"/>
      <c r="AI893" s="358"/>
      <c r="AJ893" s="358"/>
      <c r="AK893" s="358"/>
      <c r="AL893" s="358"/>
      <c r="AM893" s="358"/>
    </row>
    <row r="894" ht="14.25" customHeight="1">
      <c r="G894" s="358"/>
      <c r="H894" s="358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  <c r="AA894" s="358"/>
      <c r="AB894" s="358"/>
      <c r="AC894" s="358"/>
      <c r="AD894" s="358"/>
      <c r="AE894" s="358"/>
      <c r="AF894" s="358"/>
      <c r="AG894" s="358"/>
      <c r="AH894" s="358"/>
      <c r="AI894" s="358"/>
      <c r="AJ894" s="358"/>
      <c r="AK894" s="358"/>
      <c r="AL894" s="358"/>
      <c r="AM894" s="358"/>
    </row>
    <row r="895" ht="14.25" customHeight="1">
      <c r="G895" s="358"/>
      <c r="H895" s="358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  <c r="AA895" s="358"/>
      <c r="AB895" s="358"/>
      <c r="AC895" s="358"/>
      <c r="AD895" s="358"/>
      <c r="AE895" s="358"/>
      <c r="AF895" s="358"/>
      <c r="AG895" s="358"/>
      <c r="AH895" s="358"/>
      <c r="AI895" s="358"/>
      <c r="AJ895" s="358"/>
      <c r="AK895" s="358"/>
      <c r="AL895" s="358"/>
      <c r="AM895" s="358"/>
    </row>
    <row r="896" ht="14.25" customHeight="1"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  <c r="AB896" s="358"/>
      <c r="AC896" s="358"/>
      <c r="AD896" s="358"/>
      <c r="AE896" s="358"/>
      <c r="AF896" s="358"/>
      <c r="AG896" s="358"/>
      <c r="AH896" s="358"/>
      <c r="AI896" s="358"/>
      <c r="AJ896" s="358"/>
      <c r="AK896" s="358"/>
      <c r="AL896" s="358"/>
      <c r="AM896" s="358"/>
    </row>
    <row r="897" ht="14.25" customHeight="1"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  <c r="AF897" s="358"/>
      <c r="AG897" s="358"/>
      <c r="AH897" s="358"/>
      <c r="AI897" s="358"/>
      <c r="AJ897" s="358"/>
      <c r="AK897" s="358"/>
      <c r="AL897" s="358"/>
      <c r="AM897" s="358"/>
    </row>
    <row r="898" ht="14.25" customHeight="1">
      <c r="G898" s="358"/>
      <c r="H898" s="358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  <c r="AA898" s="358"/>
      <c r="AB898" s="358"/>
      <c r="AC898" s="358"/>
      <c r="AD898" s="358"/>
      <c r="AE898" s="358"/>
      <c r="AF898" s="358"/>
      <c r="AG898" s="358"/>
      <c r="AH898" s="358"/>
      <c r="AI898" s="358"/>
      <c r="AJ898" s="358"/>
      <c r="AK898" s="358"/>
      <c r="AL898" s="358"/>
      <c r="AM898" s="358"/>
    </row>
    <row r="899" ht="14.25" customHeight="1">
      <c r="G899" s="358"/>
      <c r="H899" s="358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  <c r="AA899" s="358"/>
      <c r="AB899" s="358"/>
      <c r="AC899" s="358"/>
      <c r="AD899" s="358"/>
      <c r="AE899" s="358"/>
      <c r="AF899" s="358"/>
      <c r="AG899" s="358"/>
      <c r="AH899" s="358"/>
      <c r="AI899" s="358"/>
      <c r="AJ899" s="358"/>
      <c r="AK899" s="358"/>
      <c r="AL899" s="358"/>
      <c r="AM899" s="358"/>
    </row>
    <row r="900" ht="14.25" customHeight="1">
      <c r="G900" s="358"/>
      <c r="H900" s="358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  <c r="AB900" s="358"/>
      <c r="AC900" s="358"/>
      <c r="AD900" s="358"/>
      <c r="AE900" s="358"/>
      <c r="AF900" s="358"/>
      <c r="AG900" s="358"/>
      <c r="AH900" s="358"/>
      <c r="AI900" s="358"/>
      <c r="AJ900" s="358"/>
      <c r="AK900" s="358"/>
      <c r="AL900" s="358"/>
      <c r="AM900" s="358"/>
    </row>
    <row r="901" ht="14.25" customHeight="1">
      <c r="G901" s="358"/>
      <c r="H901" s="358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</row>
    <row r="902" ht="14.25" customHeight="1">
      <c r="G902" s="358"/>
      <c r="H902" s="358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  <c r="AF902" s="358"/>
      <c r="AG902" s="358"/>
      <c r="AH902" s="358"/>
      <c r="AI902" s="358"/>
      <c r="AJ902" s="358"/>
      <c r="AK902" s="358"/>
      <c r="AL902" s="358"/>
      <c r="AM902" s="358"/>
    </row>
    <row r="903" ht="14.25" customHeight="1">
      <c r="G903" s="358"/>
      <c r="H903" s="358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  <c r="AA903" s="358"/>
      <c r="AB903" s="358"/>
      <c r="AC903" s="358"/>
      <c r="AD903" s="358"/>
      <c r="AE903" s="358"/>
      <c r="AF903" s="358"/>
      <c r="AG903" s="358"/>
      <c r="AH903" s="358"/>
      <c r="AI903" s="358"/>
      <c r="AJ903" s="358"/>
      <c r="AK903" s="358"/>
      <c r="AL903" s="358"/>
      <c r="AM903" s="358"/>
    </row>
    <row r="904" ht="14.25" customHeight="1">
      <c r="G904" s="358"/>
      <c r="H904" s="358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  <c r="AB904" s="358"/>
      <c r="AC904" s="358"/>
      <c r="AD904" s="358"/>
      <c r="AE904" s="358"/>
      <c r="AF904" s="358"/>
      <c r="AG904" s="358"/>
      <c r="AH904" s="358"/>
      <c r="AI904" s="358"/>
      <c r="AJ904" s="358"/>
      <c r="AK904" s="358"/>
      <c r="AL904" s="358"/>
      <c r="AM904" s="358"/>
    </row>
    <row r="905" ht="14.25" customHeight="1">
      <c r="G905" s="358"/>
      <c r="H905" s="358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  <c r="AF905" s="358"/>
      <c r="AG905" s="358"/>
      <c r="AH905" s="358"/>
      <c r="AI905" s="358"/>
      <c r="AJ905" s="358"/>
      <c r="AK905" s="358"/>
      <c r="AL905" s="358"/>
      <c r="AM905" s="358"/>
    </row>
    <row r="906" ht="14.25" customHeight="1">
      <c r="G906" s="358"/>
      <c r="H906" s="358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  <c r="AA906" s="358"/>
      <c r="AB906" s="358"/>
      <c r="AC906" s="358"/>
      <c r="AD906" s="358"/>
      <c r="AE906" s="358"/>
      <c r="AF906" s="358"/>
      <c r="AG906" s="358"/>
      <c r="AH906" s="358"/>
      <c r="AI906" s="358"/>
      <c r="AJ906" s="358"/>
      <c r="AK906" s="358"/>
      <c r="AL906" s="358"/>
      <c r="AM906" s="358"/>
    </row>
    <row r="907" ht="14.25" customHeight="1">
      <c r="G907" s="358"/>
      <c r="H907" s="358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  <c r="AA907" s="358"/>
      <c r="AB907" s="358"/>
      <c r="AC907" s="358"/>
      <c r="AD907" s="358"/>
      <c r="AE907" s="358"/>
      <c r="AF907" s="358"/>
      <c r="AG907" s="358"/>
      <c r="AH907" s="358"/>
      <c r="AI907" s="358"/>
      <c r="AJ907" s="358"/>
      <c r="AK907" s="358"/>
      <c r="AL907" s="358"/>
      <c r="AM907" s="358"/>
    </row>
    <row r="908" ht="14.25" customHeight="1">
      <c r="G908" s="358"/>
      <c r="H908" s="358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  <c r="AA908" s="358"/>
      <c r="AB908" s="358"/>
      <c r="AC908" s="358"/>
      <c r="AD908" s="358"/>
      <c r="AE908" s="358"/>
      <c r="AF908" s="358"/>
      <c r="AG908" s="358"/>
      <c r="AH908" s="358"/>
      <c r="AI908" s="358"/>
      <c r="AJ908" s="358"/>
      <c r="AK908" s="358"/>
      <c r="AL908" s="358"/>
      <c r="AM908" s="358"/>
    </row>
    <row r="909" ht="14.25" customHeight="1">
      <c r="G909" s="358"/>
      <c r="H909" s="358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  <c r="AA909" s="358"/>
      <c r="AB909" s="358"/>
      <c r="AC909" s="358"/>
      <c r="AD909" s="358"/>
      <c r="AE909" s="358"/>
      <c r="AF909" s="358"/>
      <c r="AG909" s="358"/>
      <c r="AH909" s="358"/>
      <c r="AI909" s="358"/>
      <c r="AJ909" s="358"/>
      <c r="AK909" s="358"/>
      <c r="AL909" s="358"/>
      <c r="AM909" s="358"/>
    </row>
    <row r="910" ht="14.25" customHeight="1">
      <c r="G910" s="358"/>
      <c r="H910" s="358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  <c r="AA910" s="358"/>
      <c r="AB910" s="358"/>
      <c r="AC910" s="358"/>
      <c r="AD910" s="358"/>
      <c r="AE910" s="358"/>
      <c r="AF910" s="358"/>
      <c r="AG910" s="358"/>
      <c r="AH910" s="358"/>
      <c r="AI910" s="358"/>
      <c r="AJ910" s="358"/>
      <c r="AK910" s="358"/>
      <c r="AL910" s="358"/>
      <c r="AM910" s="358"/>
    </row>
    <row r="911" ht="14.25" customHeight="1">
      <c r="G911" s="358"/>
      <c r="H911" s="358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  <c r="AA911" s="358"/>
      <c r="AB911" s="358"/>
      <c r="AC911" s="358"/>
      <c r="AD911" s="358"/>
      <c r="AE911" s="358"/>
      <c r="AF911" s="358"/>
      <c r="AG911" s="358"/>
      <c r="AH911" s="358"/>
      <c r="AI911" s="358"/>
      <c r="AJ911" s="358"/>
      <c r="AK911" s="358"/>
      <c r="AL911" s="358"/>
      <c r="AM911" s="358"/>
    </row>
    <row r="912" ht="14.25" customHeight="1">
      <c r="G912" s="358"/>
      <c r="H912" s="358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  <c r="AA912" s="358"/>
      <c r="AB912" s="358"/>
      <c r="AC912" s="358"/>
      <c r="AD912" s="358"/>
      <c r="AE912" s="358"/>
      <c r="AF912" s="358"/>
      <c r="AG912" s="358"/>
      <c r="AH912" s="358"/>
      <c r="AI912" s="358"/>
      <c r="AJ912" s="358"/>
      <c r="AK912" s="358"/>
      <c r="AL912" s="358"/>
      <c r="AM912" s="358"/>
    </row>
    <row r="913" ht="14.25" customHeight="1">
      <c r="G913" s="358"/>
      <c r="H913" s="358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  <c r="AA913" s="358"/>
      <c r="AB913" s="358"/>
      <c r="AC913" s="358"/>
      <c r="AD913" s="358"/>
      <c r="AE913" s="358"/>
      <c r="AF913" s="358"/>
      <c r="AG913" s="358"/>
      <c r="AH913" s="358"/>
      <c r="AI913" s="358"/>
      <c r="AJ913" s="358"/>
      <c r="AK913" s="358"/>
      <c r="AL913" s="358"/>
      <c r="AM913" s="358"/>
    </row>
    <row r="914" ht="14.25" customHeight="1">
      <c r="G914" s="358"/>
      <c r="H914" s="358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  <c r="AA914" s="358"/>
      <c r="AB914" s="358"/>
      <c r="AC914" s="358"/>
      <c r="AD914" s="358"/>
      <c r="AE914" s="358"/>
      <c r="AF914" s="358"/>
      <c r="AG914" s="358"/>
      <c r="AH914" s="358"/>
      <c r="AI914" s="358"/>
      <c r="AJ914" s="358"/>
      <c r="AK914" s="358"/>
      <c r="AL914" s="358"/>
      <c r="AM914" s="358"/>
    </row>
    <row r="915" ht="14.25" customHeight="1">
      <c r="G915" s="358"/>
      <c r="H915" s="358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  <c r="AA915" s="358"/>
      <c r="AB915" s="358"/>
      <c r="AC915" s="358"/>
      <c r="AD915" s="358"/>
      <c r="AE915" s="358"/>
      <c r="AF915" s="358"/>
      <c r="AG915" s="358"/>
      <c r="AH915" s="358"/>
      <c r="AI915" s="358"/>
      <c r="AJ915" s="358"/>
      <c r="AK915" s="358"/>
      <c r="AL915" s="358"/>
      <c r="AM915" s="358"/>
    </row>
    <row r="916" ht="14.25" customHeight="1">
      <c r="G916" s="358"/>
      <c r="H916" s="358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  <c r="AB916" s="358"/>
      <c r="AC916" s="358"/>
      <c r="AD916" s="358"/>
      <c r="AE916" s="358"/>
      <c r="AF916" s="358"/>
      <c r="AG916" s="358"/>
      <c r="AH916" s="358"/>
      <c r="AI916" s="358"/>
      <c r="AJ916" s="358"/>
      <c r="AK916" s="358"/>
      <c r="AL916" s="358"/>
      <c r="AM916" s="358"/>
    </row>
    <row r="917" ht="14.25" customHeight="1">
      <c r="G917" s="358"/>
      <c r="H917" s="358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  <c r="AF917" s="358"/>
      <c r="AG917" s="358"/>
      <c r="AH917" s="358"/>
      <c r="AI917" s="358"/>
      <c r="AJ917" s="358"/>
      <c r="AK917" s="358"/>
      <c r="AL917" s="358"/>
      <c r="AM917" s="358"/>
    </row>
    <row r="918" ht="14.25" customHeight="1">
      <c r="G918" s="358"/>
      <c r="H918" s="358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  <c r="AA918" s="358"/>
      <c r="AB918" s="358"/>
      <c r="AC918" s="358"/>
      <c r="AD918" s="358"/>
      <c r="AE918" s="358"/>
      <c r="AF918" s="358"/>
      <c r="AG918" s="358"/>
      <c r="AH918" s="358"/>
      <c r="AI918" s="358"/>
      <c r="AJ918" s="358"/>
      <c r="AK918" s="358"/>
      <c r="AL918" s="358"/>
      <c r="AM918" s="358"/>
    </row>
    <row r="919" ht="14.25" customHeight="1">
      <c r="G919" s="358"/>
      <c r="H919" s="358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  <c r="AA919" s="358"/>
      <c r="AB919" s="358"/>
      <c r="AC919" s="358"/>
      <c r="AD919" s="358"/>
      <c r="AE919" s="358"/>
      <c r="AF919" s="358"/>
      <c r="AG919" s="358"/>
      <c r="AH919" s="358"/>
      <c r="AI919" s="358"/>
      <c r="AJ919" s="358"/>
      <c r="AK919" s="358"/>
      <c r="AL919" s="358"/>
      <c r="AM919" s="358"/>
    </row>
    <row r="920" ht="14.25" customHeight="1">
      <c r="G920" s="358"/>
      <c r="H920" s="358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  <c r="AA920" s="358"/>
      <c r="AB920" s="358"/>
      <c r="AC920" s="358"/>
      <c r="AD920" s="358"/>
      <c r="AE920" s="358"/>
      <c r="AF920" s="358"/>
      <c r="AG920" s="358"/>
      <c r="AH920" s="358"/>
      <c r="AI920" s="358"/>
      <c r="AJ920" s="358"/>
      <c r="AK920" s="358"/>
      <c r="AL920" s="358"/>
      <c r="AM920" s="358"/>
    </row>
    <row r="921" ht="14.25" customHeight="1">
      <c r="G921" s="358"/>
      <c r="H921" s="358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  <c r="AB921" s="358"/>
      <c r="AC921" s="358"/>
      <c r="AD921" s="358"/>
      <c r="AE921" s="358"/>
      <c r="AF921" s="358"/>
      <c r="AG921" s="358"/>
      <c r="AH921" s="358"/>
      <c r="AI921" s="358"/>
      <c r="AJ921" s="358"/>
      <c r="AK921" s="358"/>
      <c r="AL921" s="358"/>
      <c r="AM921" s="358"/>
    </row>
    <row r="922" ht="14.25" customHeight="1">
      <c r="G922" s="358"/>
      <c r="H922" s="358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  <c r="AF922" s="358"/>
      <c r="AG922" s="358"/>
      <c r="AH922" s="358"/>
      <c r="AI922" s="358"/>
      <c r="AJ922" s="358"/>
      <c r="AK922" s="358"/>
      <c r="AL922" s="358"/>
      <c r="AM922" s="358"/>
    </row>
    <row r="923" ht="14.25" customHeight="1"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  <c r="AA923" s="358"/>
      <c r="AB923" s="358"/>
      <c r="AC923" s="358"/>
      <c r="AD923" s="358"/>
      <c r="AE923" s="358"/>
      <c r="AF923" s="358"/>
      <c r="AG923" s="358"/>
      <c r="AH923" s="358"/>
      <c r="AI923" s="358"/>
      <c r="AJ923" s="358"/>
      <c r="AK923" s="358"/>
      <c r="AL923" s="358"/>
      <c r="AM923" s="358"/>
    </row>
    <row r="924" ht="14.25" customHeight="1">
      <c r="G924" s="358"/>
      <c r="H924" s="358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  <c r="AB924" s="358"/>
      <c r="AC924" s="358"/>
      <c r="AD924" s="358"/>
      <c r="AE924" s="358"/>
      <c r="AF924" s="358"/>
      <c r="AG924" s="358"/>
      <c r="AH924" s="358"/>
      <c r="AI924" s="358"/>
      <c r="AJ924" s="358"/>
      <c r="AK924" s="358"/>
      <c r="AL924" s="358"/>
      <c r="AM924" s="358"/>
    </row>
    <row r="925" ht="14.25" customHeight="1">
      <c r="G925" s="358"/>
      <c r="H925" s="358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  <c r="AF925" s="358"/>
      <c r="AG925" s="358"/>
      <c r="AH925" s="358"/>
      <c r="AI925" s="358"/>
      <c r="AJ925" s="358"/>
      <c r="AK925" s="358"/>
      <c r="AL925" s="358"/>
      <c r="AM925" s="358"/>
    </row>
    <row r="926" ht="14.25" customHeight="1">
      <c r="G926" s="358"/>
      <c r="H926" s="358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  <c r="AA926" s="358"/>
      <c r="AB926" s="358"/>
      <c r="AC926" s="358"/>
      <c r="AD926" s="358"/>
      <c r="AE926" s="358"/>
      <c r="AF926" s="358"/>
      <c r="AG926" s="358"/>
      <c r="AH926" s="358"/>
      <c r="AI926" s="358"/>
      <c r="AJ926" s="358"/>
      <c r="AK926" s="358"/>
      <c r="AL926" s="358"/>
      <c r="AM926" s="358"/>
    </row>
    <row r="927" ht="14.25" customHeight="1">
      <c r="G927" s="358"/>
      <c r="H927" s="358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  <c r="AA927" s="358"/>
      <c r="AB927" s="358"/>
      <c r="AC927" s="358"/>
      <c r="AD927" s="358"/>
      <c r="AE927" s="358"/>
      <c r="AF927" s="358"/>
      <c r="AG927" s="358"/>
      <c r="AH927" s="358"/>
      <c r="AI927" s="358"/>
      <c r="AJ927" s="358"/>
      <c r="AK927" s="358"/>
      <c r="AL927" s="358"/>
      <c r="AM927" s="358"/>
    </row>
    <row r="928" ht="14.25" customHeight="1">
      <c r="G928" s="358"/>
      <c r="H928" s="358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  <c r="AA928" s="358"/>
      <c r="AB928" s="358"/>
      <c r="AC928" s="358"/>
      <c r="AD928" s="358"/>
      <c r="AE928" s="358"/>
      <c r="AF928" s="358"/>
      <c r="AG928" s="358"/>
      <c r="AH928" s="358"/>
      <c r="AI928" s="358"/>
      <c r="AJ928" s="358"/>
      <c r="AK928" s="358"/>
      <c r="AL928" s="358"/>
      <c r="AM928" s="358"/>
    </row>
    <row r="929" ht="14.25" customHeight="1">
      <c r="G929" s="358"/>
      <c r="H929" s="358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  <c r="AB929" s="358"/>
      <c r="AC929" s="358"/>
      <c r="AD929" s="358"/>
      <c r="AE929" s="358"/>
      <c r="AF929" s="358"/>
      <c r="AG929" s="358"/>
      <c r="AH929" s="358"/>
      <c r="AI929" s="358"/>
      <c r="AJ929" s="358"/>
      <c r="AK929" s="358"/>
      <c r="AL929" s="358"/>
      <c r="AM929" s="358"/>
    </row>
    <row r="930" ht="14.25" customHeight="1">
      <c r="G930" s="358"/>
      <c r="H930" s="358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  <c r="AF930" s="358"/>
      <c r="AG930" s="358"/>
      <c r="AH930" s="358"/>
      <c r="AI930" s="358"/>
      <c r="AJ930" s="358"/>
      <c r="AK930" s="358"/>
      <c r="AL930" s="358"/>
      <c r="AM930" s="358"/>
    </row>
    <row r="931" ht="14.25" customHeight="1">
      <c r="G931" s="358"/>
      <c r="H931" s="358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  <c r="AA931" s="358"/>
      <c r="AB931" s="358"/>
      <c r="AC931" s="358"/>
      <c r="AD931" s="358"/>
      <c r="AE931" s="358"/>
      <c r="AF931" s="358"/>
      <c r="AG931" s="358"/>
      <c r="AH931" s="358"/>
      <c r="AI931" s="358"/>
      <c r="AJ931" s="358"/>
      <c r="AK931" s="358"/>
      <c r="AL931" s="358"/>
      <c r="AM931" s="358"/>
    </row>
    <row r="932" ht="14.25" customHeight="1">
      <c r="G932" s="358"/>
      <c r="H932" s="358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  <c r="AA932" s="358"/>
      <c r="AB932" s="358"/>
      <c r="AC932" s="358"/>
      <c r="AD932" s="358"/>
      <c r="AE932" s="358"/>
      <c r="AF932" s="358"/>
      <c r="AG932" s="358"/>
      <c r="AH932" s="358"/>
      <c r="AI932" s="358"/>
      <c r="AJ932" s="358"/>
      <c r="AK932" s="358"/>
      <c r="AL932" s="358"/>
      <c r="AM932" s="358"/>
    </row>
    <row r="933" ht="14.25" customHeight="1">
      <c r="G933" s="358"/>
      <c r="H933" s="358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  <c r="AA933" s="358"/>
      <c r="AB933" s="358"/>
      <c r="AC933" s="358"/>
      <c r="AD933" s="358"/>
      <c r="AE933" s="358"/>
      <c r="AF933" s="358"/>
      <c r="AG933" s="358"/>
      <c r="AH933" s="358"/>
      <c r="AI933" s="358"/>
      <c r="AJ933" s="358"/>
      <c r="AK933" s="358"/>
      <c r="AL933" s="358"/>
      <c r="AM933" s="358"/>
    </row>
    <row r="934" ht="14.25" customHeight="1">
      <c r="G934" s="358"/>
      <c r="H934" s="358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  <c r="AA934" s="358"/>
      <c r="AB934" s="358"/>
      <c r="AC934" s="358"/>
      <c r="AD934" s="358"/>
      <c r="AE934" s="358"/>
      <c r="AF934" s="358"/>
      <c r="AG934" s="358"/>
      <c r="AH934" s="358"/>
      <c r="AI934" s="358"/>
      <c r="AJ934" s="358"/>
      <c r="AK934" s="358"/>
      <c r="AL934" s="358"/>
      <c r="AM934" s="358"/>
    </row>
    <row r="935" ht="14.25" customHeight="1">
      <c r="G935" s="358"/>
      <c r="H935" s="358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  <c r="AA935" s="358"/>
      <c r="AB935" s="358"/>
      <c r="AC935" s="358"/>
      <c r="AD935" s="358"/>
      <c r="AE935" s="358"/>
      <c r="AF935" s="358"/>
      <c r="AG935" s="358"/>
      <c r="AH935" s="358"/>
      <c r="AI935" s="358"/>
      <c r="AJ935" s="358"/>
      <c r="AK935" s="358"/>
      <c r="AL935" s="358"/>
      <c r="AM935" s="358"/>
    </row>
    <row r="936" ht="14.25" customHeight="1">
      <c r="G936" s="358"/>
      <c r="H936" s="358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  <c r="AA936" s="358"/>
      <c r="AB936" s="358"/>
      <c r="AC936" s="358"/>
      <c r="AD936" s="358"/>
      <c r="AE936" s="358"/>
      <c r="AF936" s="358"/>
      <c r="AG936" s="358"/>
      <c r="AH936" s="358"/>
      <c r="AI936" s="358"/>
      <c r="AJ936" s="358"/>
      <c r="AK936" s="358"/>
      <c r="AL936" s="358"/>
      <c r="AM936" s="358"/>
    </row>
    <row r="937" ht="14.25" customHeight="1">
      <c r="G937" s="358"/>
      <c r="H937" s="358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  <c r="AA937" s="358"/>
      <c r="AB937" s="358"/>
      <c r="AC937" s="358"/>
      <c r="AD937" s="358"/>
      <c r="AE937" s="358"/>
      <c r="AF937" s="358"/>
      <c r="AG937" s="358"/>
      <c r="AH937" s="358"/>
      <c r="AI937" s="358"/>
      <c r="AJ937" s="358"/>
      <c r="AK937" s="358"/>
      <c r="AL937" s="358"/>
      <c r="AM937" s="358"/>
    </row>
    <row r="938" ht="14.25" customHeight="1">
      <c r="G938" s="358"/>
      <c r="H938" s="358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  <c r="AA938" s="358"/>
      <c r="AB938" s="358"/>
      <c r="AC938" s="358"/>
      <c r="AD938" s="358"/>
      <c r="AE938" s="358"/>
      <c r="AF938" s="358"/>
      <c r="AG938" s="358"/>
      <c r="AH938" s="358"/>
      <c r="AI938" s="358"/>
      <c r="AJ938" s="358"/>
      <c r="AK938" s="358"/>
      <c r="AL938" s="358"/>
      <c r="AM938" s="358"/>
    </row>
    <row r="939" ht="14.25" customHeight="1">
      <c r="G939" s="358"/>
      <c r="H939" s="358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  <c r="AA939" s="358"/>
      <c r="AB939" s="358"/>
      <c r="AC939" s="358"/>
      <c r="AD939" s="358"/>
      <c r="AE939" s="358"/>
      <c r="AF939" s="358"/>
      <c r="AG939" s="358"/>
      <c r="AH939" s="358"/>
      <c r="AI939" s="358"/>
      <c r="AJ939" s="358"/>
      <c r="AK939" s="358"/>
      <c r="AL939" s="358"/>
      <c r="AM939" s="358"/>
    </row>
    <row r="940" ht="14.25" customHeight="1">
      <c r="G940" s="358"/>
      <c r="H940" s="358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  <c r="AB940" s="358"/>
      <c r="AC940" s="358"/>
      <c r="AD940" s="358"/>
      <c r="AE940" s="358"/>
      <c r="AF940" s="358"/>
      <c r="AG940" s="358"/>
      <c r="AH940" s="358"/>
      <c r="AI940" s="358"/>
      <c r="AJ940" s="358"/>
      <c r="AK940" s="358"/>
      <c r="AL940" s="358"/>
      <c r="AM940" s="358"/>
    </row>
    <row r="941" ht="14.25" customHeight="1">
      <c r="G941" s="358"/>
      <c r="H941" s="358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</row>
    <row r="942" ht="14.25" customHeight="1">
      <c r="G942" s="358"/>
      <c r="H942" s="358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  <c r="AF942" s="358"/>
      <c r="AG942" s="358"/>
      <c r="AH942" s="358"/>
      <c r="AI942" s="358"/>
      <c r="AJ942" s="358"/>
      <c r="AK942" s="358"/>
      <c r="AL942" s="358"/>
      <c r="AM942" s="358"/>
    </row>
    <row r="943" ht="14.25" customHeight="1">
      <c r="G943" s="358"/>
      <c r="H943" s="358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  <c r="AA943" s="358"/>
      <c r="AB943" s="358"/>
      <c r="AC943" s="358"/>
      <c r="AD943" s="358"/>
      <c r="AE943" s="358"/>
      <c r="AF943" s="358"/>
      <c r="AG943" s="358"/>
      <c r="AH943" s="358"/>
      <c r="AI943" s="358"/>
      <c r="AJ943" s="358"/>
      <c r="AK943" s="358"/>
      <c r="AL943" s="358"/>
      <c r="AM943" s="358"/>
    </row>
    <row r="944" ht="14.25" customHeight="1">
      <c r="G944" s="358"/>
      <c r="H944" s="358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  <c r="AA944" s="358"/>
      <c r="AB944" s="358"/>
      <c r="AC944" s="358"/>
      <c r="AD944" s="358"/>
      <c r="AE944" s="358"/>
      <c r="AF944" s="358"/>
      <c r="AG944" s="358"/>
      <c r="AH944" s="358"/>
      <c r="AI944" s="358"/>
      <c r="AJ944" s="358"/>
      <c r="AK944" s="358"/>
      <c r="AL944" s="358"/>
      <c r="AM944" s="358"/>
    </row>
    <row r="945" ht="14.25" customHeight="1">
      <c r="G945" s="358"/>
      <c r="H945" s="358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  <c r="AA945" s="358"/>
      <c r="AB945" s="358"/>
      <c r="AC945" s="358"/>
      <c r="AD945" s="358"/>
      <c r="AE945" s="358"/>
      <c r="AF945" s="358"/>
      <c r="AG945" s="358"/>
      <c r="AH945" s="358"/>
      <c r="AI945" s="358"/>
      <c r="AJ945" s="358"/>
      <c r="AK945" s="358"/>
      <c r="AL945" s="358"/>
      <c r="AM945" s="358"/>
    </row>
    <row r="946" ht="14.25" customHeight="1">
      <c r="G946" s="358"/>
      <c r="H946" s="358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  <c r="AA946" s="358"/>
      <c r="AB946" s="358"/>
      <c r="AC946" s="358"/>
      <c r="AD946" s="358"/>
      <c r="AE946" s="358"/>
      <c r="AF946" s="358"/>
      <c r="AG946" s="358"/>
      <c r="AH946" s="358"/>
      <c r="AI946" s="358"/>
      <c r="AJ946" s="358"/>
      <c r="AK946" s="358"/>
      <c r="AL946" s="358"/>
      <c r="AM946" s="358"/>
    </row>
    <row r="947" ht="14.25" customHeight="1">
      <c r="G947" s="358"/>
      <c r="H947" s="358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  <c r="AA947" s="358"/>
      <c r="AB947" s="358"/>
      <c r="AC947" s="358"/>
      <c r="AD947" s="358"/>
      <c r="AE947" s="358"/>
      <c r="AF947" s="358"/>
      <c r="AG947" s="358"/>
      <c r="AH947" s="358"/>
      <c r="AI947" s="358"/>
      <c r="AJ947" s="358"/>
      <c r="AK947" s="358"/>
      <c r="AL947" s="358"/>
      <c r="AM947" s="358"/>
    </row>
    <row r="948" ht="14.25" customHeight="1">
      <c r="G948" s="358"/>
      <c r="H948" s="358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  <c r="AA948" s="358"/>
      <c r="AB948" s="358"/>
      <c r="AC948" s="358"/>
      <c r="AD948" s="358"/>
      <c r="AE948" s="358"/>
      <c r="AF948" s="358"/>
      <c r="AG948" s="358"/>
      <c r="AH948" s="358"/>
      <c r="AI948" s="358"/>
      <c r="AJ948" s="358"/>
      <c r="AK948" s="358"/>
      <c r="AL948" s="358"/>
      <c r="AM948" s="358"/>
    </row>
    <row r="949" ht="14.25" customHeight="1">
      <c r="G949" s="358"/>
      <c r="H949" s="358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  <c r="AA949" s="358"/>
      <c r="AB949" s="358"/>
      <c r="AC949" s="358"/>
      <c r="AD949" s="358"/>
      <c r="AE949" s="358"/>
      <c r="AF949" s="358"/>
      <c r="AG949" s="358"/>
      <c r="AH949" s="358"/>
      <c r="AI949" s="358"/>
      <c r="AJ949" s="358"/>
      <c r="AK949" s="358"/>
      <c r="AL949" s="358"/>
      <c r="AM949" s="358"/>
    </row>
    <row r="950" ht="14.25" customHeight="1">
      <c r="G950" s="358"/>
      <c r="H950" s="358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  <c r="AA950" s="358"/>
      <c r="AB950" s="358"/>
      <c r="AC950" s="358"/>
      <c r="AD950" s="358"/>
      <c r="AE950" s="358"/>
      <c r="AF950" s="358"/>
      <c r="AG950" s="358"/>
      <c r="AH950" s="358"/>
      <c r="AI950" s="358"/>
      <c r="AJ950" s="358"/>
      <c r="AK950" s="358"/>
      <c r="AL950" s="358"/>
      <c r="AM950" s="358"/>
    </row>
    <row r="951" ht="14.25" customHeight="1">
      <c r="G951" s="358"/>
      <c r="H951" s="358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  <c r="AA951" s="358"/>
      <c r="AB951" s="358"/>
      <c r="AC951" s="358"/>
      <c r="AD951" s="358"/>
      <c r="AE951" s="358"/>
      <c r="AF951" s="358"/>
      <c r="AG951" s="358"/>
      <c r="AH951" s="358"/>
      <c r="AI951" s="358"/>
      <c r="AJ951" s="358"/>
      <c r="AK951" s="358"/>
      <c r="AL951" s="358"/>
      <c r="AM951" s="358"/>
    </row>
    <row r="952" ht="14.25" customHeight="1">
      <c r="G952" s="358"/>
      <c r="H952" s="358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  <c r="AA952" s="358"/>
      <c r="AB952" s="358"/>
      <c r="AC952" s="358"/>
      <c r="AD952" s="358"/>
      <c r="AE952" s="358"/>
      <c r="AF952" s="358"/>
      <c r="AG952" s="358"/>
      <c r="AH952" s="358"/>
      <c r="AI952" s="358"/>
      <c r="AJ952" s="358"/>
      <c r="AK952" s="358"/>
      <c r="AL952" s="358"/>
      <c r="AM952" s="358"/>
    </row>
    <row r="953" ht="14.25" customHeight="1">
      <c r="G953" s="358"/>
      <c r="H953" s="358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  <c r="AA953" s="358"/>
      <c r="AB953" s="358"/>
      <c r="AC953" s="358"/>
      <c r="AD953" s="358"/>
      <c r="AE953" s="358"/>
      <c r="AF953" s="358"/>
      <c r="AG953" s="358"/>
      <c r="AH953" s="358"/>
      <c r="AI953" s="358"/>
      <c r="AJ953" s="358"/>
      <c r="AK953" s="358"/>
      <c r="AL953" s="358"/>
      <c r="AM953" s="358"/>
    </row>
    <row r="954" ht="14.25" customHeight="1">
      <c r="G954" s="358"/>
      <c r="H954" s="358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  <c r="AA954" s="358"/>
      <c r="AB954" s="358"/>
      <c r="AC954" s="358"/>
      <c r="AD954" s="358"/>
      <c r="AE954" s="358"/>
      <c r="AF954" s="358"/>
      <c r="AG954" s="358"/>
      <c r="AH954" s="358"/>
      <c r="AI954" s="358"/>
      <c r="AJ954" s="358"/>
      <c r="AK954" s="358"/>
      <c r="AL954" s="358"/>
      <c r="AM954" s="358"/>
    </row>
    <row r="955" ht="14.25" customHeight="1">
      <c r="G955" s="358"/>
      <c r="H955" s="358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  <c r="AA955" s="358"/>
      <c r="AB955" s="358"/>
      <c r="AC955" s="358"/>
      <c r="AD955" s="358"/>
      <c r="AE955" s="358"/>
      <c r="AF955" s="358"/>
      <c r="AG955" s="358"/>
      <c r="AH955" s="358"/>
      <c r="AI955" s="358"/>
      <c r="AJ955" s="358"/>
      <c r="AK955" s="358"/>
      <c r="AL955" s="358"/>
      <c r="AM955" s="358"/>
    </row>
    <row r="956" ht="14.25" customHeight="1">
      <c r="G956" s="358"/>
      <c r="H956" s="358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  <c r="AA956" s="358"/>
      <c r="AB956" s="358"/>
      <c r="AC956" s="358"/>
      <c r="AD956" s="358"/>
      <c r="AE956" s="358"/>
      <c r="AF956" s="358"/>
      <c r="AG956" s="358"/>
      <c r="AH956" s="358"/>
      <c r="AI956" s="358"/>
      <c r="AJ956" s="358"/>
      <c r="AK956" s="358"/>
      <c r="AL956" s="358"/>
      <c r="AM956" s="358"/>
    </row>
    <row r="957" ht="14.25" customHeight="1">
      <c r="G957" s="358"/>
      <c r="H957" s="358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  <c r="AA957" s="358"/>
      <c r="AB957" s="358"/>
      <c r="AC957" s="358"/>
      <c r="AD957" s="358"/>
      <c r="AE957" s="358"/>
      <c r="AF957" s="358"/>
      <c r="AG957" s="358"/>
      <c r="AH957" s="358"/>
      <c r="AI957" s="358"/>
      <c r="AJ957" s="358"/>
      <c r="AK957" s="358"/>
      <c r="AL957" s="358"/>
      <c r="AM957" s="358"/>
    </row>
    <row r="958" ht="14.25" customHeight="1">
      <c r="G958" s="358"/>
      <c r="H958" s="358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  <c r="AA958" s="358"/>
      <c r="AB958" s="358"/>
      <c r="AC958" s="358"/>
      <c r="AD958" s="358"/>
      <c r="AE958" s="358"/>
      <c r="AF958" s="358"/>
      <c r="AG958" s="358"/>
      <c r="AH958" s="358"/>
      <c r="AI958" s="358"/>
      <c r="AJ958" s="358"/>
      <c r="AK958" s="358"/>
      <c r="AL958" s="358"/>
      <c r="AM958" s="358"/>
    </row>
    <row r="959" ht="14.25" customHeight="1">
      <c r="G959" s="358"/>
      <c r="H959" s="358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  <c r="AA959" s="358"/>
      <c r="AB959" s="358"/>
      <c r="AC959" s="358"/>
      <c r="AD959" s="358"/>
      <c r="AE959" s="358"/>
      <c r="AF959" s="358"/>
      <c r="AG959" s="358"/>
      <c r="AH959" s="358"/>
      <c r="AI959" s="358"/>
      <c r="AJ959" s="358"/>
      <c r="AK959" s="358"/>
      <c r="AL959" s="358"/>
      <c r="AM959" s="358"/>
    </row>
    <row r="960" ht="14.25" customHeight="1">
      <c r="G960" s="358"/>
      <c r="H960" s="358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  <c r="AA960" s="358"/>
      <c r="AB960" s="358"/>
      <c r="AC960" s="358"/>
      <c r="AD960" s="358"/>
      <c r="AE960" s="358"/>
      <c r="AF960" s="358"/>
      <c r="AG960" s="358"/>
      <c r="AH960" s="358"/>
      <c r="AI960" s="358"/>
      <c r="AJ960" s="358"/>
      <c r="AK960" s="358"/>
      <c r="AL960" s="358"/>
      <c r="AM960" s="358"/>
    </row>
    <row r="961" ht="14.25" customHeight="1">
      <c r="G961" s="358"/>
      <c r="H961" s="358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  <c r="AA961" s="358"/>
      <c r="AB961" s="358"/>
      <c r="AC961" s="358"/>
      <c r="AD961" s="358"/>
      <c r="AE961" s="358"/>
      <c r="AF961" s="358"/>
      <c r="AG961" s="358"/>
      <c r="AH961" s="358"/>
      <c r="AI961" s="358"/>
      <c r="AJ961" s="358"/>
      <c r="AK961" s="358"/>
      <c r="AL961" s="358"/>
      <c r="AM961" s="358"/>
    </row>
    <row r="962" ht="14.25" customHeight="1">
      <c r="G962" s="358"/>
      <c r="H962" s="358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  <c r="AA962" s="358"/>
      <c r="AB962" s="358"/>
      <c r="AC962" s="358"/>
      <c r="AD962" s="358"/>
      <c r="AE962" s="358"/>
      <c r="AF962" s="358"/>
      <c r="AG962" s="358"/>
      <c r="AH962" s="358"/>
      <c r="AI962" s="358"/>
      <c r="AJ962" s="358"/>
      <c r="AK962" s="358"/>
      <c r="AL962" s="358"/>
      <c r="AM962" s="358"/>
    </row>
    <row r="963" ht="14.25" customHeight="1"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  <c r="AA963" s="358"/>
      <c r="AB963" s="358"/>
      <c r="AC963" s="358"/>
      <c r="AD963" s="358"/>
      <c r="AE963" s="358"/>
      <c r="AF963" s="358"/>
      <c r="AG963" s="358"/>
      <c r="AH963" s="358"/>
      <c r="AI963" s="358"/>
      <c r="AJ963" s="358"/>
      <c r="AK963" s="358"/>
      <c r="AL963" s="358"/>
      <c r="AM963" s="358"/>
    </row>
    <row r="964" ht="14.25" customHeight="1">
      <c r="G964" s="358"/>
      <c r="H964" s="358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  <c r="AA964" s="358"/>
      <c r="AB964" s="358"/>
      <c r="AC964" s="358"/>
      <c r="AD964" s="358"/>
      <c r="AE964" s="358"/>
      <c r="AF964" s="358"/>
      <c r="AG964" s="358"/>
      <c r="AH964" s="358"/>
      <c r="AI964" s="358"/>
      <c r="AJ964" s="358"/>
      <c r="AK964" s="358"/>
      <c r="AL964" s="358"/>
      <c r="AM964" s="358"/>
    </row>
    <row r="965" ht="14.25" customHeight="1">
      <c r="G965" s="358"/>
      <c r="H965" s="358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  <c r="AA965" s="358"/>
      <c r="AB965" s="358"/>
      <c r="AC965" s="358"/>
      <c r="AD965" s="358"/>
      <c r="AE965" s="358"/>
      <c r="AF965" s="358"/>
      <c r="AG965" s="358"/>
      <c r="AH965" s="358"/>
      <c r="AI965" s="358"/>
      <c r="AJ965" s="358"/>
      <c r="AK965" s="358"/>
      <c r="AL965" s="358"/>
      <c r="AM965" s="358"/>
    </row>
    <row r="966" ht="14.25" customHeight="1">
      <c r="G966" s="358"/>
      <c r="H966" s="358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  <c r="AA966" s="358"/>
      <c r="AB966" s="358"/>
      <c r="AC966" s="358"/>
      <c r="AD966" s="358"/>
      <c r="AE966" s="358"/>
      <c r="AF966" s="358"/>
      <c r="AG966" s="358"/>
      <c r="AH966" s="358"/>
      <c r="AI966" s="358"/>
      <c r="AJ966" s="358"/>
      <c r="AK966" s="358"/>
      <c r="AL966" s="358"/>
      <c r="AM966" s="358"/>
    </row>
    <row r="967" ht="14.25" customHeight="1">
      <c r="G967" s="358"/>
      <c r="H967" s="358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  <c r="AA967" s="358"/>
      <c r="AB967" s="358"/>
      <c r="AC967" s="358"/>
      <c r="AD967" s="358"/>
      <c r="AE967" s="358"/>
      <c r="AF967" s="358"/>
      <c r="AG967" s="358"/>
      <c r="AH967" s="358"/>
      <c r="AI967" s="358"/>
      <c r="AJ967" s="358"/>
      <c r="AK967" s="358"/>
      <c r="AL967" s="358"/>
      <c r="AM967" s="358"/>
    </row>
    <row r="968" ht="14.25" customHeight="1">
      <c r="G968" s="358"/>
      <c r="H968" s="358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  <c r="AA968" s="358"/>
      <c r="AB968" s="358"/>
      <c r="AC968" s="358"/>
      <c r="AD968" s="358"/>
      <c r="AE968" s="358"/>
      <c r="AF968" s="358"/>
      <c r="AG968" s="358"/>
      <c r="AH968" s="358"/>
      <c r="AI968" s="358"/>
      <c r="AJ968" s="358"/>
      <c r="AK968" s="358"/>
      <c r="AL968" s="358"/>
      <c r="AM968" s="358"/>
    </row>
    <row r="969" ht="14.25" customHeight="1">
      <c r="G969" s="358"/>
      <c r="H969" s="358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  <c r="AA969" s="358"/>
      <c r="AB969" s="358"/>
      <c r="AC969" s="358"/>
      <c r="AD969" s="358"/>
      <c r="AE969" s="358"/>
      <c r="AF969" s="358"/>
      <c r="AG969" s="358"/>
      <c r="AH969" s="358"/>
      <c r="AI969" s="358"/>
      <c r="AJ969" s="358"/>
      <c r="AK969" s="358"/>
      <c r="AL969" s="358"/>
      <c r="AM969" s="358"/>
    </row>
    <row r="970" ht="14.25" customHeight="1">
      <c r="G970" s="358"/>
      <c r="H970" s="358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  <c r="AA970" s="358"/>
      <c r="AB970" s="358"/>
      <c r="AC970" s="358"/>
      <c r="AD970" s="358"/>
      <c r="AE970" s="358"/>
      <c r="AF970" s="358"/>
      <c r="AG970" s="358"/>
      <c r="AH970" s="358"/>
      <c r="AI970" s="358"/>
      <c r="AJ970" s="358"/>
      <c r="AK970" s="358"/>
      <c r="AL970" s="358"/>
      <c r="AM970" s="358"/>
    </row>
    <row r="971" ht="14.25" customHeight="1">
      <c r="G971" s="358"/>
      <c r="H971" s="358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  <c r="AA971" s="358"/>
      <c r="AB971" s="358"/>
      <c r="AC971" s="358"/>
      <c r="AD971" s="358"/>
      <c r="AE971" s="358"/>
      <c r="AF971" s="358"/>
      <c r="AG971" s="358"/>
      <c r="AH971" s="358"/>
      <c r="AI971" s="358"/>
      <c r="AJ971" s="358"/>
      <c r="AK971" s="358"/>
      <c r="AL971" s="358"/>
      <c r="AM971" s="358"/>
    </row>
    <row r="972" ht="14.25" customHeight="1">
      <c r="G972" s="358"/>
      <c r="H972" s="358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  <c r="AA972" s="358"/>
      <c r="AB972" s="358"/>
      <c r="AC972" s="358"/>
      <c r="AD972" s="358"/>
      <c r="AE972" s="358"/>
      <c r="AF972" s="358"/>
      <c r="AG972" s="358"/>
      <c r="AH972" s="358"/>
      <c r="AI972" s="358"/>
      <c r="AJ972" s="358"/>
      <c r="AK972" s="358"/>
      <c r="AL972" s="358"/>
      <c r="AM972" s="358"/>
    </row>
    <row r="973" ht="14.25" customHeight="1">
      <c r="G973" s="358"/>
      <c r="H973" s="358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  <c r="AA973" s="358"/>
      <c r="AB973" s="358"/>
      <c r="AC973" s="358"/>
      <c r="AD973" s="358"/>
      <c r="AE973" s="358"/>
      <c r="AF973" s="358"/>
      <c r="AG973" s="358"/>
      <c r="AH973" s="358"/>
      <c r="AI973" s="358"/>
      <c r="AJ973" s="358"/>
      <c r="AK973" s="358"/>
      <c r="AL973" s="358"/>
      <c r="AM973" s="358"/>
    </row>
    <row r="974" ht="14.25" customHeight="1">
      <c r="G974" s="358"/>
      <c r="H974" s="358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  <c r="AA974" s="358"/>
      <c r="AB974" s="358"/>
      <c r="AC974" s="358"/>
      <c r="AD974" s="358"/>
      <c r="AE974" s="358"/>
      <c r="AF974" s="358"/>
      <c r="AG974" s="358"/>
      <c r="AH974" s="358"/>
      <c r="AI974" s="358"/>
      <c r="AJ974" s="358"/>
      <c r="AK974" s="358"/>
      <c r="AL974" s="358"/>
      <c r="AM974" s="358"/>
    </row>
    <row r="975" ht="14.25" customHeight="1">
      <c r="G975" s="358"/>
      <c r="H975" s="358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  <c r="AA975" s="358"/>
      <c r="AB975" s="358"/>
      <c r="AC975" s="358"/>
      <c r="AD975" s="358"/>
      <c r="AE975" s="358"/>
      <c r="AF975" s="358"/>
      <c r="AG975" s="358"/>
      <c r="AH975" s="358"/>
      <c r="AI975" s="358"/>
      <c r="AJ975" s="358"/>
      <c r="AK975" s="358"/>
      <c r="AL975" s="358"/>
      <c r="AM975" s="358"/>
    </row>
    <row r="976" ht="14.25" customHeight="1">
      <c r="G976" s="358"/>
      <c r="H976" s="358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  <c r="AA976" s="358"/>
      <c r="AB976" s="358"/>
      <c r="AC976" s="358"/>
      <c r="AD976" s="358"/>
      <c r="AE976" s="358"/>
      <c r="AF976" s="358"/>
      <c r="AG976" s="358"/>
      <c r="AH976" s="358"/>
      <c r="AI976" s="358"/>
      <c r="AJ976" s="358"/>
      <c r="AK976" s="358"/>
      <c r="AL976" s="358"/>
      <c r="AM976" s="358"/>
    </row>
    <row r="977" ht="14.25" customHeight="1">
      <c r="G977" s="358"/>
      <c r="H977" s="358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  <c r="AA977" s="358"/>
      <c r="AB977" s="358"/>
      <c r="AC977" s="358"/>
      <c r="AD977" s="358"/>
      <c r="AE977" s="358"/>
      <c r="AF977" s="358"/>
      <c r="AG977" s="358"/>
      <c r="AH977" s="358"/>
      <c r="AI977" s="358"/>
      <c r="AJ977" s="358"/>
      <c r="AK977" s="358"/>
      <c r="AL977" s="358"/>
      <c r="AM977" s="358"/>
    </row>
    <row r="978" ht="14.25" customHeight="1">
      <c r="G978" s="358"/>
      <c r="H978" s="358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  <c r="AA978" s="358"/>
      <c r="AB978" s="358"/>
      <c r="AC978" s="358"/>
      <c r="AD978" s="358"/>
      <c r="AE978" s="358"/>
      <c r="AF978" s="358"/>
      <c r="AG978" s="358"/>
      <c r="AH978" s="358"/>
      <c r="AI978" s="358"/>
      <c r="AJ978" s="358"/>
      <c r="AK978" s="358"/>
      <c r="AL978" s="358"/>
      <c r="AM978" s="358"/>
    </row>
    <row r="979" ht="14.25" customHeight="1">
      <c r="G979" s="358"/>
      <c r="H979" s="358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  <c r="AA979" s="358"/>
      <c r="AB979" s="358"/>
      <c r="AC979" s="358"/>
      <c r="AD979" s="358"/>
      <c r="AE979" s="358"/>
      <c r="AF979" s="358"/>
      <c r="AG979" s="358"/>
      <c r="AH979" s="358"/>
      <c r="AI979" s="358"/>
      <c r="AJ979" s="358"/>
      <c r="AK979" s="358"/>
      <c r="AL979" s="358"/>
      <c r="AM979" s="358"/>
    </row>
    <row r="980" ht="14.25" customHeight="1">
      <c r="G980" s="358"/>
      <c r="H980" s="358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  <c r="AA980" s="358"/>
      <c r="AB980" s="358"/>
      <c r="AC980" s="358"/>
      <c r="AD980" s="358"/>
      <c r="AE980" s="358"/>
      <c r="AF980" s="358"/>
      <c r="AG980" s="358"/>
      <c r="AH980" s="358"/>
      <c r="AI980" s="358"/>
      <c r="AJ980" s="358"/>
      <c r="AK980" s="358"/>
      <c r="AL980" s="358"/>
      <c r="AM980" s="358"/>
    </row>
    <row r="981" ht="14.25" customHeight="1">
      <c r="G981" s="358"/>
      <c r="H981" s="358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  <c r="AA981" s="358"/>
      <c r="AB981" s="358"/>
      <c r="AC981" s="358"/>
      <c r="AD981" s="358"/>
      <c r="AE981" s="358"/>
      <c r="AF981" s="358"/>
      <c r="AG981" s="358"/>
      <c r="AH981" s="358"/>
      <c r="AI981" s="358"/>
      <c r="AJ981" s="358"/>
      <c r="AK981" s="358"/>
      <c r="AL981" s="358"/>
      <c r="AM981" s="358"/>
    </row>
    <row r="982" ht="14.25" customHeight="1">
      <c r="G982" s="358"/>
      <c r="H982" s="358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  <c r="AA982" s="358"/>
      <c r="AB982" s="358"/>
      <c r="AC982" s="358"/>
      <c r="AD982" s="358"/>
      <c r="AE982" s="358"/>
      <c r="AF982" s="358"/>
      <c r="AG982" s="358"/>
      <c r="AH982" s="358"/>
      <c r="AI982" s="358"/>
      <c r="AJ982" s="358"/>
      <c r="AK982" s="358"/>
      <c r="AL982" s="358"/>
      <c r="AM982" s="358"/>
    </row>
    <row r="983" ht="14.25" customHeight="1">
      <c r="G983" s="358"/>
      <c r="H983" s="358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  <c r="AA983" s="358"/>
      <c r="AB983" s="358"/>
      <c r="AC983" s="358"/>
      <c r="AD983" s="358"/>
      <c r="AE983" s="358"/>
      <c r="AF983" s="358"/>
      <c r="AG983" s="358"/>
      <c r="AH983" s="358"/>
      <c r="AI983" s="358"/>
      <c r="AJ983" s="358"/>
      <c r="AK983" s="358"/>
      <c r="AL983" s="358"/>
      <c r="AM983" s="358"/>
    </row>
    <row r="984" ht="14.25" customHeight="1">
      <c r="G984" s="358"/>
      <c r="H984" s="358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  <c r="AA984" s="358"/>
      <c r="AB984" s="358"/>
      <c r="AC984" s="358"/>
      <c r="AD984" s="358"/>
      <c r="AE984" s="358"/>
      <c r="AF984" s="358"/>
      <c r="AG984" s="358"/>
      <c r="AH984" s="358"/>
      <c r="AI984" s="358"/>
      <c r="AJ984" s="358"/>
      <c r="AK984" s="358"/>
      <c r="AL984" s="358"/>
      <c r="AM984" s="358"/>
    </row>
    <row r="985" ht="14.25" customHeight="1">
      <c r="G985" s="358"/>
      <c r="H985" s="358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  <c r="AA985" s="358"/>
      <c r="AB985" s="358"/>
      <c r="AC985" s="358"/>
      <c r="AD985" s="358"/>
      <c r="AE985" s="358"/>
      <c r="AF985" s="358"/>
      <c r="AG985" s="358"/>
      <c r="AH985" s="358"/>
      <c r="AI985" s="358"/>
      <c r="AJ985" s="358"/>
      <c r="AK985" s="358"/>
      <c r="AL985" s="358"/>
      <c r="AM985" s="358"/>
    </row>
    <row r="986" ht="14.25" customHeight="1">
      <c r="G986" s="358"/>
      <c r="H986" s="358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  <c r="AA986" s="358"/>
      <c r="AB986" s="358"/>
      <c r="AC986" s="358"/>
      <c r="AD986" s="358"/>
      <c r="AE986" s="358"/>
      <c r="AF986" s="358"/>
      <c r="AG986" s="358"/>
      <c r="AH986" s="358"/>
      <c r="AI986" s="358"/>
      <c r="AJ986" s="358"/>
      <c r="AK986" s="358"/>
      <c r="AL986" s="358"/>
      <c r="AM986" s="358"/>
    </row>
    <row r="987" ht="14.25" customHeight="1">
      <c r="G987" s="358"/>
      <c r="H987" s="358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  <c r="AA987" s="358"/>
      <c r="AB987" s="358"/>
      <c r="AC987" s="358"/>
      <c r="AD987" s="358"/>
      <c r="AE987" s="358"/>
      <c r="AF987" s="358"/>
      <c r="AG987" s="358"/>
      <c r="AH987" s="358"/>
      <c r="AI987" s="358"/>
      <c r="AJ987" s="358"/>
      <c r="AK987" s="358"/>
      <c r="AL987" s="358"/>
      <c r="AM987" s="358"/>
    </row>
    <row r="988" ht="14.25" customHeight="1">
      <c r="G988" s="358"/>
      <c r="H988" s="358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  <c r="AA988" s="358"/>
      <c r="AB988" s="358"/>
      <c r="AC988" s="358"/>
      <c r="AD988" s="358"/>
      <c r="AE988" s="358"/>
      <c r="AF988" s="358"/>
      <c r="AG988" s="358"/>
      <c r="AH988" s="358"/>
      <c r="AI988" s="358"/>
      <c r="AJ988" s="358"/>
      <c r="AK988" s="358"/>
      <c r="AL988" s="358"/>
      <c r="AM988" s="358"/>
    </row>
    <row r="989" ht="14.25" customHeight="1">
      <c r="G989" s="358"/>
      <c r="H989" s="358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  <c r="AA989" s="358"/>
      <c r="AB989" s="358"/>
      <c r="AC989" s="358"/>
      <c r="AD989" s="358"/>
      <c r="AE989" s="358"/>
      <c r="AF989" s="358"/>
      <c r="AG989" s="358"/>
      <c r="AH989" s="358"/>
      <c r="AI989" s="358"/>
      <c r="AJ989" s="358"/>
      <c r="AK989" s="358"/>
      <c r="AL989" s="358"/>
      <c r="AM989" s="358"/>
    </row>
    <row r="990" ht="14.25" customHeight="1">
      <c r="G990" s="358"/>
      <c r="H990" s="358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  <c r="AA990" s="358"/>
      <c r="AB990" s="358"/>
      <c r="AC990" s="358"/>
      <c r="AD990" s="358"/>
      <c r="AE990" s="358"/>
      <c r="AF990" s="358"/>
      <c r="AG990" s="358"/>
      <c r="AH990" s="358"/>
      <c r="AI990" s="358"/>
      <c r="AJ990" s="358"/>
      <c r="AK990" s="358"/>
      <c r="AL990" s="358"/>
      <c r="AM990" s="358"/>
    </row>
    <row r="991" ht="14.25" customHeight="1">
      <c r="G991" s="358"/>
      <c r="H991" s="358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  <c r="AA991" s="358"/>
      <c r="AB991" s="358"/>
      <c r="AC991" s="358"/>
      <c r="AD991" s="358"/>
      <c r="AE991" s="358"/>
      <c r="AF991" s="358"/>
      <c r="AG991" s="358"/>
      <c r="AH991" s="358"/>
      <c r="AI991" s="358"/>
      <c r="AJ991" s="358"/>
      <c r="AK991" s="358"/>
      <c r="AL991" s="358"/>
      <c r="AM991" s="358"/>
    </row>
    <row r="992" ht="14.25" customHeight="1">
      <c r="G992" s="358"/>
      <c r="H992" s="358"/>
      <c r="I992" s="358"/>
      <c r="J992" s="358"/>
      <c r="K992" s="358"/>
      <c r="L992" s="358"/>
      <c r="M992" s="358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  <c r="AA992" s="358"/>
      <c r="AB992" s="358"/>
      <c r="AC992" s="358"/>
      <c r="AD992" s="358"/>
      <c r="AE992" s="358"/>
      <c r="AF992" s="358"/>
      <c r="AG992" s="358"/>
      <c r="AH992" s="358"/>
      <c r="AI992" s="358"/>
      <c r="AJ992" s="358"/>
      <c r="AK992" s="358"/>
      <c r="AL992" s="358"/>
      <c r="AM992" s="358"/>
    </row>
    <row r="993" ht="14.25" customHeight="1">
      <c r="G993" s="358"/>
      <c r="H993" s="358"/>
      <c r="I993" s="358"/>
      <c r="J993" s="358"/>
      <c r="K993" s="358"/>
      <c r="L993" s="358"/>
      <c r="M993" s="358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  <c r="AA993" s="358"/>
      <c r="AB993" s="358"/>
      <c r="AC993" s="358"/>
      <c r="AD993" s="358"/>
      <c r="AE993" s="358"/>
      <c r="AF993" s="358"/>
      <c r="AG993" s="358"/>
      <c r="AH993" s="358"/>
      <c r="AI993" s="358"/>
      <c r="AJ993" s="358"/>
      <c r="AK993" s="358"/>
      <c r="AL993" s="358"/>
      <c r="AM993" s="358"/>
    </row>
    <row r="994" ht="14.25" customHeight="1">
      <c r="G994" s="358"/>
      <c r="H994" s="358"/>
      <c r="I994" s="358"/>
      <c r="J994" s="358"/>
      <c r="K994" s="358"/>
      <c r="L994" s="358"/>
      <c r="M994" s="358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  <c r="AA994" s="358"/>
      <c r="AB994" s="358"/>
      <c r="AC994" s="358"/>
      <c r="AD994" s="358"/>
      <c r="AE994" s="358"/>
      <c r="AF994" s="358"/>
      <c r="AG994" s="358"/>
      <c r="AH994" s="358"/>
      <c r="AI994" s="358"/>
      <c r="AJ994" s="358"/>
      <c r="AK994" s="358"/>
      <c r="AL994" s="358"/>
      <c r="AM994" s="358"/>
    </row>
    <row r="995" ht="14.25" customHeight="1">
      <c r="G995" s="358"/>
      <c r="H995" s="358"/>
      <c r="I995" s="358"/>
      <c r="J995" s="358"/>
      <c r="K995" s="358"/>
      <c r="L995" s="358"/>
      <c r="M995" s="358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  <c r="AA995" s="358"/>
      <c r="AB995" s="358"/>
      <c r="AC995" s="358"/>
      <c r="AD995" s="358"/>
      <c r="AE995" s="358"/>
      <c r="AF995" s="358"/>
      <c r="AG995" s="358"/>
      <c r="AH995" s="358"/>
      <c r="AI995" s="358"/>
      <c r="AJ995" s="358"/>
      <c r="AK995" s="358"/>
      <c r="AL995" s="358"/>
      <c r="AM995" s="358"/>
    </row>
    <row r="996" ht="14.25" customHeight="1">
      <c r="G996" s="358"/>
      <c r="H996" s="358"/>
      <c r="I996" s="358"/>
      <c r="J996" s="358"/>
      <c r="K996" s="358"/>
      <c r="L996" s="358"/>
      <c r="M996" s="358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  <c r="AA996" s="358"/>
      <c r="AB996" s="358"/>
      <c r="AC996" s="358"/>
      <c r="AD996" s="358"/>
      <c r="AE996" s="358"/>
      <c r="AF996" s="358"/>
      <c r="AG996" s="358"/>
      <c r="AH996" s="358"/>
      <c r="AI996" s="358"/>
      <c r="AJ996" s="358"/>
      <c r="AK996" s="358"/>
      <c r="AL996" s="358"/>
      <c r="AM996" s="358"/>
    </row>
    <row r="997" ht="14.25" customHeight="1">
      <c r="G997" s="358"/>
      <c r="H997" s="358"/>
      <c r="I997" s="358"/>
      <c r="J997" s="358"/>
      <c r="K997" s="358"/>
      <c r="L997" s="358"/>
      <c r="M997" s="358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  <c r="AA997" s="358"/>
      <c r="AB997" s="358"/>
      <c r="AC997" s="358"/>
      <c r="AD997" s="358"/>
      <c r="AE997" s="358"/>
      <c r="AF997" s="358"/>
      <c r="AG997" s="358"/>
      <c r="AH997" s="358"/>
      <c r="AI997" s="358"/>
      <c r="AJ997" s="358"/>
      <c r="AK997" s="358"/>
      <c r="AL997" s="358"/>
      <c r="AM997" s="358"/>
    </row>
    <row r="998" ht="14.25" customHeight="1">
      <c r="G998" s="358"/>
      <c r="H998" s="358"/>
      <c r="I998" s="358"/>
      <c r="J998" s="358"/>
      <c r="K998" s="358"/>
      <c r="L998" s="358"/>
      <c r="M998" s="358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  <c r="AA998" s="358"/>
      <c r="AB998" s="358"/>
      <c r="AC998" s="358"/>
      <c r="AD998" s="358"/>
      <c r="AE998" s="358"/>
      <c r="AF998" s="358"/>
      <c r="AG998" s="358"/>
      <c r="AH998" s="358"/>
      <c r="AI998" s="358"/>
      <c r="AJ998" s="358"/>
      <c r="AK998" s="358"/>
      <c r="AL998" s="358"/>
      <c r="AM998" s="358"/>
    </row>
    <row r="999" ht="14.25" customHeight="1">
      <c r="G999" s="358"/>
      <c r="H999" s="358"/>
      <c r="I999" s="358"/>
      <c r="J999" s="358"/>
      <c r="K999" s="358"/>
      <c r="L999" s="358"/>
      <c r="M999" s="358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  <c r="AA999" s="358"/>
      <c r="AB999" s="358"/>
      <c r="AC999" s="358"/>
      <c r="AD999" s="358"/>
      <c r="AE999" s="358"/>
      <c r="AF999" s="358"/>
      <c r="AG999" s="358"/>
      <c r="AH999" s="358"/>
      <c r="AI999" s="358"/>
      <c r="AJ999" s="358"/>
      <c r="AK999" s="358"/>
      <c r="AL999" s="358"/>
      <c r="AM999" s="358"/>
    </row>
    <row r="1000" ht="14.25" customHeight="1">
      <c r="G1000" s="358"/>
      <c r="H1000" s="358"/>
      <c r="I1000" s="358"/>
      <c r="J1000" s="358"/>
      <c r="K1000" s="358"/>
      <c r="L1000" s="358"/>
      <c r="M1000" s="358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  <c r="AA1000" s="358"/>
      <c r="AB1000" s="358"/>
      <c r="AC1000" s="358"/>
      <c r="AD1000" s="358"/>
      <c r="AE1000" s="358"/>
      <c r="AF1000" s="358"/>
      <c r="AG1000" s="358"/>
      <c r="AH1000" s="358"/>
      <c r="AI1000" s="358"/>
      <c r="AJ1000" s="358"/>
      <c r="AK1000" s="358"/>
      <c r="AL1000" s="358"/>
      <c r="AM1000" s="358"/>
    </row>
  </sheetData>
  <mergeCells count="25">
    <mergeCell ref="A1:D1"/>
    <mergeCell ref="B2:B3"/>
    <mergeCell ref="C2:C3"/>
    <mergeCell ref="D2:D3"/>
    <mergeCell ref="E2:E3"/>
    <mergeCell ref="AL2:AL3"/>
    <mergeCell ref="AM2:AM3"/>
    <mergeCell ref="F2:F3"/>
    <mergeCell ref="F24:F29"/>
    <mergeCell ref="G28:AC28"/>
    <mergeCell ref="AN28:AO28"/>
    <mergeCell ref="AP28:AR28"/>
    <mergeCell ref="A35:A36"/>
    <mergeCell ref="B35:B36"/>
    <mergeCell ref="F35:F36"/>
    <mergeCell ref="E58:F58"/>
    <mergeCell ref="E60:F60"/>
    <mergeCell ref="E62:F62"/>
    <mergeCell ref="C35:C36"/>
    <mergeCell ref="D35:D36"/>
    <mergeCell ref="B46:F46"/>
    <mergeCell ref="B47:F47"/>
    <mergeCell ref="B48:F48"/>
    <mergeCell ref="A54:F54"/>
    <mergeCell ref="K58:R5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5.14"/>
    <col customWidth="1" min="8" max="8" width="4.71"/>
    <col customWidth="1" min="9" max="9" width="4.43"/>
    <col customWidth="1" min="10" max="10" width="4.71"/>
    <col customWidth="1" min="11" max="13" width="5.29"/>
    <col customWidth="1" min="14" max="14" width="5.86"/>
    <col customWidth="1" min="15" max="15" width="5.29"/>
    <col customWidth="1" min="16" max="16" width="4.57"/>
    <col customWidth="1" min="17" max="17" width="5.29"/>
    <col customWidth="1" min="18" max="18" width="5.0"/>
    <col customWidth="1" min="19" max="19" width="5.29"/>
    <col customWidth="1" min="20" max="20" width="5.0"/>
    <col customWidth="1" min="21" max="21" width="5.29"/>
    <col customWidth="1" min="22" max="23" width="4.57"/>
    <col customWidth="1" min="24" max="24" width="4.71"/>
    <col customWidth="1" min="25" max="25" width="5.0"/>
    <col customWidth="1" min="26" max="26" width="4.86"/>
    <col customWidth="1" min="27" max="29" width="5.0"/>
    <col customWidth="1" min="30" max="30" width="5.29"/>
    <col customWidth="1" min="31" max="31" width="4.57"/>
    <col customWidth="1" min="32" max="32" width="4.71"/>
    <col customWidth="1" min="33" max="37" width="4.57"/>
    <col customWidth="1" min="38" max="38" width="9.0"/>
    <col customWidth="1" min="39" max="39" width="17.43"/>
    <col customWidth="1" min="40" max="40" width="1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211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10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5.7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A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v>22.0</v>
      </c>
      <c r="AC6" s="15">
        <v>23.0</v>
      </c>
      <c r="AD6" s="15">
        <v>24.0</v>
      </c>
      <c r="AE6" s="15">
        <v>25.0</v>
      </c>
      <c r="AF6" s="15">
        <v>26.0</v>
      </c>
      <c r="AG6" s="15">
        <v>27.0</v>
      </c>
      <c r="AH6" s="15">
        <v>28.0</v>
      </c>
      <c r="AI6" s="15">
        <v>29.0</v>
      </c>
      <c r="AJ6" s="15">
        <v>30.0</v>
      </c>
      <c r="AK6" s="15">
        <v>31.0</v>
      </c>
      <c r="AL6" s="13" t="s">
        <v>14</v>
      </c>
      <c r="AM6" s="13" t="s">
        <v>15</v>
      </c>
    </row>
    <row r="7" ht="14.25" customHeight="1">
      <c r="A7" s="16"/>
      <c r="B7" s="17"/>
      <c r="C7" s="17"/>
      <c r="D7" s="17"/>
      <c r="E7" s="17"/>
      <c r="F7" s="17"/>
      <c r="G7" s="18" t="s">
        <v>20</v>
      </c>
      <c r="H7" s="18" t="s">
        <v>21</v>
      </c>
      <c r="I7" s="18" t="s">
        <v>22</v>
      </c>
      <c r="J7" s="18" t="s">
        <v>16</v>
      </c>
      <c r="K7" s="18" t="s">
        <v>17</v>
      </c>
      <c r="L7" s="18" t="s">
        <v>18</v>
      </c>
      <c r="M7" s="18" t="s">
        <v>19</v>
      </c>
      <c r="N7" s="18" t="s">
        <v>20</v>
      </c>
      <c r="O7" s="18" t="s">
        <v>21</v>
      </c>
      <c r="P7" s="18" t="s">
        <v>22</v>
      </c>
      <c r="Q7" s="18" t="s">
        <v>16</v>
      </c>
      <c r="R7" s="18" t="s">
        <v>17</v>
      </c>
      <c r="S7" s="18" t="s">
        <v>18</v>
      </c>
      <c r="T7" s="18" t="s">
        <v>19</v>
      </c>
      <c r="U7" s="18" t="s">
        <v>20</v>
      </c>
      <c r="V7" s="18" t="s">
        <v>21</v>
      </c>
      <c r="W7" s="18" t="s">
        <v>22</v>
      </c>
      <c r="X7" s="18" t="s">
        <v>16</v>
      </c>
      <c r="Y7" s="18" t="s">
        <v>17</v>
      </c>
      <c r="Z7" s="18" t="s">
        <v>18</v>
      </c>
      <c r="AA7" s="18" t="s">
        <v>19</v>
      </c>
      <c r="AB7" s="18" t="s">
        <v>20</v>
      </c>
      <c r="AC7" s="18" t="s">
        <v>21</v>
      </c>
      <c r="AD7" s="18" t="s">
        <v>22</v>
      </c>
      <c r="AE7" s="18" t="s">
        <v>16</v>
      </c>
      <c r="AF7" s="18" t="s">
        <v>17</v>
      </c>
      <c r="AG7" s="18" t="s">
        <v>18</v>
      </c>
      <c r="AH7" s="18" t="s">
        <v>19</v>
      </c>
      <c r="AI7" s="18" t="s">
        <v>20</v>
      </c>
      <c r="AJ7" s="18" t="s">
        <v>21</v>
      </c>
      <c r="AK7" s="18" t="s">
        <v>22</v>
      </c>
      <c r="AL7" s="17"/>
      <c r="AM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60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8" t="s">
        <v>26</v>
      </c>
      <c r="G9" s="209"/>
      <c r="H9" s="209" t="s">
        <v>205</v>
      </c>
      <c r="I9" s="209" t="s">
        <v>205</v>
      </c>
      <c r="J9" s="209" t="s">
        <v>205</v>
      </c>
      <c r="K9" s="209" t="s">
        <v>205</v>
      </c>
      <c r="L9" s="210" t="s">
        <v>205</v>
      </c>
      <c r="M9" s="210" t="s">
        <v>205</v>
      </c>
      <c r="N9" s="209"/>
      <c r="O9" s="209" t="s">
        <v>205</v>
      </c>
      <c r="P9" s="209" t="s">
        <v>205</v>
      </c>
      <c r="Q9" s="209" t="s">
        <v>205</v>
      </c>
      <c r="R9" s="209" t="s">
        <v>205</v>
      </c>
      <c r="S9" s="210" t="s">
        <v>205</v>
      </c>
      <c r="T9" s="210" t="s">
        <v>205</v>
      </c>
      <c r="U9" s="209"/>
      <c r="V9" s="209" t="s">
        <v>205</v>
      </c>
      <c r="W9" s="209" t="s">
        <v>205</v>
      </c>
      <c r="X9" s="209" t="s">
        <v>205</v>
      </c>
      <c r="Y9" s="209" t="s">
        <v>205</v>
      </c>
      <c r="Z9" s="210" t="s">
        <v>205</v>
      </c>
      <c r="AA9" s="210" t="s">
        <v>205</v>
      </c>
      <c r="AB9" s="209"/>
      <c r="AC9" s="209" t="s">
        <v>205</v>
      </c>
      <c r="AD9" s="209" t="s">
        <v>205</v>
      </c>
      <c r="AE9" s="209" t="s">
        <v>205</v>
      </c>
      <c r="AF9" s="209" t="s">
        <v>205</v>
      </c>
      <c r="AG9" s="110">
        <v>12.0</v>
      </c>
      <c r="AH9" s="110"/>
      <c r="AI9" s="24"/>
      <c r="AJ9" s="24">
        <v>12.0</v>
      </c>
      <c r="AK9" s="24">
        <v>12.0</v>
      </c>
      <c r="AL9" s="211">
        <v>25.0</v>
      </c>
      <c r="AM9" s="57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/>
      <c r="H10" s="24">
        <v>12.0</v>
      </c>
      <c r="I10" s="24">
        <v>12.0</v>
      </c>
      <c r="J10" s="24">
        <v>12.0</v>
      </c>
      <c r="K10" s="24">
        <v>12.0</v>
      </c>
      <c r="L10" s="110">
        <v>12.0</v>
      </c>
      <c r="M10" s="110"/>
      <c r="N10" s="24"/>
      <c r="O10" s="24">
        <v>12.0</v>
      </c>
      <c r="P10" s="24">
        <v>12.0</v>
      </c>
      <c r="Q10" s="24">
        <v>12.0</v>
      </c>
      <c r="R10" s="24">
        <v>12.0</v>
      </c>
      <c r="S10" s="110">
        <v>12.0</v>
      </c>
      <c r="T10" s="110"/>
      <c r="U10" s="24"/>
      <c r="V10" s="24">
        <v>12.0</v>
      </c>
      <c r="W10" s="24">
        <v>12.0</v>
      </c>
      <c r="X10" s="24">
        <v>12.0</v>
      </c>
      <c r="Y10" s="24">
        <v>12.0</v>
      </c>
      <c r="Z10" s="110">
        <v>12.0</v>
      </c>
      <c r="AA10" s="110"/>
      <c r="AB10" s="24"/>
      <c r="AC10" s="24">
        <v>12.0</v>
      </c>
      <c r="AD10" s="24">
        <v>12.0</v>
      </c>
      <c r="AE10" s="24">
        <v>12.0</v>
      </c>
      <c r="AF10" s="24">
        <v>12.0</v>
      </c>
      <c r="AG10" s="110">
        <v>12.0</v>
      </c>
      <c r="AH10" s="110"/>
      <c r="AI10" s="24"/>
      <c r="AJ10" s="24">
        <v>12.0</v>
      </c>
      <c r="AK10" s="24">
        <v>12.0</v>
      </c>
      <c r="AL10" s="211">
        <v>22.0</v>
      </c>
      <c r="AM10" s="57">
        <f>SUM(G10:AL10)</f>
        <v>286</v>
      </c>
    </row>
    <row r="11" ht="14.25" customHeight="1">
      <c r="A11" s="260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/>
      <c r="H11" s="24">
        <v>9.0</v>
      </c>
      <c r="I11" s="24">
        <v>9.0</v>
      </c>
      <c r="J11" s="24">
        <v>9.0</v>
      </c>
      <c r="K11" s="24">
        <v>9.0</v>
      </c>
      <c r="L11" s="110">
        <v>9.0</v>
      </c>
      <c r="M11" s="110"/>
      <c r="N11" s="24"/>
      <c r="O11" s="24">
        <v>9.0</v>
      </c>
      <c r="P11" s="24">
        <v>9.0</v>
      </c>
      <c r="Q11" s="24">
        <v>9.0</v>
      </c>
      <c r="R11" s="24">
        <v>9.0</v>
      </c>
      <c r="S11" s="110">
        <v>9.0</v>
      </c>
      <c r="T11" s="110"/>
      <c r="U11" s="24"/>
      <c r="V11" s="24">
        <v>9.0</v>
      </c>
      <c r="W11" s="24">
        <v>9.0</v>
      </c>
      <c r="X11" s="24">
        <v>9.0</v>
      </c>
      <c r="Y11" s="24">
        <v>9.0</v>
      </c>
      <c r="Z11" s="110">
        <v>9.0</v>
      </c>
      <c r="AA11" s="110"/>
      <c r="AB11" s="24"/>
      <c r="AC11" s="24">
        <v>9.0</v>
      </c>
      <c r="AD11" s="24">
        <v>9.0</v>
      </c>
      <c r="AE11" s="24">
        <v>9.0</v>
      </c>
      <c r="AF11" s="24">
        <v>9.0</v>
      </c>
      <c r="AG11" s="110">
        <v>9.0</v>
      </c>
      <c r="AH11" s="110"/>
      <c r="AI11" s="24"/>
      <c r="AJ11" s="24">
        <v>9.0</v>
      </c>
      <c r="AK11" s="24">
        <v>9.0</v>
      </c>
      <c r="AL11" s="211">
        <f t="shared" ref="AL11:AL12" si="2">COUNTA(G11:AK11)</f>
        <v>22</v>
      </c>
      <c r="AM11" s="57">
        <f t="shared" ref="AM11:AM14" si="3">SUM(G11:AK11)</f>
        <v>198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8" t="s">
        <v>30</v>
      </c>
      <c r="G12" s="24"/>
      <c r="H12" s="24">
        <v>9.0</v>
      </c>
      <c r="I12" s="24">
        <v>9.0</v>
      </c>
      <c r="J12" s="24">
        <v>9.0</v>
      </c>
      <c r="K12" s="24">
        <v>9.0</v>
      </c>
      <c r="L12" s="110">
        <v>9.0</v>
      </c>
      <c r="M12" s="110"/>
      <c r="N12" s="24"/>
      <c r="O12" s="24">
        <v>9.0</v>
      </c>
      <c r="P12" s="24">
        <v>9.0</v>
      </c>
      <c r="Q12" s="24">
        <v>9.0</v>
      </c>
      <c r="R12" s="24">
        <v>9.0</v>
      </c>
      <c r="S12" s="110">
        <v>9.0</v>
      </c>
      <c r="T12" s="110"/>
      <c r="U12" s="24"/>
      <c r="V12" s="24">
        <v>9.0</v>
      </c>
      <c r="W12" s="24">
        <v>9.0</v>
      </c>
      <c r="X12" s="24">
        <v>9.0</v>
      </c>
      <c r="Y12" s="24">
        <v>9.0</v>
      </c>
      <c r="Z12" s="110">
        <v>9.0</v>
      </c>
      <c r="AA12" s="110"/>
      <c r="AB12" s="24"/>
      <c r="AC12" s="24">
        <v>9.0</v>
      </c>
      <c r="AD12" s="24">
        <v>9.0</v>
      </c>
      <c r="AE12" s="24">
        <v>9.0</v>
      </c>
      <c r="AF12" s="24">
        <v>9.0</v>
      </c>
      <c r="AG12" s="110">
        <v>9.0</v>
      </c>
      <c r="AH12" s="110"/>
      <c r="AI12" s="24"/>
      <c r="AJ12" s="24">
        <v>9.0</v>
      </c>
      <c r="AK12" s="24">
        <v>9.0</v>
      </c>
      <c r="AL12" s="211">
        <f t="shared" si="2"/>
        <v>22</v>
      </c>
      <c r="AM12" s="57">
        <f t="shared" si="3"/>
        <v>198</v>
      </c>
    </row>
    <row r="13" ht="14.25" customHeight="1">
      <c r="A13" s="260">
        <v>5.0</v>
      </c>
      <c r="B13" s="35" t="s">
        <v>36</v>
      </c>
      <c r="C13" s="27">
        <v>1.0</v>
      </c>
      <c r="D13" s="36" t="s">
        <v>180</v>
      </c>
      <c r="E13" s="27" t="s">
        <v>33</v>
      </c>
      <c r="F13" s="28" t="s">
        <v>30</v>
      </c>
      <c r="G13" s="24"/>
      <c r="H13" s="24">
        <v>9.0</v>
      </c>
      <c r="I13" s="24">
        <v>9.0</v>
      </c>
      <c r="J13" s="24">
        <v>9.0</v>
      </c>
      <c r="K13" s="24">
        <v>9.0</v>
      </c>
      <c r="L13" s="110">
        <v>9.0</v>
      </c>
      <c r="M13" s="110"/>
      <c r="N13" s="24"/>
      <c r="O13" s="24">
        <v>9.0</v>
      </c>
      <c r="P13" s="24">
        <v>9.0</v>
      </c>
      <c r="Q13" s="24">
        <v>9.0</v>
      </c>
      <c r="R13" s="24">
        <v>9.0</v>
      </c>
      <c r="S13" s="110">
        <v>9.0</v>
      </c>
      <c r="T13" s="110"/>
      <c r="U13" s="24"/>
      <c r="V13" s="24">
        <v>9.0</v>
      </c>
      <c r="W13" s="24">
        <v>9.0</v>
      </c>
      <c r="X13" s="24">
        <v>9.0</v>
      </c>
      <c r="Y13" s="24">
        <v>9.0</v>
      </c>
      <c r="Z13" s="110">
        <v>9.0</v>
      </c>
      <c r="AA13" s="110"/>
      <c r="AB13" s="24"/>
      <c r="AC13" s="24">
        <v>9.0</v>
      </c>
      <c r="AD13" s="24">
        <v>9.0</v>
      </c>
      <c r="AE13" s="24">
        <v>9.0</v>
      </c>
      <c r="AF13" s="24">
        <v>9.0</v>
      </c>
      <c r="AG13" s="110">
        <v>9.0</v>
      </c>
      <c r="AH13" s="110"/>
      <c r="AI13" s="24"/>
      <c r="AJ13" s="24">
        <v>9.0</v>
      </c>
      <c r="AK13" s="24">
        <v>9.0</v>
      </c>
      <c r="AL13" s="211">
        <v>22.0</v>
      </c>
      <c r="AM13" s="57">
        <f t="shared" si="3"/>
        <v>198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183</v>
      </c>
      <c r="E14" s="27" t="s">
        <v>40</v>
      </c>
      <c r="F14" s="28" t="s">
        <v>30</v>
      </c>
      <c r="G14" s="24">
        <v>12.0</v>
      </c>
      <c r="H14" s="117">
        <v>12.0</v>
      </c>
      <c r="I14" s="117"/>
      <c r="J14" s="24"/>
      <c r="K14" s="24">
        <v>12.0</v>
      </c>
      <c r="L14" s="110">
        <v>12.0</v>
      </c>
      <c r="M14" s="110">
        <v>12.0</v>
      </c>
      <c r="N14" s="24">
        <v>12.0</v>
      </c>
      <c r="O14" s="24">
        <v>12.0</v>
      </c>
      <c r="P14" s="24"/>
      <c r="Q14" s="24"/>
      <c r="R14" s="24">
        <v>12.0</v>
      </c>
      <c r="S14" s="110">
        <v>12.0</v>
      </c>
      <c r="T14" s="110">
        <v>12.0</v>
      </c>
      <c r="U14" s="24">
        <v>12.0</v>
      </c>
      <c r="V14" s="24">
        <v>12.0</v>
      </c>
      <c r="W14" s="24"/>
      <c r="X14" s="24"/>
      <c r="Y14" s="24">
        <v>12.0</v>
      </c>
      <c r="Z14" s="110">
        <v>12.0</v>
      </c>
      <c r="AA14" s="110">
        <v>12.0</v>
      </c>
      <c r="AB14" s="24">
        <v>12.0</v>
      </c>
      <c r="AC14" s="24">
        <v>12.0</v>
      </c>
      <c r="AD14" s="24"/>
      <c r="AE14" s="24"/>
      <c r="AF14" s="24">
        <v>12.0</v>
      </c>
      <c r="AG14" s="110">
        <v>12.0</v>
      </c>
      <c r="AH14" s="110">
        <v>12.0</v>
      </c>
      <c r="AI14" s="24">
        <v>12.0</v>
      </c>
      <c r="AJ14" s="24">
        <v>12.0</v>
      </c>
      <c r="AK14" s="24">
        <v>12.0</v>
      </c>
      <c r="AL14" s="211">
        <f>COUNTA(G14:AK14)</f>
        <v>23</v>
      </c>
      <c r="AM14" s="57">
        <f t="shared" si="3"/>
        <v>276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"/>
      <c r="AM15" s="45"/>
    </row>
    <row r="16" ht="14.25" customHeight="1">
      <c r="A16" s="24">
        <v>8.0</v>
      </c>
      <c r="B16" s="25" t="s">
        <v>181</v>
      </c>
      <c r="C16" s="26">
        <v>1.0</v>
      </c>
      <c r="D16" s="25" t="s">
        <v>63</v>
      </c>
      <c r="E16" s="26" t="s">
        <v>182</v>
      </c>
      <c r="F16" s="47" t="s">
        <v>65</v>
      </c>
      <c r="G16" s="26"/>
      <c r="H16" s="26"/>
      <c r="I16" s="26"/>
      <c r="J16" s="26"/>
      <c r="K16" s="26"/>
      <c r="L16" s="213"/>
      <c r="M16" s="213"/>
      <c r="N16" s="26"/>
      <c r="O16" s="26"/>
      <c r="P16" s="26"/>
      <c r="Q16" s="26"/>
      <c r="R16" s="26"/>
      <c r="S16" s="213"/>
      <c r="T16" s="213"/>
      <c r="U16" s="26"/>
      <c r="V16" s="26"/>
      <c r="W16" s="26"/>
      <c r="X16" s="26"/>
      <c r="Y16" s="26"/>
      <c r="Z16" s="213"/>
      <c r="AA16" s="213"/>
      <c r="AB16" s="26"/>
      <c r="AC16" s="26"/>
      <c r="AD16" s="26"/>
      <c r="AE16" s="26"/>
      <c r="AF16" s="26"/>
      <c r="AG16" s="214"/>
      <c r="AH16" s="214"/>
      <c r="AI16" s="215"/>
      <c r="AJ16" s="215"/>
      <c r="AK16" s="215"/>
      <c r="AL16" s="211">
        <v>26.0</v>
      </c>
      <c r="AM16" s="57">
        <f t="shared" ref="AM16:AM22" si="4">SUM(G16:AK16)</f>
        <v>0</v>
      </c>
    </row>
    <row r="17" ht="14.25" customHeight="1">
      <c r="A17" s="24">
        <v>9.0</v>
      </c>
      <c r="B17" s="35" t="s">
        <v>53</v>
      </c>
      <c r="C17" s="27">
        <v>1.0</v>
      </c>
      <c r="D17" s="36" t="s">
        <v>54</v>
      </c>
      <c r="E17" s="27" t="s">
        <v>55</v>
      </c>
      <c r="F17" s="47" t="s">
        <v>46</v>
      </c>
      <c r="G17" s="24">
        <v>12.0</v>
      </c>
      <c r="H17" s="24">
        <v>12.0</v>
      </c>
      <c r="I17" s="24">
        <v>12.0</v>
      </c>
      <c r="J17" s="24"/>
      <c r="K17" s="24">
        <v>12.0</v>
      </c>
      <c r="L17" s="110">
        <v>12.0</v>
      </c>
      <c r="M17" s="110">
        <v>12.0</v>
      </c>
      <c r="N17" s="24">
        <v>12.0</v>
      </c>
      <c r="O17" s="24">
        <v>12.0</v>
      </c>
      <c r="P17" s="24">
        <v>12.0</v>
      </c>
      <c r="Q17" s="24"/>
      <c r="R17" s="24">
        <v>12.0</v>
      </c>
      <c r="S17" s="110">
        <v>12.0</v>
      </c>
      <c r="T17" s="110">
        <v>12.0</v>
      </c>
      <c r="U17" s="24">
        <v>12.0</v>
      </c>
      <c r="V17" s="24">
        <v>12.0</v>
      </c>
      <c r="W17" s="24">
        <v>12.0</v>
      </c>
      <c r="X17" s="24"/>
      <c r="Y17" s="24">
        <v>12.0</v>
      </c>
      <c r="Z17" s="110">
        <v>12.0</v>
      </c>
      <c r="AA17" s="110">
        <v>12.0</v>
      </c>
      <c r="AB17" s="24">
        <v>12.0</v>
      </c>
      <c r="AC17" s="24">
        <v>12.0</v>
      </c>
      <c r="AD17" s="24">
        <v>12.0</v>
      </c>
      <c r="AE17" s="24"/>
      <c r="AF17" s="24">
        <v>12.0</v>
      </c>
      <c r="AG17" s="110">
        <v>12.0</v>
      </c>
      <c r="AH17" s="110">
        <v>12.0</v>
      </c>
      <c r="AI17" s="24">
        <v>12.0</v>
      </c>
      <c r="AJ17" s="24">
        <v>12.0</v>
      </c>
      <c r="AK17" s="24">
        <v>12.0</v>
      </c>
      <c r="AL17" s="211">
        <v>27.0</v>
      </c>
      <c r="AM17" s="57">
        <f t="shared" si="4"/>
        <v>324</v>
      </c>
      <c r="AN17" s="73" t="s">
        <v>207</v>
      </c>
    </row>
    <row r="18" ht="14.25" customHeight="1">
      <c r="A18" s="24">
        <v>10.0</v>
      </c>
      <c r="B18" s="35" t="s">
        <v>49</v>
      </c>
      <c r="C18" s="27">
        <v>1.0</v>
      </c>
      <c r="D18" s="36" t="s">
        <v>60</v>
      </c>
      <c r="E18" s="27" t="s">
        <v>51</v>
      </c>
      <c r="F18" s="47" t="s">
        <v>52</v>
      </c>
      <c r="G18" s="24">
        <v>24.0</v>
      </c>
      <c r="H18" s="24"/>
      <c r="I18" s="24">
        <v>24.0</v>
      </c>
      <c r="J18" s="24"/>
      <c r="K18" s="24">
        <v>24.0</v>
      </c>
      <c r="L18" s="110"/>
      <c r="M18" s="110">
        <v>24.0</v>
      </c>
      <c r="N18" s="24"/>
      <c r="O18" s="24">
        <v>24.0</v>
      </c>
      <c r="P18" s="24"/>
      <c r="Q18" s="24">
        <v>24.0</v>
      </c>
      <c r="R18" s="24"/>
      <c r="S18" s="110">
        <v>24.0</v>
      </c>
      <c r="T18" s="110"/>
      <c r="U18" s="24">
        <v>24.0</v>
      </c>
      <c r="V18" s="24"/>
      <c r="W18" s="24">
        <v>24.0</v>
      </c>
      <c r="X18" s="24"/>
      <c r="Y18" s="24">
        <v>24.0</v>
      </c>
      <c r="Z18" s="110"/>
      <c r="AA18" s="110">
        <v>24.0</v>
      </c>
      <c r="AB18" s="24"/>
      <c r="AC18" s="24"/>
      <c r="AD18" s="24"/>
      <c r="AE18" s="24">
        <v>24.0</v>
      </c>
      <c r="AF18" s="24"/>
      <c r="AG18" s="110">
        <v>24.0</v>
      </c>
      <c r="AH18" s="110"/>
      <c r="AI18" s="24">
        <v>24.0</v>
      </c>
      <c r="AJ18" s="24"/>
      <c r="AK18" s="24">
        <v>24.0</v>
      </c>
      <c r="AL18" s="211">
        <v>15.0</v>
      </c>
      <c r="AM18" s="57">
        <f t="shared" si="4"/>
        <v>360</v>
      </c>
      <c r="AN18" s="73" t="s">
        <v>207</v>
      </c>
    </row>
    <row r="19" ht="14.25" customHeight="1">
      <c r="A19" s="24">
        <v>11.0</v>
      </c>
      <c r="B19" s="35" t="s">
        <v>49</v>
      </c>
      <c r="C19" s="27">
        <v>1.0</v>
      </c>
      <c r="D19" s="36" t="s">
        <v>56</v>
      </c>
      <c r="E19" s="27" t="s">
        <v>51</v>
      </c>
      <c r="F19" s="47" t="s">
        <v>52</v>
      </c>
      <c r="G19" s="24"/>
      <c r="H19" s="24">
        <v>24.0</v>
      </c>
      <c r="I19" s="24"/>
      <c r="J19" s="24">
        <v>24.0</v>
      </c>
      <c r="K19" s="24"/>
      <c r="L19" s="110">
        <v>24.0</v>
      </c>
      <c r="M19" s="110"/>
      <c r="N19" s="24">
        <v>24.0</v>
      </c>
      <c r="O19" s="24"/>
      <c r="P19" s="24">
        <v>24.0</v>
      </c>
      <c r="Q19" s="24"/>
      <c r="R19" s="24">
        <v>24.0</v>
      </c>
      <c r="S19" s="110"/>
      <c r="T19" s="110">
        <v>24.0</v>
      </c>
      <c r="U19" s="24"/>
      <c r="V19" s="24">
        <v>24.0</v>
      </c>
      <c r="W19" s="24"/>
      <c r="X19" s="24">
        <v>24.0</v>
      </c>
      <c r="Y19" s="24"/>
      <c r="Z19" s="110">
        <v>24.0</v>
      </c>
      <c r="AA19" s="110"/>
      <c r="AB19" s="24">
        <v>24.0</v>
      </c>
      <c r="AC19" s="24"/>
      <c r="AD19" s="24">
        <v>24.0</v>
      </c>
      <c r="AE19" s="24"/>
      <c r="AF19" s="24">
        <v>24.0</v>
      </c>
      <c r="AG19" s="110"/>
      <c r="AH19" s="110">
        <v>24.0</v>
      </c>
      <c r="AI19" s="24"/>
      <c r="AJ19" s="24">
        <v>24.0</v>
      </c>
      <c r="AK19" s="24"/>
      <c r="AL19" s="211">
        <f t="shared" ref="AL19:AL22" si="5">COUNTA(G19:AK19)</f>
        <v>15</v>
      </c>
      <c r="AM19" s="57">
        <f t="shared" si="4"/>
        <v>360</v>
      </c>
    </row>
    <row r="20" ht="14.25" customHeight="1">
      <c r="A20" s="24">
        <v>12.0</v>
      </c>
      <c r="B20" s="35" t="s">
        <v>62</v>
      </c>
      <c r="C20" s="27">
        <v>1.0</v>
      </c>
      <c r="D20" s="67" t="s">
        <v>63</v>
      </c>
      <c r="E20" s="27" t="s">
        <v>64</v>
      </c>
      <c r="F20" s="47" t="s">
        <v>65</v>
      </c>
      <c r="G20" s="26">
        <v>12.0</v>
      </c>
      <c r="H20" s="26">
        <v>12.0</v>
      </c>
      <c r="I20" s="26">
        <v>12.0</v>
      </c>
      <c r="J20" s="26"/>
      <c r="K20" s="26">
        <v>12.0</v>
      </c>
      <c r="L20" s="213">
        <v>12.0</v>
      </c>
      <c r="M20" s="213"/>
      <c r="N20" s="26">
        <v>12.0</v>
      </c>
      <c r="O20" s="26">
        <v>12.0</v>
      </c>
      <c r="P20" s="26"/>
      <c r="Q20" s="26">
        <v>12.0</v>
      </c>
      <c r="R20" s="26">
        <v>12.0</v>
      </c>
      <c r="S20" s="213">
        <v>12.0</v>
      </c>
      <c r="T20" s="213"/>
      <c r="U20" s="26">
        <v>12.0</v>
      </c>
      <c r="V20" s="26">
        <v>12.0</v>
      </c>
      <c r="W20" s="26"/>
      <c r="X20" s="26">
        <v>12.0</v>
      </c>
      <c r="Y20" s="26">
        <v>12.0</v>
      </c>
      <c r="Z20" s="213">
        <v>12.0</v>
      </c>
      <c r="AA20" s="213"/>
      <c r="AB20" s="26"/>
      <c r="AC20" s="26"/>
      <c r="AD20" s="26">
        <v>12.0</v>
      </c>
      <c r="AE20" s="26">
        <v>12.0</v>
      </c>
      <c r="AF20" s="26"/>
      <c r="AG20" s="214">
        <v>12.0</v>
      </c>
      <c r="AH20" s="214"/>
      <c r="AI20" s="215"/>
      <c r="AJ20" s="215"/>
      <c r="AK20" s="215">
        <v>12.0</v>
      </c>
      <c r="AL20" s="211">
        <f t="shared" si="5"/>
        <v>19</v>
      </c>
      <c r="AM20" s="57">
        <f t="shared" si="4"/>
        <v>228</v>
      </c>
      <c r="AN20" s="73" t="s">
        <v>207</v>
      </c>
    </row>
    <row r="21" ht="14.25" customHeight="1">
      <c r="A21" s="24">
        <v>13.0</v>
      </c>
      <c r="B21" s="35" t="s">
        <v>67</v>
      </c>
      <c r="C21" s="27">
        <v>1.0</v>
      </c>
      <c r="D21" s="36" t="s">
        <v>220</v>
      </c>
      <c r="E21" s="27" t="s">
        <v>70</v>
      </c>
      <c r="F21" s="28" t="s">
        <v>30</v>
      </c>
      <c r="G21" s="24">
        <v>12.0</v>
      </c>
      <c r="H21" s="24"/>
      <c r="I21" s="24"/>
      <c r="J21" s="24">
        <v>12.0</v>
      </c>
      <c r="K21" s="24">
        <v>12.0</v>
      </c>
      <c r="L21" s="110">
        <v>12.0</v>
      </c>
      <c r="M21" s="110">
        <v>12.0</v>
      </c>
      <c r="N21" s="24">
        <v>12.0</v>
      </c>
      <c r="O21" s="24"/>
      <c r="P21" s="24"/>
      <c r="Q21" s="24">
        <v>12.0</v>
      </c>
      <c r="R21" s="24">
        <v>12.0</v>
      </c>
      <c r="S21" s="110">
        <v>12.0</v>
      </c>
      <c r="T21" s="110">
        <v>12.0</v>
      </c>
      <c r="U21" s="24">
        <v>12.0</v>
      </c>
      <c r="V21" s="24"/>
      <c r="W21" s="24"/>
      <c r="X21" s="24">
        <v>12.0</v>
      </c>
      <c r="Y21" s="24">
        <v>12.0</v>
      </c>
      <c r="Z21" s="110">
        <v>12.0</v>
      </c>
      <c r="AA21" s="110">
        <v>12.0</v>
      </c>
      <c r="AB21" s="24">
        <v>12.0</v>
      </c>
      <c r="AC21" s="24"/>
      <c r="AD21" s="24"/>
      <c r="AE21" s="24">
        <v>12.0</v>
      </c>
      <c r="AF21" s="24">
        <v>12.0</v>
      </c>
      <c r="AG21" s="110">
        <v>12.0</v>
      </c>
      <c r="AH21" s="110">
        <v>12.0</v>
      </c>
      <c r="AI21" s="24">
        <v>12.0</v>
      </c>
      <c r="AJ21" s="24"/>
      <c r="AK21" s="24"/>
      <c r="AL21" s="211">
        <f t="shared" si="5"/>
        <v>21</v>
      </c>
      <c r="AM21" s="57">
        <f t="shared" si="4"/>
        <v>252</v>
      </c>
      <c r="AN21" s="73" t="s">
        <v>207</v>
      </c>
    </row>
    <row r="22" ht="14.25" customHeight="1">
      <c r="A22" s="24">
        <v>14.0</v>
      </c>
      <c r="B22" s="35" t="s">
        <v>71</v>
      </c>
      <c r="C22" s="27">
        <v>1.0</v>
      </c>
      <c r="D22" s="36" t="s">
        <v>76</v>
      </c>
      <c r="E22" s="27" t="s">
        <v>73</v>
      </c>
      <c r="F22" s="28" t="s">
        <v>26</v>
      </c>
      <c r="G22" s="24">
        <v>12.0</v>
      </c>
      <c r="H22" s="24">
        <v>12.0</v>
      </c>
      <c r="I22" s="24"/>
      <c r="J22" s="24">
        <v>12.0</v>
      </c>
      <c r="K22" s="24">
        <v>12.0</v>
      </c>
      <c r="L22" s="110">
        <v>12.0</v>
      </c>
      <c r="M22" s="110">
        <v>12.0</v>
      </c>
      <c r="N22" s="24">
        <v>12.0</v>
      </c>
      <c r="O22" s="24">
        <v>12.0</v>
      </c>
      <c r="P22" s="24"/>
      <c r="Q22" s="24">
        <v>12.0</v>
      </c>
      <c r="R22" s="24">
        <v>12.0</v>
      </c>
      <c r="S22" s="110">
        <v>12.0</v>
      </c>
      <c r="T22" s="110">
        <v>12.0</v>
      </c>
      <c r="U22" s="24">
        <v>12.0</v>
      </c>
      <c r="V22" s="24">
        <v>12.0</v>
      </c>
      <c r="W22" s="24"/>
      <c r="X22" s="24">
        <v>12.0</v>
      </c>
      <c r="Y22" s="24">
        <v>12.0</v>
      </c>
      <c r="Z22" s="110">
        <v>12.0</v>
      </c>
      <c r="AA22" s="110">
        <v>12.0</v>
      </c>
      <c r="AB22" s="24">
        <v>12.0</v>
      </c>
      <c r="AC22" s="24">
        <v>12.0</v>
      </c>
      <c r="AD22" s="24"/>
      <c r="AE22" s="24">
        <v>12.0</v>
      </c>
      <c r="AF22" s="24">
        <v>12.0</v>
      </c>
      <c r="AG22" s="110">
        <v>12.0</v>
      </c>
      <c r="AH22" s="110">
        <v>12.0</v>
      </c>
      <c r="AI22" s="24">
        <v>12.0</v>
      </c>
      <c r="AJ22" s="24">
        <v>12.0</v>
      </c>
      <c r="AK22" s="24"/>
      <c r="AL22" s="211">
        <f t="shared" si="5"/>
        <v>26</v>
      </c>
      <c r="AM22" s="57">
        <f t="shared" si="4"/>
        <v>312</v>
      </c>
      <c r="AN22" s="73" t="s">
        <v>207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78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ht="14.25" customHeight="1">
      <c r="A24" s="34">
        <v>15.0</v>
      </c>
      <c r="B24" s="35" t="s">
        <v>81</v>
      </c>
      <c r="C24" s="27">
        <v>1.0</v>
      </c>
      <c r="D24" s="37" t="s">
        <v>82</v>
      </c>
      <c r="E24" s="27" t="s">
        <v>191</v>
      </c>
      <c r="F24" s="66" t="s">
        <v>85</v>
      </c>
      <c r="G24" s="216">
        <v>24.0</v>
      </c>
      <c r="H24" s="217"/>
      <c r="I24" s="217"/>
      <c r="J24" s="217">
        <v>24.0</v>
      </c>
      <c r="K24" s="216"/>
      <c r="L24" s="218"/>
      <c r="M24" s="218">
        <v>24.0</v>
      </c>
      <c r="N24" s="216"/>
      <c r="O24" s="217"/>
      <c r="P24" s="217">
        <v>24.0</v>
      </c>
      <c r="Q24" s="217"/>
      <c r="R24" s="216"/>
      <c r="S24" s="218">
        <v>24.0</v>
      </c>
      <c r="T24" s="218"/>
      <c r="U24" s="216"/>
      <c r="V24" s="217">
        <v>24.0</v>
      </c>
      <c r="W24" s="217"/>
      <c r="X24" s="217"/>
      <c r="Y24" s="216">
        <v>24.0</v>
      </c>
      <c r="Z24" s="218"/>
      <c r="AA24" s="218"/>
      <c r="AB24" s="216">
        <v>24.0</v>
      </c>
      <c r="AC24" s="217"/>
      <c r="AD24" s="217"/>
      <c r="AE24" s="217">
        <v>24.0</v>
      </c>
      <c r="AF24" s="216"/>
      <c r="AG24" s="218"/>
      <c r="AH24" s="218">
        <v>24.0</v>
      </c>
      <c r="AI24" s="216"/>
      <c r="AJ24" s="216"/>
      <c r="AK24" s="216">
        <v>24.0</v>
      </c>
      <c r="AL24" s="211">
        <f t="shared" ref="AL24:AL37" si="6">COUNTA(G24:AK24)</f>
        <v>11</v>
      </c>
      <c r="AM24" s="57">
        <f t="shared" ref="AM24:AM37" si="7">SUM(G24:AK24)</f>
        <v>264</v>
      </c>
      <c r="AN24" s="73" t="s">
        <v>207</v>
      </c>
    </row>
    <row r="25" ht="14.25" customHeight="1">
      <c r="A25" s="34">
        <v>16.0</v>
      </c>
      <c r="B25" s="35" t="s">
        <v>86</v>
      </c>
      <c r="C25" s="27">
        <v>1.0</v>
      </c>
      <c r="D25" s="90" t="s">
        <v>100</v>
      </c>
      <c r="E25" s="27" t="s">
        <v>193</v>
      </c>
      <c r="F25" s="88"/>
      <c r="G25" s="216"/>
      <c r="H25" s="217">
        <v>24.0</v>
      </c>
      <c r="I25" s="219"/>
      <c r="J25" s="219"/>
      <c r="K25" s="216">
        <v>24.0</v>
      </c>
      <c r="L25" s="218"/>
      <c r="M25" s="218"/>
      <c r="N25" s="216">
        <v>24.0</v>
      </c>
      <c r="O25" s="217"/>
      <c r="P25" s="219"/>
      <c r="Q25" s="217">
        <v>24.0</v>
      </c>
      <c r="R25" s="216"/>
      <c r="S25" s="218"/>
      <c r="T25" s="218">
        <v>24.0</v>
      </c>
      <c r="U25" s="216"/>
      <c r="V25" s="217"/>
      <c r="W25" s="217">
        <v>24.0</v>
      </c>
      <c r="X25" s="219"/>
      <c r="Y25" s="216"/>
      <c r="Z25" s="218">
        <v>24.0</v>
      </c>
      <c r="AA25" s="218"/>
      <c r="AB25" s="216"/>
      <c r="AC25" s="217">
        <v>24.0</v>
      </c>
      <c r="AD25" s="219"/>
      <c r="AE25" s="217"/>
      <c r="AF25" s="216">
        <v>24.0</v>
      </c>
      <c r="AG25" s="218"/>
      <c r="AH25" s="218"/>
      <c r="AI25" s="216">
        <v>24.0</v>
      </c>
      <c r="AJ25" s="216"/>
      <c r="AK25" s="216"/>
      <c r="AL25" s="211">
        <f t="shared" si="6"/>
        <v>10</v>
      </c>
      <c r="AM25" s="57">
        <f t="shared" si="7"/>
        <v>240</v>
      </c>
      <c r="AN25" s="73" t="s">
        <v>207</v>
      </c>
    </row>
    <row r="26" ht="14.25" customHeight="1">
      <c r="A26" s="34">
        <v>17.0</v>
      </c>
      <c r="B26" s="35" t="s">
        <v>86</v>
      </c>
      <c r="C26" s="65">
        <v>1.0</v>
      </c>
      <c r="D26" s="37" t="s">
        <v>222</v>
      </c>
      <c r="E26" s="27" t="s">
        <v>193</v>
      </c>
      <c r="F26" s="17"/>
      <c r="G26" s="216"/>
      <c r="H26" s="217"/>
      <c r="I26" s="217">
        <v>24.0</v>
      </c>
      <c r="J26" s="219"/>
      <c r="K26" s="216"/>
      <c r="L26" s="218">
        <v>24.0</v>
      </c>
      <c r="M26" s="218"/>
      <c r="N26" s="216"/>
      <c r="O26" s="217">
        <v>24.0</v>
      </c>
      <c r="P26" s="219"/>
      <c r="Q26" s="219"/>
      <c r="R26" s="216">
        <v>24.0</v>
      </c>
      <c r="S26" s="218"/>
      <c r="T26" s="218"/>
      <c r="U26" s="216">
        <v>24.0</v>
      </c>
      <c r="V26" s="217"/>
      <c r="W26" s="217"/>
      <c r="X26" s="217">
        <v>24.0</v>
      </c>
      <c r="Y26" s="216"/>
      <c r="Z26" s="218"/>
      <c r="AA26" s="218">
        <v>24.0</v>
      </c>
      <c r="AB26" s="216"/>
      <c r="AC26" s="217"/>
      <c r="AD26" s="217">
        <v>24.0</v>
      </c>
      <c r="AE26" s="219"/>
      <c r="AF26" s="216"/>
      <c r="AG26" s="218">
        <v>24.0</v>
      </c>
      <c r="AH26" s="218"/>
      <c r="AI26" s="216"/>
      <c r="AJ26" s="216">
        <v>24.0</v>
      </c>
      <c r="AK26" s="216"/>
      <c r="AL26" s="211">
        <f t="shared" si="6"/>
        <v>10</v>
      </c>
      <c r="AM26" s="57">
        <f t="shared" si="7"/>
        <v>240</v>
      </c>
      <c r="AN26" s="73" t="s">
        <v>207</v>
      </c>
    </row>
    <row r="27" ht="14.25" customHeight="1">
      <c r="A27" s="34">
        <v>18.0</v>
      </c>
      <c r="B27" s="35" t="s">
        <v>95</v>
      </c>
      <c r="C27" s="65">
        <v>1.0</v>
      </c>
      <c r="D27" s="90" t="s">
        <v>97</v>
      </c>
      <c r="E27" s="27" t="s">
        <v>102</v>
      </c>
      <c r="F27" s="66" t="s">
        <v>85</v>
      </c>
      <c r="G27" s="24">
        <v>24.0</v>
      </c>
      <c r="H27" s="24"/>
      <c r="I27" s="24"/>
      <c r="J27" s="24">
        <v>17.0</v>
      </c>
      <c r="K27" s="24">
        <v>17.0</v>
      </c>
      <c r="L27" s="110">
        <v>17.0</v>
      </c>
      <c r="M27" s="110">
        <v>17.0</v>
      </c>
      <c r="N27" s="24">
        <v>17.0</v>
      </c>
      <c r="O27" s="24"/>
      <c r="P27" s="24"/>
      <c r="Q27" s="24">
        <v>24.0</v>
      </c>
      <c r="R27" s="24"/>
      <c r="S27" s="110"/>
      <c r="T27" s="110">
        <v>24.0</v>
      </c>
      <c r="U27" s="24"/>
      <c r="V27" s="24"/>
      <c r="W27" s="24">
        <v>24.0</v>
      </c>
      <c r="X27" s="24"/>
      <c r="Y27" s="24"/>
      <c r="Z27" s="110">
        <v>24.0</v>
      </c>
      <c r="AA27" s="110"/>
      <c r="AB27" s="24"/>
      <c r="AC27" s="24">
        <v>24.0</v>
      </c>
      <c r="AD27" s="24"/>
      <c r="AE27" s="24"/>
      <c r="AF27" s="24">
        <v>24.0</v>
      </c>
      <c r="AG27" s="110"/>
      <c r="AH27" s="110"/>
      <c r="AI27" s="24">
        <v>24.0</v>
      </c>
      <c r="AJ27" s="24"/>
      <c r="AK27" s="24"/>
      <c r="AL27" s="211">
        <f t="shared" si="6"/>
        <v>13</v>
      </c>
      <c r="AM27" s="57">
        <f t="shared" si="7"/>
        <v>277</v>
      </c>
      <c r="AN27" s="73" t="s">
        <v>207</v>
      </c>
    </row>
    <row r="28" ht="14.25" customHeight="1">
      <c r="A28" s="34">
        <v>19.0</v>
      </c>
      <c r="B28" s="35" t="s">
        <v>95</v>
      </c>
      <c r="C28" s="65">
        <v>1.0</v>
      </c>
      <c r="D28" s="90" t="s">
        <v>91</v>
      </c>
      <c r="E28" s="27" t="s">
        <v>102</v>
      </c>
      <c r="F28" s="88"/>
      <c r="G28" s="24"/>
      <c r="H28" s="24"/>
      <c r="I28" s="24">
        <v>24.0</v>
      </c>
      <c r="J28" s="24"/>
      <c r="K28" s="24"/>
      <c r="L28" s="110">
        <v>24.0</v>
      </c>
      <c r="M28" s="110"/>
      <c r="N28" s="24"/>
      <c r="O28" s="24">
        <v>24.0</v>
      </c>
      <c r="P28" s="24"/>
      <c r="Q28" s="24"/>
      <c r="R28" s="24">
        <v>24.0</v>
      </c>
      <c r="S28" s="110"/>
      <c r="T28" s="110"/>
      <c r="U28" s="24">
        <v>24.0</v>
      </c>
      <c r="V28" s="24"/>
      <c r="W28" s="24"/>
      <c r="X28" s="24">
        <v>17.0</v>
      </c>
      <c r="Y28" s="24">
        <v>17.0</v>
      </c>
      <c r="Z28" s="110">
        <v>17.0</v>
      </c>
      <c r="AA28" s="110">
        <v>17.0</v>
      </c>
      <c r="AB28" s="24">
        <v>17.0</v>
      </c>
      <c r="AC28" s="24"/>
      <c r="AD28" s="24"/>
      <c r="AE28" s="24">
        <v>24.0</v>
      </c>
      <c r="AF28" s="24"/>
      <c r="AG28" s="110"/>
      <c r="AH28" s="110">
        <v>24.0</v>
      </c>
      <c r="AI28" s="24"/>
      <c r="AJ28" s="24"/>
      <c r="AK28" s="24">
        <v>24.0</v>
      </c>
      <c r="AL28" s="211">
        <f t="shared" si="6"/>
        <v>13</v>
      </c>
      <c r="AM28" s="57">
        <f t="shared" si="7"/>
        <v>277</v>
      </c>
      <c r="AN28" s="73" t="s">
        <v>207</v>
      </c>
    </row>
    <row r="29" ht="14.25" customHeight="1">
      <c r="A29" s="34">
        <v>20.0</v>
      </c>
      <c r="B29" s="97" t="s">
        <v>95</v>
      </c>
      <c r="C29" s="65">
        <v>1.0</v>
      </c>
      <c r="D29" s="90" t="s">
        <v>63</v>
      </c>
      <c r="E29" s="27" t="s">
        <v>102</v>
      </c>
      <c r="F29" s="88"/>
      <c r="G29" s="24"/>
      <c r="H29" s="24">
        <v>24.0</v>
      </c>
      <c r="I29" s="24"/>
      <c r="J29" s="24"/>
      <c r="K29" s="24">
        <v>24.0</v>
      </c>
      <c r="L29" s="110"/>
      <c r="M29" s="110"/>
      <c r="N29" s="24">
        <v>24.0</v>
      </c>
      <c r="O29" s="24"/>
      <c r="P29" s="24"/>
      <c r="Q29" s="24">
        <v>17.0</v>
      </c>
      <c r="R29" s="24">
        <v>17.0</v>
      </c>
      <c r="S29" s="110">
        <v>17.0</v>
      </c>
      <c r="T29" s="110">
        <v>17.0</v>
      </c>
      <c r="U29" s="24">
        <v>17.0</v>
      </c>
      <c r="V29" s="24"/>
      <c r="W29" s="24"/>
      <c r="X29" s="24">
        <v>24.0</v>
      </c>
      <c r="Y29" s="24"/>
      <c r="Z29" s="110"/>
      <c r="AA29" s="110">
        <v>24.0</v>
      </c>
      <c r="AB29" s="24"/>
      <c r="AC29" s="24"/>
      <c r="AD29" s="24">
        <v>24.0</v>
      </c>
      <c r="AE29" s="24"/>
      <c r="AF29" s="24"/>
      <c r="AG29" s="110">
        <v>24.0</v>
      </c>
      <c r="AH29" s="110"/>
      <c r="AI29" s="24"/>
      <c r="AJ29" s="24">
        <v>24.0</v>
      </c>
      <c r="AK29" s="24"/>
      <c r="AL29" s="211">
        <f t="shared" si="6"/>
        <v>13</v>
      </c>
      <c r="AM29" s="57">
        <f t="shared" si="7"/>
        <v>277</v>
      </c>
      <c r="AN29" s="73" t="s">
        <v>207</v>
      </c>
    </row>
    <row r="30" ht="14.25" customHeight="1">
      <c r="A30" s="34">
        <v>21.0</v>
      </c>
      <c r="B30" s="35" t="s">
        <v>95</v>
      </c>
      <c r="C30" s="65">
        <v>1.0</v>
      </c>
      <c r="D30" s="90" t="s">
        <v>223</v>
      </c>
      <c r="E30" s="27" t="s">
        <v>102</v>
      </c>
      <c r="F30" s="17"/>
      <c r="G30" s="24">
        <v>17.0</v>
      </c>
      <c r="H30" s="24"/>
      <c r="I30" s="24"/>
      <c r="J30" s="24">
        <v>24.0</v>
      </c>
      <c r="K30" s="24"/>
      <c r="L30" s="110"/>
      <c r="M30" s="110">
        <v>24.0</v>
      </c>
      <c r="N30" s="24"/>
      <c r="O30" s="24"/>
      <c r="P30" s="24">
        <v>24.0</v>
      </c>
      <c r="Q30" s="24"/>
      <c r="R30" s="24"/>
      <c r="S30" s="110">
        <v>24.0</v>
      </c>
      <c r="T30" s="110"/>
      <c r="U30" s="24"/>
      <c r="V30" s="24">
        <v>24.0</v>
      </c>
      <c r="W30" s="24"/>
      <c r="X30" s="24"/>
      <c r="Y30" s="24">
        <v>24.0</v>
      </c>
      <c r="Z30" s="110"/>
      <c r="AA30" s="110"/>
      <c r="AB30" s="24">
        <v>24.0</v>
      </c>
      <c r="AC30" s="24"/>
      <c r="AD30" s="24"/>
      <c r="AE30" s="24">
        <v>17.0</v>
      </c>
      <c r="AF30" s="24">
        <v>17.0</v>
      </c>
      <c r="AG30" s="110">
        <v>17.0</v>
      </c>
      <c r="AH30" s="110">
        <v>17.0</v>
      </c>
      <c r="AI30" s="24">
        <v>17.0</v>
      </c>
      <c r="AJ30" s="24"/>
      <c r="AK30" s="24"/>
      <c r="AL30" s="211">
        <f t="shared" si="6"/>
        <v>13</v>
      </c>
      <c r="AM30" s="57">
        <f t="shared" si="7"/>
        <v>270</v>
      </c>
      <c r="AN30" s="73" t="s">
        <v>207</v>
      </c>
    </row>
    <row r="31" ht="14.25" customHeight="1">
      <c r="A31" s="34">
        <v>22.0</v>
      </c>
      <c r="B31" s="64" t="s">
        <v>184</v>
      </c>
      <c r="C31" s="101">
        <v>1.0</v>
      </c>
      <c r="D31" s="102" t="s">
        <v>232</v>
      </c>
      <c r="E31" s="101" t="s">
        <v>105</v>
      </c>
      <c r="F31" s="103">
        <v>0.4</v>
      </c>
      <c r="G31" s="106"/>
      <c r="H31" s="106"/>
      <c r="I31" s="106"/>
      <c r="J31" s="106"/>
      <c r="K31" s="106"/>
      <c r="L31" s="107"/>
      <c r="M31" s="107"/>
      <c r="N31" s="106"/>
      <c r="O31" s="106"/>
      <c r="P31" s="106"/>
      <c r="Q31" s="106"/>
      <c r="R31" s="106"/>
      <c r="S31" s="107"/>
      <c r="T31" s="107"/>
      <c r="U31" s="106"/>
      <c r="V31" s="106"/>
      <c r="W31" s="106"/>
      <c r="X31" s="106"/>
      <c r="Y31" s="106"/>
      <c r="Z31" s="107"/>
      <c r="AA31" s="107"/>
      <c r="AB31" s="106"/>
      <c r="AC31" s="106"/>
      <c r="AD31" s="106"/>
      <c r="AE31" s="106"/>
      <c r="AF31" s="106"/>
      <c r="AG31" s="107"/>
      <c r="AH31" s="107"/>
      <c r="AI31" s="106"/>
      <c r="AJ31" s="106"/>
      <c r="AK31" s="106"/>
      <c r="AL31" s="211">
        <f t="shared" si="6"/>
        <v>0</v>
      </c>
      <c r="AM31" s="57">
        <f t="shared" si="7"/>
        <v>0</v>
      </c>
      <c r="AN31" s="73" t="s">
        <v>207</v>
      </c>
    </row>
    <row r="32" ht="14.25" customHeight="1">
      <c r="A32" s="34">
        <v>23.0</v>
      </c>
      <c r="B32" s="137" t="s">
        <v>184</v>
      </c>
      <c r="C32" s="129">
        <v>1.0</v>
      </c>
      <c r="D32" s="102" t="s">
        <v>63</v>
      </c>
      <c r="E32" s="121" t="s">
        <v>105</v>
      </c>
      <c r="F32" s="103">
        <v>0.4</v>
      </c>
      <c r="G32" s="106"/>
      <c r="H32" s="106"/>
      <c r="I32" s="106"/>
      <c r="J32" s="106"/>
      <c r="K32" s="106"/>
      <c r="L32" s="107"/>
      <c r="M32" s="107"/>
      <c r="N32" s="106"/>
      <c r="O32" s="106"/>
      <c r="P32" s="106"/>
      <c r="Q32" s="106"/>
      <c r="R32" s="106"/>
      <c r="S32" s="107"/>
      <c r="T32" s="107"/>
      <c r="U32" s="106"/>
      <c r="V32" s="106"/>
      <c r="W32" s="106"/>
      <c r="X32" s="106"/>
      <c r="Y32" s="106"/>
      <c r="Z32" s="107"/>
      <c r="AA32" s="107"/>
      <c r="AB32" s="106"/>
      <c r="AC32" s="106"/>
      <c r="AD32" s="106"/>
      <c r="AE32" s="106"/>
      <c r="AF32" s="106"/>
      <c r="AG32" s="107"/>
      <c r="AH32" s="107"/>
      <c r="AI32" s="106"/>
      <c r="AJ32" s="106"/>
      <c r="AK32" s="106"/>
      <c r="AL32" s="211">
        <f t="shared" si="6"/>
        <v>0</v>
      </c>
      <c r="AM32" s="57">
        <f t="shared" si="7"/>
        <v>0</v>
      </c>
      <c r="AN32" s="73" t="s">
        <v>207</v>
      </c>
    </row>
    <row r="33" ht="17.25" customHeight="1">
      <c r="A33" s="34">
        <v>24.0</v>
      </c>
      <c r="B33" s="36" t="s">
        <v>109</v>
      </c>
      <c r="C33" s="65">
        <v>1.0</v>
      </c>
      <c r="D33" s="117" t="s">
        <v>131</v>
      </c>
      <c r="E33" s="27" t="s">
        <v>111</v>
      </c>
      <c r="F33" s="118" t="s">
        <v>26</v>
      </c>
      <c r="G33" s="24">
        <v>12.0</v>
      </c>
      <c r="H33" s="24">
        <v>12.0</v>
      </c>
      <c r="I33" s="24">
        <v>12.0</v>
      </c>
      <c r="J33" s="24"/>
      <c r="K33" s="24">
        <v>12.0</v>
      </c>
      <c r="L33" s="110">
        <v>12.0</v>
      </c>
      <c r="M33" s="110">
        <v>12.0</v>
      </c>
      <c r="N33" s="24">
        <v>12.0</v>
      </c>
      <c r="O33" s="24">
        <v>12.0</v>
      </c>
      <c r="P33" s="24">
        <v>12.0</v>
      </c>
      <c r="Q33" s="24"/>
      <c r="R33" s="24">
        <v>12.0</v>
      </c>
      <c r="S33" s="110">
        <v>12.0</v>
      </c>
      <c r="T33" s="110">
        <v>12.0</v>
      </c>
      <c r="U33" s="24">
        <v>12.0</v>
      </c>
      <c r="V33" s="24">
        <v>12.0</v>
      </c>
      <c r="W33" s="24">
        <v>12.0</v>
      </c>
      <c r="X33" s="24"/>
      <c r="Y33" s="24">
        <v>12.0</v>
      </c>
      <c r="Z33" s="110">
        <v>12.0</v>
      </c>
      <c r="AA33" s="110">
        <v>12.0</v>
      </c>
      <c r="AB33" s="24">
        <v>12.0</v>
      </c>
      <c r="AC33" s="24">
        <v>12.0</v>
      </c>
      <c r="AD33" s="24">
        <v>12.0</v>
      </c>
      <c r="AE33" s="24"/>
      <c r="AF33" s="24">
        <v>12.0</v>
      </c>
      <c r="AG33" s="110">
        <v>12.0</v>
      </c>
      <c r="AH33" s="110">
        <v>12.0</v>
      </c>
      <c r="AI33" s="24">
        <v>12.0</v>
      </c>
      <c r="AJ33" s="24">
        <v>12.0</v>
      </c>
      <c r="AK33" s="24">
        <v>12.0</v>
      </c>
      <c r="AL33" s="211">
        <f t="shared" si="6"/>
        <v>27</v>
      </c>
      <c r="AM33" s="57">
        <f t="shared" si="7"/>
        <v>324</v>
      </c>
      <c r="AN33" s="73" t="s">
        <v>207</v>
      </c>
    </row>
    <row r="34" ht="17.25" customHeight="1">
      <c r="A34" s="34">
        <v>25.0</v>
      </c>
      <c r="B34" s="35" t="s">
        <v>135</v>
      </c>
      <c r="C34" s="65">
        <v>1.0</v>
      </c>
      <c r="D34" s="90" t="s">
        <v>113</v>
      </c>
      <c r="E34" s="27" t="s">
        <v>111</v>
      </c>
      <c r="F34" s="118" t="s">
        <v>26</v>
      </c>
      <c r="G34" s="24">
        <v>12.0</v>
      </c>
      <c r="H34" s="24"/>
      <c r="I34" s="24">
        <v>12.0</v>
      </c>
      <c r="J34" s="24">
        <v>12.0</v>
      </c>
      <c r="K34" s="24">
        <v>12.0</v>
      </c>
      <c r="L34" s="110">
        <v>12.0</v>
      </c>
      <c r="M34" s="110">
        <v>12.0</v>
      </c>
      <c r="N34" s="24">
        <v>12.0</v>
      </c>
      <c r="O34" s="24"/>
      <c r="P34" s="24">
        <v>12.0</v>
      </c>
      <c r="Q34" s="24">
        <v>12.0</v>
      </c>
      <c r="R34" s="24">
        <v>12.0</v>
      </c>
      <c r="S34" s="110">
        <v>12.0</v>
      </c>
      <c r="T34" s="110">
        <v>12.0</v>
      </c>
      <c r="U34" s="24">
        <v>12.0</v>
      </c>
      <c r="V34" s="24"/>
      <c r="W34" s="24">
        <v>12.0</v>
      </c>
      <c r="X34" s="24">
        <v>12.0</v>
      </c>
      <c r="Y34" s="24">
        <v>12.0</v>
      </c>
      <c r="Z34" s="110">
        <v>12.0</v>
      </c>
      <c r="AA34" s="110">
        <v>12.0</v>
      </c>
      <c r="AB34" s="24">
        <v>12.0</v>
      </c>
      <c r="AC34" s="24"/>
      <c r="AD34" s="24">
        <v>12.0</v>
      </c>
      <c r="AE34" s="24">
        <v>12.0</v>
      </c>
      <c r="AF34" s="24">
        <v>12.0</v>
      </c>
      <c r="AG34" s="110">
        <v>12.0</v>
      </c>
      <c r="AH34" s="110">
        <v>12.0</v>
      </c>
      <c r="AI34" s="24">
        <v>12.0</v>
      </c>
      <c r="AJ34" s="24"/>
      <c r="AK34" s="24">
        <v>12.0</v>
      </c>
      <c r="AL34" s="211">
        <f t="shared" si="6"/>
        <v>26</v>
      </c>
      <c r="AM34" s="57">
        <f t="shared" si="7"/>
        <v>312</v>
      </c>
      <c r="AN34" s="73" t="s">
        <v>207</v>
      </c>
    </row>
    <row r="35" ht="20.25" customHeight="1">
      <c r="A35" s="34">
        <v>26.0</v>
      </c>
      <c r="B35" s="35" t="s">
        <v>135</v>
      </c>
      <c r="C35" s="65">
        <v>1.0</v>
      </c>
      <c r="D35" s="90" t="s">
        <v>187</v>
      </c>
      <c r="E35" s="27" t="s">
        <v>73</v>
      </c>
      <c r="F35" s="123" t="s">
        <v>26</v>
      </c>
      <c r="G35" s="24">
        <v>12.0</v>
      </c>
      <c r="H35" s="24">
        <v>12.0</v>
      </c>
      <c r="I35" s="24">
        <v>12.0</v>
      </c>
      <c r="J35" s="24">
        <v>12.0</v>
      </c>
      <c r="K35" s="24"/>
      <c r="L35" s="110">
        <v>12.0</v>
      </c>
      <c r="M35" s="110">
        <v>12.0</v>
      </c>
      <c r="N35" s="24">
        <v>12.0</v>
      </c>
      <c r="O35" s="24">
        <v>12.0</v>
      </c>
      <c r="P35" s="24">
        <v>12.0</v>
      </c>
      <c r="Q35" s="24">
        <v>12.0</v>
      </c>
      <c r="R35" s="24"/>
      <c r="S35" s="110">
        <v>12.0</v>
      </c>
      <c r="T35" s="110">
        <v>12.0</v>
      </c>
      <c r="U35" s="24">
        <v>12.0</v>
      </c>
      <c r="V35" s="24">
        <v>12.0</v>
      </c>
      <c r="W35" s="24">
        <v>12.0</v>
      </c>
      <c r="X35" s="24">
        <v>12.0</v>
      </c>
      <c r="Y35" s="24"/>
      <c r="Z35" s="110">
        <v>12.0</v>
      </c>
      <c r="AA35" s="110">
        <v>12.0</v>
      </c>
      <c r="AB35" s="24">
        <v>12.0</v>
      </c>
      <c r="AC35" s="24">
        <v>12.0</v>
      </c>
      <c r="AD35" s="24">
        <v>12.0</v>
      </c>
      <c r="AE35" s="24">
        <v>12.0</v>
      </c>
      <c r="AF35" s="24"/>
      <c r="AG35" s="110">
        <v>12.0</v>
      </c>
      <c r="AH35" s="110">
        <v>12.0</v>
      </c>
      <c r="AI35" s="24">
        <v>12.0</v>
      </c>
      <c r="AJ35" s="24">
        <v>12.0</v>
      </c>
      <c r="AK35" s="24">
        <v>12.0</v>
      </c>
      <c r="AL35" s="211">
        <f t="shared" si="6"/>
        <v>27</v>
      </c>
      <c r="AM35" s="57">
        <f t="shared" si="7"/>
        <v>324</v>
      </c>
      <c r="AN35" s="89" t="s">
        <v>207</v>
      </c>
    </row>
    <row r="36" ht="23.25" customHeight="1">
      <c r="A36" s="124">
        <v>27.0</v>
      </c>
      <c r="B36" s="128" t="s">
        <v>142</v>
      </c>
      <c r="C36" s="129">
        <v>1.0</v>
      </c>
      <c r="D36" s="130" t="s">
        <v>63</v>
      </c>
      <c r="E36" s="129" t="s">
        <v>125</v>
      </c>
      <c r="F36" s="250"/>
      <c r="G36" s="24"/>
      <c r="H36" s="24">
        <v>12.0</v>
      </c>
      <c r="I36" s="24">
        <v>12.0</v>
      </c>
      <c r="J36" s="24"/>
      <c r="K36" s="24"/>
      <c r="L36" s="110"/>
      <c r="M36" s="110"/>
      <c r="N36" s="24"/>
      <c r="O36" s="24">
        <v>12.0</v>
      </c>
      <c r="P36" s="24">
        <v>12.0</v>
      </c>
      <c r="Q36" s="24"/>
      <c r="R36" s="24"/>
      <c r="S36" s="110"/>
      <c r="T36" s="110"/>
      <c r="U36" s="24"/>
      <c r="V36" s="24">
        <v>12.0</v>
      </c>
      <c r="W36" s="24">
        <v>12.0</v>
      </c>
      <c r="X36" s="24"/>
      <c r="Y36" s="24"/>
      <c r="Z36" s="110"/>
      <c r="AA36" s="110"/>
      <c r="AB36" s="24"/>
      <c r="AC36" s="24"/>
      <c r="AD36" s="24"/>
      <c r="AE36" s="24">
        <v>12.0</v>
      </c>
      <c r="AF36" s="24">
        <v>12.0</v>
      </c>
      <c r="AG36" s="110"/>
      <c r="AH36" s="110"/>
      <c r="AI36" s="24"/>
      <c r="AJ36" s="24"/>
      <c r="AK36" s="24"/>
      <c r="AL36" s="211">
        <f t="shared" si="6"/>
        <v>8</v>
      </c>
      <c r="AM36" s="57">
        <f t="shared" si="7"/>
        <v>96</v>
      </c>
      <c r="AN36" s="73" t="s">
        <v>207</v>
      </c>
    </row>
    <row r="37" ht="19.5" customHeight="1">
      <c r="A37" s="17"/>
      <c r="B37" s="17"/>
      <c r="C37" s="17"/>
      <c r="D37" s="17"/>
      <c r="E37" s="121" t="s">
        <v>127</v>
      </c>
      <c r="F37" s="17"/>
      <c r="G37" s="24"/>
      <c r="H37" s="24"/>
      <c r="I37" s="24"/>
      <c r="J37" s="24"/>
      <c r="K37" s="24">
        <v>12.0</v>
      </c>
      <c r="L37" s="110">
        <v>12.0</v>
      </c>
      <c r="M37" s="110">
        <v>12.0</v>
      </c>
      <c r="N37" s="24"/>
      <c r="O37" s="24"/>
      <c r="P37" s="24"/>
      <c r="Q37" s="24"/>
      <c r="R37" s="24">
        <v>12.0</v>
      </c>
      <c r="S37" s="110">
        <v>12.0</v>
      </c>
      <c r="T37" s="110">
        <v>12.0</v>
      </c>
      <c r="U37" s="24"/>
      <c r="V37" s="24"/>
      <c r="W37" s="24"/>
      <c r="X37" s="24"/>
      <c r="Y37" s="24">
        <v>12.0</v>
      </c>
      <c r="Z37" s="110">
        <v>12.0</v>
      </c>
      <c r="AA37" s="110"/>
      <c r="AB37" s="24"/>
      <c r="AC37" s="24"/>
      <c r="AD37" s="24"/>
      <c r="AE37" s="24"/>
      <c r="AF37" s="24"/>
      <c r="AG37" s="110">
        <v>12.0</v>
      </c>
      <c r="AH37" s="110"/>
      <c r="AI37" s="24"/>
      <c r="AJ37" s="24"/>
      <c r="AK37" s="24">
        <v>12.0</v>
      </c>
      <c r="AL37" s="211">
        <f t="shared" si="6"/>
        <v>10</v>
      </c>
      <c r="AM37" s="57">
        <f t="shared" si="7"/>
        <v>120</v>
      </c>
      <c r="AN37" s="73" t="s">
        <v>207</v>
      </c>
    </row>
    <row r="38" ht="19.5" customHeight="1">
      <c r="A38" s="34">
        <v>28.0</v>
      </c>
      <c r="B38" s="120" t="s">
        <v>213</v>
      </c>
      <c r="C38" s="204">
        <v>1.0</v>
      </c>
      <c r="D38" s="252" t="s">
        <v>63</v>
      </c>
      <c r="E38" s="121"/>
      <c r="F38" s="205"/>
      <c r="G38" s="24"/>
      <c r="H38" s="24"/>
      <c r="I38" s="24"/>
      <c r="J38" s="24"/>
      <c r="K38" s="24"/>
      <c r="L38" s="110"/>
      <c r="M38" s="110"/>
      <c r="N38" s="24"/>
      <c r="O38" s="24"/>
      <c r="P38" s="24"/>
      <c r="Q38" s="24"/>
      <c r="R38" s="24"/>
      <c r="S38" s="110"/>
      <c r="T38" s="110"/>
      <c r="U38" s="24"/>
      <c r="V38" s="24"/>
      <c r="W38" s="24"/>
      <c r="X38" s="24"/>
      <c r="Y38" s="24"/>
      <c r="Z38" s="110"/>
      <c r="AA38" s="110"/>
      <c r="AB38" s="24"/>
      <c r="AC38" s="24"/>
      <c r="AD38" s="24"/>
      <c r="AE38" s="24"/>
      <c r="AF38" s="24"/>
      <c r="AG38" s="110"/>
      <c r="AH38" s="110"/>
      <c r="AI38" s="24"/>
      <c r="AJ38" s="24"/>
      <c r="AK38" s="24"/>
      <c r="AL38" s="211"/>
      <c r="AM38" s="57"/>
    </row>
    <row r="39" ht="18.75" customHeight="1">
      <c r="A39" s="34">
        <v>29.0</v>
      </c>
      <c r="B39" s="35" t="s">
        <v>144</v>
      </c>
      <c r="C39" s="27">
        <v>1.0</v>
      </c>
      <c r="D39" s="117" t="s">
        <v>233</v>
      </c>
      <c r="E39" s="27" t="s">
        <v>133</v>
      </c>
      <c r="F39" s="123" t="s">
        <v>26</v>
      </c>
      <c r="G39" s="24">
        <v>12.0</v>
      </c>
      <c r="H39" s="24">
        <v>12.0</v>
      </c>
      <c r="I39" s="24">
        <v>12.0</v>
      </c>
      <c r="J39" s="24">
        <v>12.0</v>
      </c>
      <c r="K39" s="24">
        <v>12.0</v>
      </c>
      <c r="L39" s="110">
        <v>12.0</v>
      </c>
      <c r="M39" s="110"/>
      <c r="N39" s="24"/>
      <c r="O39" s="24">
        <v>12.0</v>
      </c>
      <c r="P39" s="24">
        <v>12.0</v>
      </c>
      <c r="Q39" s="24">
        <v>12.0</v>
      </c>
      <c r="R39" s="24">
        <v>12.0</v>
      </c>
      <c r="S39" s="110">
        <v>12.0</v>
      </c>
      <c r="T39" s="110"/>
      <c r="U39" s="24"/>
      <c r="V39" s="24">
        <v>12.0</v>
      </c>
      <c r="W39" s="24">
        <v>12.0</v>
      </c>
      <c r="X39" s="24">
        <v>12.0</v>
      </c>
      <c r="Y39" s="24">
        <v>12.0</v>
      </c>
      <c r="Z39" s="110">
        <v>12.0</v>
      </c>
      <c r="AA39" s="110"/>
      <c r="AB39" s="24"/>
      <c r="AC39" s="24">
        <v>12.0</v>
      </c>
      <c r="AD39" s="24">
        <v>12.0</v>
      </c>
      <c r="AE39" s="24">
        <v>12.0</v>
      </c>
      <c r="AF39" s="24">
        <v>12.0</v>
      </c>
      <c r="AG39" s="110">
        <v>12.0</v>
      </c>
      <c r="AH39" s="110">
        <v>12.0</v>
      </c>
      <c r="AI39" s="24"/>
      <c r="AJ39" s="24"/>
      <c r="AK39" s="24">
        <v>12.0</v>
      </c>
      <c r="AL39" s="211">
        <f t="shared" ref="AL39:AL40" si="8">COUNTA(G39:AK39)</f>
        <v>23</v>
      </c>
      <c r="AM39" s="57">
        <f t="shared" ref="AM39:AM40" si="9">SUM(G39:AK39)</f>
        <v>276</v>
      </c>
      <c r="AN39" s="73" t="s">
        <v>207</v>
      </c>
    </row>
    <row r="40" ht="19.5" customHeight="1">
      <c r="A40" s="34">
        <v>29.0</v>
      </c>
      <c r="B40" s="35" t="s">
        <v>136</v>
      </c>
      <c r="C40" s="27">
        <v>1.0</v>
      </c>
      <c r="D40" s="117" t="s">
        <v>234</v>
      </c>
      <c r="E40" s="26" t="s">
        <v>138</v>
      </c>
      <c r="F40" s="28" t="s">
        <v>26</v>
      </c>
      <c r="G40" s="24">
        <v>11.0</v>
      </c>
      <c r="H40" s="24">
        <v>11.0</v>
      </c>
      <c r="I40" s="24"/>
      <c r="J40" s="24">
        <v>11.0</v>
      </c>
      <c r="K40" s="24">
        <v>11.0</v>
      </c>
      <c r="L40" s="110"/>
      <c r="M40" s="110">
        <v>11.0</v>
      </c>
      <c r="N40" s="24">
        <v>11.0</v>
      </c>
      <c r="O40" s="24"/>
      <c r="P40" s="24">
        <v>11.0</v>
      </c>
      <c r="Q40" s="24">
        <v>11.0</v>
      </c>
      <c r="R40" s="24"/>
      <c r="S40" s="110">
        <v>11.0</v>
      </c>
      <c r="T40" s="110">
        <v>11.0</v>
      </c>
      <c r="U40" s="24"/>
      <c r="V40" s="24">
        <v>11.0</v>
      </c>
      <c r="W40" s="24">
        <v>11.0</v>
      </c>
      <c r="X40" s="24"/>
      <c r="Y40" s="24">
        <v>11.0</v>
      </c>
      <c r="Z40" s="110">
        <v>11.0</v>
      </c>
      <c r="AA40" s="110"/>
      <c r="AB40" s="24">
        <v>11.0</v>
      </c>
      <c r="AC40" s="24">
        <v>11.0</v>
      </c>
      <c r="AD40" s="24">
        <v>11.0</v>
      </c>
      <c r="AE40" s="24"/>
      <c r="AF40" s="24">
        <v>11.0</v>
      </c>
      <c r="AG40" s="110">
        <v>11.0</v>
      </c>
      <c r="AH40" s="110">
        <v>11.0</v>
      </c>
      <c r="AI40" s="24">
        <v>11.0</v>
      </c>
      <c r="AJ40" s="24"/>
      <c r="AK40" s="24">
        <v>11.0</v>
      </c>
      <c r="AL40" s="211">
        <f t="shared" si="8"/>
        <v>22</v>
      </c>
      <c r="AM40" s="57">
        <f t="shared" si="9"/>
        <v>242</v>
      </c>
      <c r="AN40" s="73" t="s">
        <v>207</v>
      </c>
    </row>
    <row r="41" ht="14.25" customHeight="1">
      <c r="A41" s="21"/>
      <c r="B41" s="20" t="s">
        <v>140</v>
      </c>
      <c r="C41" s="21"/>
      <c r="D41" s="20" t="s">
        <v>140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"/>
      <c r="AM41" s="45"/>
    </row>
    <row r="42" ht="14.25" customHeight="1">
      <c r="A42" s="34">
        <v>30.0</v>
      </c>
      <c r="B42" s="35" t="s">
        <v>140</v>
      </c>
      <c r="C42" s="27">
        <v>1.0</v>
      </c>
      <c r="D42" s="117" t="s">
        <v>153</v>
      </c>
      <c r="E42" s="139" t="s">
        <v>51</v>
      </c>
      <c r="F42" s="28" t="s">
        <v>85</v>
      </c>
      <c r="G42" s="24">
        <v>24.0</v>
      </c>
      <c r="H42" s="24"/>
      <c r="I42" s="24"/>
      <c r="J42" s="24">
        <v>24.0</v>
      </c>
      <c r="K42" s="24"/>
      <c r="L42" s="110"/>
      <c r="M42" s="110">
        <v>24.0</v>
      </c>
      <c r="N42" s="24"/>
      <c r="O42" s="24"/>
      <c r="P42" s="24">
        <v>24.0</v>
      </c>
      <c r="Q42" s="24"/>
      <c r="R42" s="24"/>
      <c r="S42" s="110">
        <v>24.0</v>
      </c>
      <c r="T42" s="110"/>
      <c r="U42" s="24"/>
      <c r="V42" s="24">
        <v>24.0</v>
      </c>
      <c r="W42" s="24"/>
      <c r="X42" s="24"/>
      <c r="Y42" s="24">
        <v>24.0</v>
      </c>
      <c r="Z42" s="110"/>
      <c r="AA42" s="110"/>
      <c r="AB42" s="24">
        <v>24.0</v>
      </c>
      <c r="AC42" s="24"/>
      <c r="AD42" s="24"/>
      <c r="AE42" s="24">
        <v>24.0</v>
      </c>
      <c r="AF42" s="24"/>
      <c r="AG42" s="110"/>
      <c r="AH42" s="110">
        <v>24.0</v>
      </c>
      <c r="AI42" s="24"/>
      <c r="AJ42" s="24"/>
      <c r="AK42" s="24">
        <v>24.0</v>
      </c>
      <c r="AL42" s="211">
        <f t="shared" ref="AL42:AL44" si="10">COUNTA(G42:AK42)</f>
        <v>11</v>
      </c>
      <c r="AM42" s="57">
        <v>240.0</v>
      </c>
    </row>
    <row r="43" ht="14.25" customHeight="1">
      <c r="A43" s="24">
        <v>31.0</v>
      </c>
      <c r="B43" s="35" t="s">
        <v>140</v>
      </c>
      <c r="C43" s="27">
        <v>1.0</v>
      </c>
      <c r="D43" s="117" t="s">
        <v>234</v>
      </c>
      <c r="E43" s="139" t="s">
        <v>51</v>
      </c>
      <c r="F43" s="28" t="s">
        <v>85</v>
      </c>
      <c r="G43" s="24"/>
      <c r="H43" s="24"/>
      <c r="I43" s="24">
        <v>24.0</v>
      </c>
      <c r="J43" s="24"/>
      <c r="K43" s="24"/>
      <c r="L43" s="110">
        <v>24.0</v>
      </c>
      <c r="M43" s="110"/>
      <c r="N43" s="24"/>
      <c r="O43" s="24">
        <v>24.0</v>
      </c>
      <c r="P43" s="24"/>
      <c r="Q43" s="24"/>
      <c r="R43" s="24">
        <v>24.0</v>
      </c>
      <c r="S43" s="110"/>
      <c r="T43" s="110"/>
      <c r="U43" s="24">
        <v>24.0</v>
      </c>
      <c r="V43" s="24"/>
      <c r="W43" s="24"/>
      <c r="X43" s="24">
        <v>24.0</v>
      </c>
      <c r="Y43" s="24"/>
      <c r="Z43" s="110"/>
      <c r="AA43" s="110">
        <v>24.0</v>
      </c>
      <c r="AB43" s="24"/>
      <c r="AC43" s="24"/>
      <c r="AD43" s="24">
        <v>24.0</v>
      </c>
      <c r="AE43" s="24"/>
      <c r="AF43" s="24"/>
      <c r="AG43" s="110">
        <v>24.0</v>
      </c>
      <c r="AH43" s="110"/>
      <c r="AI43" s="24"/>
      <c r="AJ43" s="24">
        <v>24.0</v>
      </c>
      <c r="AK43" s="24"/>
      <c r="AL43" s="211">
        <f t="shared" si="10"/>
        <v>10</v>
      </c>
      <c r="AM43" s="57">
        <v>240.0</v>
      </c>
    </row>
    <row r="44" ht="14.25" customHeight="1">
      <c r="A44" s="24">
        <v>32.0</v>
      </c>
      <c r="B44" s="35" t="s">
        <v>140</v>
      </c>
      <c r="C44" s="27">
        <v>1.0</v>
      </c>
      <c r="D44" s="117" t="s">
        <v>150</v>
      </c>
      <c r="E44" s="139" t="s">
        <v>51</v>
      </c>
      <c r="F44" s="28" t="s">
        <v>85</v>
      </c>
      <c r="G44" s="24"/>
      <c r="H44" s="24">
        <v>24.0</v>
      </c>
      <c r="I44" s="24"/>
      <c r="J44" s="24"/>
      <c r="K44" s="24">
        <v>24.0</v>
      </c>
      <c r="L44" s="110"/>
      <c r="M44" s="110"/>
      <c r="N44" s="24">
        <v>24.0</v>
      </c>
      <c r="O44" s="24"/>
      <c r="P44" s="24"/>
      <c r="Q44" s="24">
        <v>24.0</v>
      </c>
      <c r="R44" s="24"/>
      <c r="S44" s="110"/>
      <c r="T44" s="110">
        <v>24.0</v>
      </c>
      <c r="U44" s="24"/>
      <c r="V44" s="24"/>
      <c r="W44" s="24">
        <v>24.0</v>
      </c>
      <c r="X44" s="24"/>
      <c r="Y44" s="24"/>
      <c r="Z44" s="110">
        <v>24.0</v>
      </c>
      <c r="AA44" s="110"/>
      <c r="AB44" s="24"/>
      <c r="AC44" s="24">
        <v>24.0</v>
      </c>
      <c r="AD44" s="24"/>
      <c r="AE44" s="24"/>
      <c r="AF44" s="24">
        <v>24.0</v>
      </c>
      <c r="AG44" s="110"/>
      <c r="AH44" s="110"/>
      <c r="AI44" s="24">
        <v>24.0</v>
      </c>
      <c r="AJ44" s="24"/>
      <c r="AK44" s="24"/>
      <c r="AL44" s="211">
        <f t="shared" si="10"/>
        <v>10</v>
      </c>
      <c r="AM44" s="57">
        <v>264.0</v>
      </c>
    </row>
    <row r="45" ht="14.25" customHeight="1">
      <c r="A45" s="142"/>
      <c r="B45" s="143" t="s">
        <v>151</v>
      </c>
      <c r="C45" s="144">
        <v>33.0</v>
      </c>
      <c r="D45" s="143" t="s">
        <v>152</v>
      </c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21"/>
      <c r="AM45" s="45"/>
    </row>
    <row r="46" ht="14.25" customHeight="1">
      <c r="A46" s="142"/>
      <c r="B46" s="146" t="s">
        <v>154</v>
      </c>
      <c r="C46" s="147"/>
      <c r="D46" s="147"/>
      <c r="E46" s="147"/>
      <c r="F46" s="148"/>
      <c r="G46" s="144" t="s">
        <v>155</v>
      </c>
      <c r="H46" s="144" t="s">
        <v>155</v>
      </c>
      <c r="I46" s="144" t="s">
        <v>155</v>
      </c>
      <c r="J46" s="144" t="s">
        <v>155</v>
      </c>
      <c r="K46" s="144" t="s">
        <v>155</v>
      </c>
      <c r="L46" s="144" t="s">
        <v>155</v>
      </c>
      <c r="M46" s="144" t="s">
        <v>155</v>
      </c>
      <c r="N46" s="144" t="s">
        <v>155</v>
      </c>
      <c r="O46" s="144" t="s">
        <v>155</v>
      </c>
      <c r="P46" s="144" t="s">
        <v>155</v>
      </c>
      <c r="Q46" s="144" t="s">
        <v>155</v>
      </c>
      <c r="R46" s="144" t="s">
        <v>155</v>
      </c>
      <c r="S46" s="144" t="s">
        <v>155</v>
      </c>
      <c r="T46" s="144" t="s">
        <v>155</v>
      </c>
      <c r="U46" s="144" t="s">
        <v>155</v>
      </c>
      <c r="V46" s="144" t="s">
        <v>155</v>
      </c>
      <c r="W46" s="144" t="s">
        <v>155</v>
      </c>
      <c r="X46" s="144" t="s">
        <v>155</v>
      </c>
      <c r="Y46" s="144" t="s">
        <v>155</v>
      </c>
      <c r="Z46" s="144" t="s">
        <v>155</v>
      </c>
      <c r="AA46" s="144" t="s">
        <v>155</v>
      </c>
      <c r="AB46" s="144"/>
      <c r="AC46" s="144"/>
      <c r="AD46" s="144" t="s">
        <v>155</v>
      </c>
      <c r="AE46" s="144" t="s">
        <v>155</v>
      </c>
      <c r="AF46" s="144" t="s">
        <v>155</v>
      </c>
      <c r="AG46" s="144" t="s">
        <v>155</v>
      </c>
      <c r="AH46" s="144"/>
      <c r="AI46" s="144"/>
      <c r="AJ46" s="144"/>
      <c r="AK46" s="144"/>
      <c r="AL46" s="21"/>
      <c r="AM46" s="45"/>
    </row>
    <row r="47" ht="14.25" customHeight="1">
      <c r="A47" s="142"/>
      <c r="B47" s="146" t="s">
        <v>156</v>
      </c>
      <c r="C47" s="147"/>
      <c r="D47" s="147"/>
      <c r="E47" s="147"/>
      <c r="F47" s="148"/>
      <c r="G47" s="144">
        <f t="shared" ref="G47:AA47" si="11">COUNTA(#REF!,#REF!,#REF!,#REF!,#REF!)</f>
        <v>5</v>
      </c>
      <c r="H47" s="144">
        <f t="shared" si="11"/>
        <v>5</v>
      </c>
      <c r="I47" s="144">
        <f t="shared" si="11"/>
        <v>5</v>
      </c>
      <c r="J47" s="144">
        <f t="shared" si="11"/>
        <v>5</v>
      </c>
      <c r="K47" s="144">
        <f t="shared" si="11"/>
        <v>5</v>
      </c>
      <c r="L47" s="144">
        <f t="shared" si="11"/>
        <v>5</v>
      </c>
      <c r="M47" s="144">
        <f t="shared" si="11"/>
        <v>5</v>
      </c>
      <c r="N47" s="144">
        <f t="shared" si="11"/>
        <v>5</v>
      </c>
      <c r="O47" s="144">
        <f t="shared" si="11"/>
        <v>5</v>
      </c>
      <c r="P47" s="144">
        <f t="shared" si="11"/>
        <v>5</v>
      </c>
      <c r="Q47" s="144">
        <f t="shared" si="11"/>
        <v>5</v>
      </c>
      <c r="R47" s="144">
        <f t="shared" si="11"/>
        <v>5</v>
      </c>
      <c r="S47" s="144">
        <f t="shared" si="11"/>
        <v>5</v>
      </c>
      <c r="T47" s="144">
        <f t="shared" si="11"/>
        <v>5</v>
      </c>
      <c r="U47" s="144">
        <f t="shared" si="11"/>
        <v>5</v>
      </c>
      <c r="V47" s="144">
        <f t="shared" si="11"/>
        <v>5</v>
      </c>
      <c r="W47" s="144">
        <f t="shared" si="11"/>
        <v>5</v>
      </c>
      <c r="X47" s="144">
        <f t="shared" si="11"/>
        <v>5</v>
      </c>
      <c r="Y47" s="144">
        <f t="shared" si="11"/>
        <v>5</v>
      </c>
      <c r="Z47" s="144">
        <f t="shared" si="11"/>
        <v>5</v>
      </c>
      <c r="AA47" s="144">
        <f t="shared" si="11"/>
        <v>5</v>
      </c>
      <c r="AB47" s="144"/>
      <c r="AC47" s="144"/>
      <c r="AD47" s="144">
        <f t="shared" ref="AD47:AG47" si="12">COUNTA(#REF!,#REF!,#REF!,#REF!,#REF!)</f>
        <v>5</v>
      </c>
      <c r="AE47" s="144">
        <f t="shared" si="12"/>
        <v>5</v>
      </c>
      <c r="AF47" s="144">
        <f t="shared" si="12"/>
        <v>5</v>
      </c>
      <c r="AG47" s="144">
        <f t="shared" si="12"/>
        <v>5</v>
      </c>
      <c r="AH47" s="144"/>
      <c r="AI47" s="144"/>
      <c r="AJ47" s="144"/>
      <c r="AK47" s="144"/>
      <c r="AL47" s="21"/>
      <c r="AM47" s="45"/>
    </row>
    <row r="48" ht="14.25" customHeight="1">
      <c r="A48" s="142"/>
      <c r="B48" s="146" t="s">
        <v>157</v>
      </c>
      <c r="C48" s="147"/>
      <c r="D48" s="147"/>
      <c r="E48" s="147"/>
      <c r="F48" s="148"/>
      <c r="G48" s="269">
        <f t="shared" ref="G48:AA48" si="13">COUNTA(#REF!,#REF!)</f>
        <v>2</v>
      </c>
      <c r="H48" s="269">
        <f t="shared" si="13"/>
        <v>2</v>
      </c>
      <c r="I48" s="269">
        <f t="shared" si="13"/>
        <v>2</v>
      </c>
      <c r="J48" s="269">
        <f t="shared" si="13"/>
        <v>2</v>
      </c>
      <c r="K48" s="269">
        <f t="shared" si="13"/>
        <v>2</v>
      </c>
      <c r="L48" s="269">
        <f t="shared" si="13"/>
        <v>2</v>
      </c>
      <c r="M48" s="269">
        <f t="shared" si="13"/>
        <v>2</v>
      </c>
      <c r="N48" s="269">
        <f t="shared" si="13"/>
        <v>2</v>
      </c>
      <c r="O48" s="269">
        <f t="shared" si="13"/>
        <v>2</v>
      </c>
      <c r="P48" s="269">
        <f t="shared" si="13"/>
        <v>2</v>
      </c>
      <c r="Q48" s="269">
        <f t="shared" si="13"/>
        <v>2</v>
      </c>
      <c r="R48" s="269">
        <f t="shared" si="13"/>
        <v>2</v>
      </c>
      <c r="S48" s="269">
        <f t="shared" si="13"/>
        <v>2</v>
      </c>
      <c r="T48" s="269">
        <f t="shared" si="13"/>
        <v>2</v>
      </c>
      <c r="U48" s="269">
        <f t="shared" si="13"/>
        <v>2</v>
      </c>
      <c r="V48" s="269">
        <f t="shared" si="13"/>
        <v>2</v>
      </c>
      <c r="W48" s="269">
        <f t="shared" si="13"/>
        <v>2</v>
      </c>
      <c r="X48" s="269">
        <f t="shared" si="13"/>
        <v>2</v>
      </c>
      <c r="Y48" s="269">
        <f t="shared" si="13"/>
        <v>2</v>
      </c>
      <c r="Z48" s="269">
        <f t="shared" si="13"/>
        <v>2</v>
      </c>
      <c r="AA48" s="269">
        <f t="shared" si="13"/>
        <v>2</v>
      </c>
      <c r="AB48" s="269"/>
      <c r="AC48" s="269"/>
      <c r="AD48" s="269">
        <f t="shared" ref="AD48:AG48" si="14">COUNTA(#REF!,#REF!)</f>
        <v>2</v>
      </c>
      <c r="AE48" s="269">
        <f t="shared" si="14"/>
        <v>2</v>
      </c>
      <c r="AF48" s="269">
        <f t="shared" si="14"/>
        <v>2</v>
      </c>
      <c r="AG48" s="269">
        <f t="shared" si="14"/>
        <v>2</v>
      </c>
      <c r="AH48" s="269"/>
      <c r="AI48" s="269"/>
      <c r="AJ48" s="269"/>
      <c r="AK48" s="269"/>
      <c r="AL48" s="21"/>
      <c r="AM48" s="45"/>
    </row>
    <row r="49" ht="14.25" customHeight="1">
      <c r="A49" s="2"/>
      <c r="B49" s="3"/>
      <c r="C49" s="2"/>
      <c r="D49" s="2"/>
      <c r="E49" s="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280"/>
      <c r="AM49" s="11"/>
    </row>
    <row r="50" ht="14.25" customHeight="1">
      <c r="A50" s="152"/>
      <c r="B50" s="153"/>
      <c r="C50" s="154"/>
      <c r="D50" s="155" t="s">
        <v>159</v>
      </c>
      <c r="E50" s="155"/>
      <c r="F50" s="156"/>
      <c r="G50" s="213">
        <f t="shared" ref="G50:AA50" si="15">COUNTA(G10,G11:G15,#REF!,G24:G25,G41,G23:G39,G29)</f>
        <v>10</v>
      </c>
      <c r="H50" s="213">
        <f t="shared" si="15"/>
        <v>14</v>
      </c>
      <c r="I50" s="213">
        <f t="shared" si="15"/>
        <v>12</v>
      </c>
      <c r="J50" s="213">
        <f t="shared" si="15"/>
        <v>12</v>
      </c>
      <c r="K50" s="213">
        <f t="shared" si="15"/>
        <v>15</v>
      </c>
      <c r="L50" s="213">
        <f t="shared" si="15"/>
        <v>14</v>
      </c>
      <c r="M50" s="213">
        <f t="shared" si="15"/>
        <v>10</v>
      </c>
      <c r="N50" s="213">
        <f t="shared" si="15"/>
        <v>10</v>
      </c>
      <c r="O50" s="213">
        <f t="shared" si="15"/>
        <v>12</v>
      </c>
      <c r="P50" s="213">
        <f t="shared" si="15"/>
        <v>13</v>
      </c>
      <c r="Q50" s="213">
        <f t="shared" si="15"/>
        <v>13</v>
      </c>
      <c r="R50" s="213">
        <f t="shared" si="15"/>
        <v>14</v>
      </c>
      <c r="S50" s="213">
        <f t="shared" si="15"/>
        <v>16</v>
      </c>
      <c r="T50" s="213">
        <f t="shared" si="15"/>
        <v>11</v>
      </c>
      <c r="U50" s="213">
        <f t="shared" si="15"/>
        <v>9</v>
      </c>
      <c r="V50" s="213">
        <f t="shared" si="15"/>
        <v>13</v>
      </c>
      <c r="W50" s="213">
        <f t="shared" si="15"/>
        <v>13</v>
      </c>
      <c r="X50" s="213">
        <f t="shared" si="15"/>
        <v>12</v>
      </c>
      <c r="Y50" s="213">
        <f t="shared" si="15"/>
        <v>14</v>
      </c>
      <c r="Z50" s="213">
        <f t="shared" si="15"/>
        <v>15</v>
      </c>
      <c r="AA50" s="213">
        <f t="shared" si="15"/>
        <v>9</v>
      </c>
      <c r="AB50" s="213"/>
      <c r="AC50" s="213"/>
      <c r="AD50" s="213">
        <f t="shared" ref="AD50:AG50" si="16">COUNTA(AD10,AD11:AD15,#REF!,AD24:AD25,AD41,AD23:AD39,AD29)</f>
        <v>12</v>
      </c>
      <c r="AE50" s="213">
        <f t="shared" si="16"/>
        <v>13</v>
      </c>
      <c r="AF50" s="213">
        <f t="shared" si="16"/>
        <v>14</v>
      </c>
      <c r="AG50" s="213">
        <f t="shared" si="16"/>
        <v>15</v>
      </c>
      <c r="AH50" s="213"/>
      <c r="AI50" s="213"/>
      <c r="AJ50" s="213"/>
      <c r="AK50" s="213">
        <f>COUNTA(AK10,AK11:AK15,#REF!,AK24:AK25,AK41,AK23:AK39,AK29)</f>
        <v>14</v>
      </c>
      <c r="AL50" s="287">
        <f t="shared" ref="AL50:AL53" si="19">SUM(G50:AG50)</f>
        <v>315</v>
      </c>
      <c r="AM50" s="158">
        <v>250.0</v>
      </c>
    </row>
    <row r="51" ht="14.25" customHeight="1">
      <c r="A51" s="159"/>
      <c r="B51" s="160"/>
      <c r="C51" s="161"/>
      <c r="D51" s="162" t="s">
        <v>160</v>
      </c>
      <c r="E51" s="162"/>
      <c r="F51" s="163"/>
      <c r="G51" s="289">
        <f t="shared" ref="G51:AA51" si="17">COUNTA(G10,#REF!,#REF!,G15,G23:G39,G24:G41)</f>
        <v>17</v>
      </c>
      <c r="H51" s="289">
        <f t="shared" si="17"/>
        <v>16</v>
      </c>
      <c r="I51" s="289">
        <f t="shared" si="17"/>
        <v>17</v>
      </c>
      <c r="J51" s="289">
        <f t="shared" si="17"/>
        <v>16</v>
      </c>
      <c r="K51" s="289">
        <f t="shared" si="17"/>
        <v>18</v>
      </c>
      <c r="L51" s="289">
        <f t="shared" si="17"/>
        <v>19</v>
      </c>
      <c r="M51" s="289">
        <f t="shared" si="17"/>
        <v>17</v>
      </c>
      <c r="N51" s="289">
        <f t="shared" si="17"/>
        <v>15</v>
      </c>
      <c r="O51" s="289">
        <f t="shared" si="17"/>
        <v>15</v>
      </c>
      <c r="P51" s="289">
        <f t="shared" si="17"/>
        <v>18</v>
      </c>
      <c r="Q51" s="289">
        <f t="shared" si="17"/>
        <v>16</v>
      </c>
      <c r="R51" s="289">
        <f t="shared" si="17"/>
        <v>17</v>
      </c>
      <c r="S51" s="289">
        <f t="shared" si="17"/>
        <v>20</v>
      </c>
      <c r="T51" s="289">
        <f t="shared" si="17"/>
        <v>17</v>
      </c>
      <c r="U51" s="289">
        <f t="shared" si="17"/>
        <v>14</v>
      </c>
      <c r="V51" s="289">
        <f t="shared" si="17"/>
        <v>16</v>
      </c>
      <c r="W51" s="289">
        <f t="shared" si="17"/>
        <v>18</v>
      </c>
      <c r="X51" s="289">
        <f t="shared" si="17"/>
        <v>15</v>
      </c>
      <c r="Y51" s="289">
        <f t="shared" si="17"/>
        <v>18</v>
      </c>
      <c r="Z51" s="289">
        <f t="shared" si="17"/>
        <v>20</v>
      </c>
      <c r="AA51" s="289">
        <f t="shared" si="17"/>
        <v>14</v>
      </c>
      <c r="AB51" s="289"/>
      <c r="AC51" s="289"/>
      <c r="AD51" s="289">
        <f t="shared" ref="AD51:AG51" si="18">COUNTA(AD10,#REF!,#REF!,AD15,AD23:AD39,AD24:AD41)</f>
        <v>16</v>
      </c>
      <c r="AE51" s="289">
        <f t="shared" si="18"/>
        <v>17</v>
      </c>
      <c r="AF51" s="289">
        <f t="shared" si="18"/>
        <v>18</v>
      </c>
      <c r="AG51" s="289">
        <f t="shared" si="18"/>
        <v>20</v>
      </c>
      <c r="AH51" s="289"/>
      <c r="AI51" s="289"/>
      <c r="AJ51" s="289"/>
      <c r="AK51" s="289">
        <f>COUNTA(AK10,#REF!,#REF!,AK15,AK23:AK39,AK24:AK41)</f>
        <v>18</v>
      </c>
      <c r="AL51" s="294">
        <f t="shared" si="19"/>
        <v>424</v>
      </c>
      <c r="AM51" s="158"/>
    </row>
    <row r="52" ht="14.25" customHeight="1">
      <c r="A52" s="166"/>
      <c r="B52" s="167"/>
      <c r="C52" s="168"/>
      <c r="D52" s="169" t="s">
        <v>161</v>
      </c>
      <c r="E52" s="169"/>
      <c r="F52" s="170"/>
      <c r="G52" s="295">
        <f t="shared" ref="G52:AA52" si="20">COUNTA(G23:G39,G29,G41:G42)</f>
        <v>8</v>
      </c>
      <c r="H52" s="295">
        <f t="shared" si="20"/>
        <v>7</v>
      </c>
      <c r="I52" s="295">
        <f t="shared" si="20"/>
        <v>7</v>
      </c>
      <c r="J52" s="295">
        <f t="shared" si="20"/>
        <v>7</v>
      </c>
      <c r="K52" s="295">
        <f t="shared" si="20"/>
        <v>8</v>
      </c>
      <c r="L52" s="295">
        <f t="shared" si="20"/>
        <v>8</v>
      </c>
      <c r="M52" s="295">
        <f t="shared" si="20"/>
        <v>8</v>
      </c>
      <c r="N52" s="295">
        <f t="shared" si="20"/>
        <v>7</v>
      </c>
      <c r="O52" s="295">
        <f t="shared" si="20"/>
        <v>6</v>
      </c>
      <c r="P52" s="295">
        <f t="shared" si="20"/>
        <v>8</v>
      </c>
      <c r="Q52" s="295">
        <f t="shared" si="20"/>
        <v>7</v>
      </c>
      <c r="R52" s="295">
        <f t="shared" si="20"/>
        <v>8</v>
      </c>
      <c r="S52" s="295">
        <f t="shared" si="20"/>
        <v>10</v>
      </c>
      <c r="T52" s="295">
        <f t="shared" si="20"/>
        <v>8</v>
      </c>
      <c r="U52" s="295">
        <f t="shared" si="20"/>
        <v>7</v>
      </c>
      <c r="V52" s="295">
        <f t="shared" si="20"/>
        <v>7</v>
      </c>
      <c r="W52" s="295">
        <f t="shared" si="20"/>
        <v>7</v>
      </c>
      <c r="X52" s="295">
        <f t="shared" si="20"/>
        <v>7</v>
      </c>
      <c r="Y52" s="295">
        <f t="shared" si="20"/>
        <v>8</v>
      </c>
      <c r="Z52" s="295">
        <f t="shared" si="20"/>
        <v>8</v>
      </c>
      <c r="AA52" s="295">
        <f t="shared" si="20"/>
        <v>7</v>
      </c>
      <c r="AB52" s="295"/>
      <c r="AC52" s="295"/>
      <c r="AD52" s="295">
        <f t="shared" ref="AD52:AG52" si="21">COUNTA(AD23:AD39,AD29,AD41:AD42)</f>
        <v>7</v>
      </c>
      <c r="AE52" s="295">
        <f t="shared" si="21"/>
        <v>8</v>
      </c>
      <c r="AF52" s="295">
        <f t="shared" si="21"/>
        <v>7</v>
      </c>
      <c r="AG52" s="295">
        <f t="shared" si="21"/>
        <v>9</v>
      </c>
      <c r="AH52" s="295"/>
      <c r="AI52" s="295"/>
      <c r="AJ52" s="295"/>
      <c r="AK52" s="295">
        <f>COUNTA(AK23:AK39,AK29,AK41:AK42)</f>
        <v>8</v>
      </c>
      <c r="AL52" s="301">
        <f t="shared" si="19"/>
        <v>189</v>
      </c>
      <c r="AM52" s="173">
        <f>AM50*AL54</f>
        <v>253750</v>
      </c>
    </row>
    <row r="53" ht="14.25" customHeight="1">
      <c r="A53" s="174"/>
      <c r="B53" s="175"/>
      <c r="C53" s="176"/>
      <c r="D53" s="177" t="s">
        <v>162</v>
      </c>
      <c r="E53" s="177"/>
      <c r="F53" s="178"/>
      <c r="G53" s="302">
        <f t="shared" ref="G53:AA53" si="22">COUNTA(#REF!,#REF!,G29,#REF!)</f>
        <v>3</v>
      </c>
      <c r="H53" s="302">
        <f t="shared" si="22"/>
        <v>4</v>
      </c>
      <c r="I53" s="302">
        <f t="shared" si="22"/>
        <v>3</v>
      </c>
      <c r="J53" s="302">
        <f t="shared" si="22"/>
        <v>3</v>
      </c>
      <c r="K53" s="302">
        <f t="shared" si="22"/>
        <v>4</v>
      </c>
      <c r="L53" s="302">
        <f t="shared" si="22"/>
        <v>3</v>
      </c>
      <c r="M53" s="302">
        <f t="shared" si="22"/>
        <v>3</v>
      </c>
      <c r="N53" s="302">
        <f t="shared" si="22"/>
        <v>4</v>
      </c>
      <c r="O53" s="302">
        <f t="shared" si="22"/>
        <v>3</v>
      </c>
      <c r="P53" s="302">
        <f t="shared" si="22"/>
        <v>3</v>
      </c>
      <c r="Q53" s="302">
        <f t="shared" si="22"/>
        <v>4</v>
      </c>
      <c r="R53" s="302">
        <f t="shared" si="22"/>
        <v>4</v>
      </c>
      <c r="S53" s="302">
        <f t="shared" si="22"/>
        <v>4</v>
      </c>
      <c r="T53" s="302">
        <f t="shared" si="22"/>
        <v>4</v>
      </c>
      <c r="U53" s="302">
        <f t="shared" si="22"/>
        <v>4</v>
      </c>
      <c r="V53" s="302">
        <f t="shared" si="22"/>
        <v>3</v>
      </c>
      <c r="W53" s="302">
        <f t="shared" si="22"/>
        <v>3</v>
      </c>
      <c r="X53" s="302">
        <f t="shared" si="22"/>
        <v>4</v>
      </c>
      <c r="Y53" s="302">
        <f t="shared" si="22"/>
        <v>3</v>
      </c>
      <c r="Z53" s="302">
        <f t="shared" si="22"/>
        <v>3</v>
      </c>
      <c r="AA53" s="302">
        <f t="shared" si="22"/>
        <v>4</v>
      </c>
      <c r="AB53" s="302"/>
      <c r="AC53" s="302"/>
      <c r="AD53" s="302">
        <f t="shared" ref="AD53:AG53" si="23">COUNTA(#REF!,#REF!,AD29,#REF!)</f>
        <v>4</v>
      </c>
      <c r="AE53" s="302">
        <f t="shared" si="23"/>
        <v>3</v>
      </c>
      <c r="AF53" s="302">
        <f t="shared" si="23"/>
        <v>3</v>
      </c>
      <c r="AG53" s="302">
        <f t="shared" si="23"/>
        <v>4</v>
      </c>
      <c r="AH53" s="302"/>
      <c r="AI53" s="302"/>
      <c r="AJ53" s="302"/>
      <c r="AK53" s="302">
        <f>COUNTA(#REF!,#REF!,AK29,#REF!)</f>
        <v>3</v>
      </c>
      <c r="AL53" s="302">
        <f t="shared" si="19"/>
        <v>87</v>
      </c>
      <c r="AM53" s="180"/>
    </row>
    <row r="54" ht="14.25" customHeight="1">
      <c r="A54" s="146" t="s">
        <v>163</v>
      </c>
      <c r="B54" s="147"/>
      <c r="C54" s="147"/>
      <c r="D54" s="147"/>
      <c r="E54" s="147"/>
      <c r="F54" s="148"/>
      <c r="G54" s="144">
        <f t="shared" ref="G54:AA54" si="24">SUM(G50:G53)</f>
        <v>38</v>
      </c>
      <c r="H54" s="144">
        <f t="shared" si="24"/>
        <v>41</v>
      </c>
      <c r="I54" s="144">
        <f t="shared" si="24"/>
        <v>39</v>
      </c>
      <c r="J54" s="144">
        <f t="shared" si="24"/>
        <v>38</v>
      </c>
      <c r="K54" s="144">
        <f t="shared" si="24"/>
        <v>45</v>
      </c>
      <c r="L54" s="144">
        <f t="shared" si="24"/>
        <v>44</v>
      </c>
      <c r="M54" s="144">
        <f t="shared" si="24"/>
        <v>38</v>
      </c>
      <c r="N54" s="144">
        <f t="shared" si="24"/>
        <v>36</v>
      </c>
      <c r="O54" s="144">
        <f t="shared" si="24"/>
        <v>36</v>
      </c>
      <c r="P54" s="144">
        <f t="shared" si="24"/>
        <v>42</v>
      </c>
      <c r="Q54" s="144">
        <f t="shared" si="24"/>
        <v>40</v>
      </c>
      <c r="R54" s="144">
        <f t="shared" si="24"/>
        <v>43</v>
      </c>
      <c r="S54" s="144">
        <f t="shared" si="24"/>
        <v>50</v>
      </c>
      <c r="T54" s="144">
        <f t="shared" si="24"/>
        <v>40</v>
      </c>
      <c r="U54" s="144">
        <f t="shared" si="24"/>
        <v>34</v>
      </c>
      <c r="V54" s="144">
        <f t="shared" si="24"/>
        <v>39</v>
      </c>
      <c r="W54" s="144">
        <f t="shared" si="24"/>
        <v>41</v>
      </c>
      <c r="X54" s="144">
        <f t="shared" si="24"/>
        <v>38</v>
      </c>
      <c r="Y54" s="144">
        <f t="shared" si="24"/>
        <v>43</v>
      </c>
      <c r="Z54" s="144">
        <f t="shared" si="24"/>
        <v>46</v>
      </c>
      <c r="AA54" s="144">
        <f t="shared" si="24"/>
        <v>34</v>
      </c>
      <c r="AB54" s="144"/>
      <c r="AC54" s="144"/>
      <c r="AD54" s="144">
        <f t="shared" ref="AD54:AG54" si="25">SUM(AD50:AD53)</f>
        <v>39</v>
      </c>
      <c r="AE54" s="144">
        <f t="shared" si="25"/>
        <v>41</v>
      </c>
      <c r="AF54" s="144">
        <f t="shared" si="25"/>
        <v>42</v>
      </c>
      <c r="AG54" s="144">
        <f t="shared" si="25"/>
        <v>48</v>
      </c>
      <c r="AH54" s="144"/>
      <c r="AI54" s="144"/>
      <c r="AJ54" s="144"/>
      <c r="AK54" s="144">
        <f t="shared" ref="AK54:AL54" si="26">SUM(AK50:AK53)</f>
        <v>43</v>
      </c>
      <c r="AL54" s="144">
        <f t="shared" si="26"/>
        <v>1015</v>
      </c>
      <c r="AM54" s="181"/>
    </row>
    <row r="55" ht="14.25" customHeight="1">
      <c r="A55" s="2"/>
      <c r="B55" s="182" t="s">
        <v>164</v>
      </c>
      <c r="C55" s="182"/>
      <c r="D55" s="182"/>
      <c r="E55" s="182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4"/>
      <c r="R55" s="4"/>
      <c r="S55" s="4"/>
      <c r="T55" s="4"/>
      <c r="U55" s="5"/>
      <c r="V55" s="5"/>
      <c r="W55" s="5"/>
      <c r="X55" s="4"/>
      <c r="Y55" s="4"/>
      <c r="Z55" s="4"/>
      <c r="AA55" s="4"/>
      <c r="AB55" s="4"/>
      <c r="AC55" s="4"/>
      <c r="AD55" s="5"/>
      <c r="AE55" s="5"/>
      <c r="AF55" s="5"/>
      <c r="AG55" s="5"/>
      <c r="AH55" s="5"/>
      <c r="AI55" s="5"/>
      <c r="AJ55" s="5"/>
      <c r="AK55" s="5"/>
      <c r="AL55" s="2"/>
      <c r="AM55" s="183"/>
    </row>
    <row r="56" ht="14.25" customHeight="1">
      <c r="A56" s="2"/>
      <c r="B56" s="182" t="s">
        <v>165</v>
      </c>
      <c r="C56" s="2"/>
      <c r="D56" s="2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11"/>
      <c r="AM56" s="2"/>
    </row>
    <row r="57" ht="14.25" customHeight="1">
      <c r="A57" s="2"/>
      <c r="B57" s="182" t="s">
        <v>166</v>
      </c>
      <c r="C57" s="184"/>
      <c r="D57" s="184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11"/>
      <c r="AM57" s="2"/>
    </row>
    <row r="58" ht="14.25" customHeight="1">
      <c r="A58" s="2"/>
      <c r="B58" s="182"/>
      <c r="C58" s="184"/>
      <c r="D58" s="184"/>
      <c r="E58" s="4" t="s">
        <v>167</v>
      </c>
      <c r="G58" s="5"/>
      <c r="H58" s="5"/>
      <c r="I58" s="5"/>
      <c r="J58" s="5"/>
      <c r="K58" s="5" t="s">
        <v>168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11"/>
      <c r="AM58" s="2"/>
    </row>
    <row r="59" ht="14.25" customHeight="1">
      <c r="A59" s="2"/>
      <c r="B59" s="3"/>
      <c r="C59" s="2"/>
      <c r="D59" s="2"/>
      <c r="E59" s="2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11"/>
      <c r="AM59" s="11"/>
    </row>
    <row r="60" ht="14.25" customHeight="1">
      <c r="A60" s="2"/>
      <c r="B60" s="3"/>
      <c r="C60" s="2"/>
      <c r="D60" s="2"/>
      <c r="E60" s="4" t="s">
        <v>169</v>
      </c>
      <c r="G60" s="5"/>
      <c r="H60" s="5"/>
      <c r="I60" s="5"/>
      <c r="J60" s="5"/>
      <c r="K60" s="5"/>
      <c r="L60" s="5"/>
      <c r="M60" s="5"/>
      <c r="N60" s="5" t="s">
        <v>170</v>
      </c>
      <c r="O60" s="5"/>
      <c r="P60" s="5"/>
      <c r="Q60" s="5" t="s">
        <v>171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1"/>
      <c r="AM60" s="11"/>
    </row>
    <row r="61" ht="14.25" customHeight="1">
      <c r="A61" s="2"/>
      <c r="B61" s="3"/>
      <c r="C61" s="2"/>
      <c r="D61" s="2"/>
      <c r="E61" s="2"/>
      <c r="F61" s="185"/>
      <c r="G61" s="5"/>
      <c r="H61" s="5"/>
      <c r="I61" s="5"/>
      <c r="J61" s="5"/>
      <c r="K61" s="5"/>
      <c r="L61" s="5"/>
      <c r="M61" s="5"/>
      <c r="N61" s="5"/>
      <c r="O61" s="5"/>
      <c r="P61" s="5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11"/>
      <c r="AM61" s="11"/>
    </row>
    <row r="62" ht="30.75" customHeight="1">
      <c r="A62" s="2"/>
      <c r="B62" s="3"/>
      <c r="C62" s="2"/>
      <c r="D62" s="2"/>
      <c r="E62" s="185" t="s">
        <v>172</v>
      </c>
      <c r="G62" s="5"/>
      <c r="H62" s="5"/>
      <c r="I62" s="5"/>
      <c r="J62" s="5"/>
      <c r="K62" s="5"/>
      <c r="L62" s="5"/>
      <c r="M62" s="5"/>
      <c r="N62" s="5" t="s">
        <v>170</v>
      </c>
      <c r="O62" s="5"/>
      <c r="P62" s="5"/>
      <c r="Q62" s="5" t="s">
        <v>171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11"/>
      <c r="AM62" s="11"/>
    </row>
    <row r="63" ht="14.25" customHeight="1">
      <c r="A63" s="11"/>
      <c r="B63" s="3"/>
      <c r="C63" s="2"/>
      <c r="D63" s="186"/>
      <c r="E63" s="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11"/>
      <c r="AM63" s="11"/>
    </row>
    <row r="64" ht="14.25" customHeight="1">
      <c r="F64" s="187"/>
    </row>
    <row r="65" ht="14.25" customHeight="1">
      <c r="F65" s="187"/>
    </row>
    <row r="66" ht="14.25" customHeight="1">
      <c r="F66" s="187"/>
    </row>
    <row r="67" ht="14.25" customHeight="1">
      <c r="F67" s="187"/>
    </row>
    <row r="68" ht="15.7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3">
    <mergeCell ref="A5:D5"/>
    <mergeCell ref="B6:B7"/>
    <mergeCell ref="C6:C7"/>
    <mergeCell ref="D6:D7"/>
    <mergeCell ref="E6:E7"/>
    <mergeCell ref="AL6:AL7"/>
    <mergeCell ref="AM6:AM7"/>
    <mergeCell ref="F6:F7"/>
    <mergeCell ref="F24:F26"/>
    <mergeCell ref="F27:F30"/>
    <mergeCell ref="A36:A37"/>
    <mergeCell ref="B36:B37"/>
    <mergeCell ref="C36:C37"/>
    <mergeCell ref="D36:D37"/>
    <mergeCell ref="E60:F60"/>
    <mergeCell ref="E62:F62"/>
    <mergeCell ref="F36:F37"/>
    <mergeCell ref="B46:F46"/>
    <mergeCell ref="B47:F47"/>
    <mergeCell ref="B48:F48"/>
    <mergeCell ref="A54:F54"/>
    <mergeCell ref="E58:F58"/>
    <mergeCell ref="K58:R5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7.29"/>
    <col customWidth="1" min="5" max="5" width="26.71"/>
    <col customWidth="1" min="6" max="6" width="7.43"/>
    <col customWidth="1" min="7" max="7" width="5.14"/>
    <col customWidth="1" min="8" max="8" width="4.71"/>
    <col customWidth="1" min="9" max="9" width="4.43"/>
    <col customWidth="1" min="10" max="10" width="4.71"/>
    <col customWidth="1" min="11" max="13" width="5.29"/>
    <col customWidth="1" min="14" max="14" width="5.86"/>
    <col customWidth="1" min="15" max="15" width="5.29"/>
    <col customWidth="1" min="16" max="16" width="4.57"/>
    <col customWidth="1" min="17" max="17" width="5.29"/>
    <col customWidth="1" min="18" max="18" width="5.0"/>
    <col customWidth="1" min="19" max="19" width="5.29"/>
    <col customWidth="1" min="20" max="20" width="5.0"/>
    <col customWidth="1" min="21" max="21" width="5.29"/>
    <col customWidth="1" min="22" max="23" width="4.57"/>
    <col customWidth="1" min="24" max="24" width="4.71"/>
    <col customWidth="1" min="25" max="25" width="5.0"/>
    <col customWidth="1" min="26" max="26" width="4.86"/>
    <col customWidth="1" min="27" max="29" width="5.0"/>
    <col customWidth="1" min="30" max="30" width="5.29"/>
    <col customWidth="1" min="31" max="31" width="4.57"/>
    <col customWidth="1" min="32" max="32" width="4.71"/>
    <col customWidth="1" min="33" max="34" width="4.57"/>
    <col customWidth="1" min="35" max="35" width="11.43"/>
    <col customWidth="1" min="36" max="36" width="17.43"/>
    <col customWidth="1" min="37" max="37" width="17.57"/>
    <col customWidth="1" min="38" max="38" width="11.71"/>
  </cols>
  <sheetData>
    <row r="1" ht="13.5" customHeight="1">
      <c r="A1" s="221"/>
      <c r="B1" s="313"/>
      <c r="C1" s="221"/>
      <c r="D1" s="221"/>
      <c r="E1" s="221"/>
      <c r="F1" s="222"/>
      <c r="G1" s="223"/>
      <c r="H1" s="223"/>
      <c r="I1" s="223"/>
      <c r="J1" s="223"/>
      <c r="K1" s="223"/>
      <c r="L1" s="223"/>
      <c r="M1" s="223"/>
      <c r="N1" s="223"/>
      <c r="O1" s="223"/>
      <c r="P1" s="320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322" t="s">
        <v>0</v>
      </c>
      <c r="AK1" s="323"/>
      <c r="AL1" s="225"/>
    </row>
    <row r="2" ht="13.5" customHeight="1">
      <c r="A2" s="221"/>
      <c r="B2" s="313"/>
      <c r="C2" s="221"/>
      <c r="D2" s="221"/>
      <c r="E2" s="221"/>
      <c r="F2" s="222"/>
      <c r="G2" s="223"/>
      <c r="H2" s="223"/>
      <c r="I2" s="223"/>
      <c r="J2" s="223"/>
      <c r="K2" s="223"/>
      <c r="L2" s="223"/>
      <c r="M2" s="223"/>
      <c r="N2" s="223"/>
      <c r="O2" s="223"/>
      <c r="P2" s="320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322" t="s">
        <v>1</v>
      </c>
      <c r="AK2" s="323"/>
      <c r="AL2" s="225"/>
    </row>
    <row r="3" ht="13.5" customHeight="1">
      <c r="A3" s="221"/>
      <c r="B3" s="313"/>
      <c r="C3" s="221"/>
      <c r="D3" s="221"/>
      <c r="E3" s="221"/>
      <c r="F3" s="222"/>
      <c r="G3" s="223"/>
      <c r="H3" s="223"/>
      <c r="I3" s="223"/>
      <c r="J3" s="223"/>
      <c r="K3" s="223"/>
      <c r="L3" s="223"/>
      <c r="M3" s="223"/>
      <c r="N3" s="223"/>
      <c r="O3" s="223"/>
      <c r="P3" s="320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322" t="s">
        <v>2</v>
      </c>
      <c r="AK3" s="323"/>
      <c r="AL3" s="225"/>
    </row>
    <row r="4" ht="13.5" customHeight="1">
      <c r="A4" s="221"/>
      <c r="B4" s="313"/>
      <c r="C4" s="221"/>
      <c r="D4" s="221"/>
      <c r="E4" s="221"/>
      <c r="F4" s="222"/>
      <c r="G4" s="223"/>
      <c r="H4" s="223"/>
      <c r="I4" s="223"/>
      <c r="J4" s="223"/>
      <c r="K4" s="223"/>
      <c r="L4" s="223"/>
      <c r="M4" s="223"/>
      <c r="N4" s="223"/>
      <c r="O4" s="223"/>
      <c r="P4" s="320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322" t="s">
        <v>3</v>
      </c>
      <c r="AK4" s="323"/>
      <c r="AL4" s="225"/>
    </row>
    <row r="5" ht="13.5" customHeight="1">
      <c r="A5" s="220" t="s">
        <v>235</v>
      </c>
      <c r="B5" s="9"/>
      <c r="C5" s="9"/>
      <c r="D5" s="9"/>
      <c r="E5" s="221"/>
      <c r="F5" s="222"/>
      <c r="G5" s="223"/>
      <c r="H5" s="223"/>
      <c r="I5" s="223"/>
      <c r="J5" s="223"/>
      <c r="K5" s="223"/>
      <c r="L5" s="223"/>
      <c r="M5" s="223"/>
      <c r="N5" s="223"/>
      <c r="O5" s="223"/>
      <c r="P5" s="337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5"/>
      <c r="AK5" s="323"/>
      <c r="AL5" s="225"/>
    </row>
    <row r="6" ht="15.75" customHeight="1">
      <c r="A6" s="226" t="s">
        <v>6</v>
      </c>
      <c r="B6" s="227" t="s">
        <v>8</v>
      </c>
      <c r="C6" s="227" t="s">
        <v>9</v>
      </c>
      <c r="D6" s="228" t="s">
        <v>10</v>
      </c>
      <c r="E6" s="227" t="s">
        <v>11</v>
      </c>
      <c r="F6" s="227"/>
      <c r="G6" s="229">
        <v>1.0</v>
      </c>
      <c r="H6" s="229">
        <f t="shared" ref="H6:AA6" si="1">G6+1</f>
        <v>2</v>
      </c>
      <c r="I6" s="229">
        <f t="shared" si="1"/>
        <v>3</v>
      </c>
      <c r="J6" s="229">
        <f t="shared" si="1"/>
        <v>4</v>
      </c>
      <c r="K6" s="229">
        <f t="shared" si="1"/>
        <v>5</v>
      </c>
      <c r="L6" s="229">
        <f t="shared" si="1"/>
        <v>6</v>
      </c>
      <c r="M6" s="229">
        <f t="shared" si="1"/>
        <v>7</v>
      </c>
      <c r="N6" s="229">
        <f t="shared" si="1"/>
        <v>8</v>
      </c>
      <c r="O6" s="229">
        <f t="shared" si="1"/>
        <v>9</v>
      </c>
      <c r="P6" s="229">
        <f t="shared" si="1"/>
        <v>10</v>
      </c>
      <c r="Q6" s="229">
        <f t="shared" si="1"/>
        <v>11</v>
      </c>
      <c r="R6" s="229">
        <f t="shared" si="1"/>
        <v>12</v>
      </c>
      <c r="S6" s="229">
        <f t="shared" si="1"/>
        <v>13</v>
      </c>
      <c r="T6" s="229">
        <f t="shared" si="1"/>
        <v>14</v>
      </c>
      <c r="U6" s="229">
        <f t="shared" si="1"/>
        <v>15</v>
      </c>
      <c r="V6" s="229">
        <f t="shared" si="1"/>
        <v>16</v>
      </c>
      <c r="W6" s="229">
        <f t="shared" si="1"/>
        <v>17</v>
      </c>
      <c r="X6" s="229">
        <f t="shared" si="1"/>
        <v>18</v>
      </c>
      <c r="Y6" s="229">
        <f t="shared" si="1"/>
        <v>19</v>
      </c>
      <c r="Z6" s="229">
        <f t="shared" si="1"/>
        <v>20</v>
      </c>
      <c r="AA6" s="229">
        <f t="shared" si="1"/>
        <v>21</v>
      </c>
      <c r="AB6" s="229">
        <v>22.0</v>
      </c>
      <c r="AC6" s="229">
        <v>23.0</v>
      </c>
      <c r="AD6" s="229">
        <v>24.0</v>
      </c>
      <c r="AE6" s="229">
        <v>25.0</v>
      </c>
      <c r="AF6" s="229">
        <v>26.0</v>
      </c>
      <c r="AG6" s="229">
        <v>27.0</v>
      </c>
      <c r="AH6" s="229">
        <v>28.0</v>
      </c>
      <c r="AI6" s="227" t="s">
        <v>14</v>
      </c>
      <c r="AJ6" s="227" t="s">
        <v>15</v>
      </c>
      <c r="AK6" s="323"/>
      <c r="AL6" s="225"/>
    </row>
    <row r="7" ht="13.5" customHeight="1">
      <c r="A7" s="230"/>
      <c r="B7" s="17"/>
      <c r="C7" s="17"/>
      <c r="D7" s="17"/>
      <c r="E7" s="17"/>
      <c r="F7" s="17"/>
      <c r="G7" s="231" t="s">
        <v>20</v>
      </c>
      <c r="H7" s="231" t="s">
        <v>21</v>
      </c>
      <c r="I7" s="231" t="s">
        <v>22</v>
      </c>
      <c r="J7" s="231" t="s">
        <v>16</v>
      </c>
      <c r="K7" s="231" t="s">
        <v>17</v>
      </c>
      <c r="L7" s="231" t="s">
        <v>18</v>
      </c>
      <c r="M7" s="231" t="s">
        <v>19</v>
      </c>
      <c r="N7" s="231" t="s">
        <v>20</v>
      </c>
      <c r="O7" s="231" t="s">
        <v>21</v>
      </c>
      <c r="P7" s="231" t="s">
        <v>22</v>
      </c>
      <c r="Q7" s="231" t="s">
        <v>16</v>
      </c>
      <c r="R7" s="231" t="s">
        <v>17</v>
      </c>
      <c r="S7" s="231" t="s">
        <v>18</v>
      </c>
      <c r="T7" s="231" t="s">
        <v>19</v>
      </c>
      <c r="U7" s="231" t="s">
        <v>20</v>
      </c>
      <c r="V7" s="231" t="s">
        <v>21</v>
      </c>
      <c r="W7" s="231" t="s">
        <v>22</v>
      </c>
      <c r="X7" s="231" t="s">
        <v>16</v>
      </c>
      <c r="Y7" s="231" t="s">
        <v>17</v>
      </c>
      <c r="Z7" s="231" t="s">
        <v>18</v>
      </c>
      <c r="AA7" s="231" t="s">
        <v>19</v>
      </c>
      <c r="AB7" s="231" t="s">
        <v>20</v>
      </c>
      <c r="AC7" s="231" t="s">
        <v>21</v>
      </c>
      <c r="AD7" s="231" t="s">
        <v>22</v>
      </c>
      <c r="AE7" s="231" t="s">
        <v>16</v>
      </c>
      <c r="AF7" s="231" t="s">
        <v>17</v>
      </c>
      <c r="AG7" s="231" t="s">
        <v>18</v>
      </c>
      <c r="AH7" s="231" t="s">
        <v>19</v>
      </c>
      <c r="AI7" s="17"/>
      <c r="AJ7" s="17"/>
      <c r="AK7" s="323"/>
      <c r="AL7" s="225"/>
    </row>
    <row r="8" ht="13.5" customHeight="1">
      <c r="A8" s="232"/>
      <c r="B8" s="233" t="s">
        <v>23</v>
      </c>
      <c r="C8" s="234"/>
      <c r="D8" s="233" t="s">
        <v>23</v>
      </c>
      <c r="E8" s="234"/>
      <c r="F8" s="234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356"/>
      <c r="AJ8" s="357"/>
      <c r="AK8" s="323"/>
      <c r="AL8" s="225"/>
    </row>
    <row r="9" ht="13.5" customHeight="1">
      <c r="A9" s="236">
        <v>1.0</v>
      </c>
      <c r="B9" s="237" t="s">
        <v>1</v>
      </c>
      <c r="C9" s="238">
        <v>1.0</v>
      </c>
      <c r="D9" s="237" t="s">
        <v>24</v>
      </c>
      <c r="E9" s="239" t="s">
        <v>25</v>
      </c>
      <c r="F9" s="240" t="s">
        <v>26</v>
      </c>
      <c r="G9" s="241"/>
      <c r="H9" s="241" t="s">
        <v>205</v>
      </c>
      <c r="I9" s="241" t="s">
        <v>205</v>
      </c>
      <c r="J9" s="241" t="s">
        <v>205</v>
      </c>
      <c r="K9" s="241" t="s">
        <v>205</v>
      </c>
      <c r="L9" s="242" t="s">
        <v>205</v>
      </c>
      <c r="M9" s="242" t="s">
        <v>205</v>
      </c>
      <c r="N9" s="241"/>
      <c r="O9" s="241" t="s">
        <v>205</v>
      </c>
      <c r="P9" s="241" t="s">
        <v>205</v>
      </c>
      <c r="Q9" s="241" t="s">
        <v>205</v>
      </c>
      <c r="R9" s="241" t="s">
        <v>205</v>
      </c>
      <c r="S9" s="242" t="s">
        <v>205</v>
      </c>
      <c r="T9" s="242" t="s">
        <v>205</v>
      </c>
      <c r="U9" s="241"/>
      <c r="V9" s="241" t="s">
        <v>205</v>
      </c>
      <c r="W9" s="241" t="s">
        <v>205</v>
      </c>
      <c r="X9" s="241" t="s">
        <v>205</v>
      </c>
      <c r="Y9" s="241" t="s">
        <v>205</v>
      </c>
      <c r="Z9" s="242" t="s">
        <v>205</v>
      </c>
      <c r="AA9" s="242" t="s">
        <v>205</v>
      </c>
      <c r="AB9" s="241"/>
      <c r="AC9" s="241" t="s">
        <v>205</v>
      </c>
      <c r="AD9" s="241" t="s">
        <v>205</v>
      </c>
      <c r="AE9" s="241" t="s">
        <v>205</v>
      </c>
      <c r="AF9" s="241" t="s">
        <v>205</v>
      </c>
      <c r="AG9" s="242" t="s">
        <v>205</v>
      </c>
      <c r="AH9" s="242" t="s">
        <v>205</v>
      </c>
      <c r="AI9" s="243">
        <f>COUNTA(G9:AG9)</f>
        <v>23</v>
      </c>
      <c r="AJ9" s="249"/>
      <c r="AK9" s="323"/>
      <c r="AL9" s="225"/>
    </row>
    <row r="10" ht="13.5" customHeight="1">
      <c r="A10" s="245">
        <v>2.0</v>
      </c>
      <c r="B10" s="246" t="s">
        <v>27</v>
      </c>
      <c r="C10" s="239">
        <v>1.0</v>
      </c>
      <c r="D10" s="247" t="s">
        <v>28</v>
      </c>
      <c r="E10" s="239" t="s">
        <v>29</v>
      </c>
      <c r="F10" s="240" t="s">
        <v>30</v>
      </c>
      <c r="G10" s="236"/>
      <c r="H10" s="236">
        <v>12.0</v>
      </c>
      <c r="I10" s="236">
        <v>12.0</v>
      </c>
      <c r="J10" s="236">
        <v>12.0</v>
      </c>
      <c r="K10" s="236">
        <v>12.0</v>
      </c>
      <c r="L10" s="248">
        <v>12.0</v>
      </c>
      <c r="M10" s="248"/>
      <c r="N10" s="236"/>
      <c r="O10" s="236">
        <v>12.0</v>
      </c>
      <c r="P10" s="236">
        <v>12.0</v>
      </c>
      <c r="Q10" s="236">
        <v>12.0</v>
      </c>
      <c r="R10" s="236">
        <v>12.0</v>
      </c>
      <c r="S10" s="248">
        <v>12.0</v>
      </c>
      <c r="T10" s="248"/>
      <c r="U10" s="236"/>
      <c r="V10" s="236">
        <v>12.0</v>
      </c>
      <c r="W10" s="236">
        <v>12.0</v>
      </c>
      <c r="X10" s="236">
        <v>12.0</v>
      </c>
      <c r="Y10" s="236">
        <v>12.0</v>
      </c>
      <c r="Z10" s="248">
        <v>12.0</v>
      </c>
      <c r="AA10" s="248"/>
      <c r="AB10" s="236"/>
      <c r="AC10" s="236">
        <v>12.0</v>
      </c>
      <c r="AD10" s="236">
        <v>12.0</v>
      </c>
      <c r="AE10" s="236">
        <v>12.0</v>
      </c>
      <c r="AF10" s="236">
        <v>12.0</v>
      </c>
      <c r="AG10" s="248">
        <v>12.0</v>
      </c>
      <c r="AH10" s="248"/>
      <c r="AI10" s="243">
        <v>21.0</v>
      </c>
      <c r="AJ10" s="249">
        <f t="shared" ref="AJ10:AJ14" si="2">SUM(G10:AH10)</f>
        <v>240</v>
      </c>
      <c r="AK10" s="323"/>
      <c r="AL10" s="225"/>
    </row>
    <row r="11" ht="13.5" customHeight="1">
      <c r="A11" s="236">
        <v>3.0</v>
      </c>
      <c r="B11" s="246" t="s">
        <v>31</v>
      </c>
      <c r="C11" s="239">
        <v>1.0</v>
      </c>
      <c r="D11" s="247" t="s">
        <v>32</v>
      </c>
      <c r="E11" s="238" t="s">
        <v>33</v>
      </c>
      <c r="F11" s="240" t="s">
        <v>30</v>
      </c>
      <c r="G11" s="236"/>
      <c r="H11" s="236">
        <v>12.0</v>
      </c>
      <c r="I11" s="236">
        <v>12.0</v>
      </c>
      <c r="J11" s="236">
        <v>12.0</v>
      </c>
      <c r="K11" s="236">
        <v>12.0</v>
      </c>
      <c r="L11" s="248">
        <v>12.0</v>
      </c>
      <c r="M11" s="248"/>
      <c r="N11" s="236"/>
      <c r="O11" s="236">
        <v>12.0</v>
      </c>
      <c r="P11" s="236">
        <v>12.0</v>
      </c>
      <c r="Q11" s="236">
        <v>12.0</v>
      </c>
      <c r="R11" s="236">
        <v>12.0</v>
      </c>
      <c r="S11" s="248">
        <v>12.0</v>
      </c>
      <c r="T11" s="248"/>
      <c r="U11" s="236"/>
      <c r="V11" s="236">
        <v>12.0</v>
      </c>
      <c r="W11" s="236">
        <v>12.0</v>
      </c>
      <c r="X11" s="236">
        <v>12.0</v>
      </c>
      <c r="Y11" s="236">
        <v>12.0</v>
      </c>
      <c r="Z11" s="248">
        <v>12.0</v>
      </c>
      <c r="AA11" s="248"/>
      <c r="AB11" s="236"/>
      <c r="AC11" s="236">
        <v>12.0</v>
      </c>
      <c r="AD11" s="236">
        <v>12.0</v>
      </c>
      <c r="AE11" s="236">
        <v>12.0</v>
      </c>
      <c r="AF11" s="236">
        <v>12.0</v>
      </c>
      <c r="AG11" s="248">
        <v>12.0</v>
      </c>
      <c r="AH11" s="248"/>
      <c r="AI11" s="243">
        <f t="shared" ref="AI11:AI12" si="3">COUNTA(G11:AH11)</f>
        <v>20</v>
      </c>
      <c r="AJ11" s="249">
        <f t="shared" si="2"/>
        <v>240</v>
      </c>
      <c r="AK11" s="323"/>
      <c r="AL11" s="225"/>
    </row>
    <row r="12" ht="13.5" customHeight="1">
      <c r="A12" s="245">
        <v>4.0</v>
      </c>
      <c r="B12" s="246" t="s">
        <v>34</v>
      </c>
      <c r="C12" s="239">
        <v>1.0</v>
      </c>
      <c r="D12" s="247" t="s">
        <v>35</v>
      </c>
      <c r="E12" s="239" t="s">
        <v>33</v>
      </c>
      <c r="F12" s="240" t="s">
        <v>30</v>
      </c>
      <c r="G12" s="236"/>
      <c r="H12" s="236">
        <v>12.0</v>
      </c>
      <c r="I12" s="236">
        <v>12.0</v>
      </c>
      <c r="J12" s="236">
        <v>12.0</v>
      </c>
      <c r="K12" s="236">
        <v>12.0</v>
      </c>
      <c r="L12" s="248">
        <v>12.0</v>
      </c>
      <c r="M12" s="248"/>
      <c r="N12" s="236"/>
      <c r="O12" s="236">
        <v>12.0</v>
      </c>
      <c r="P12" s="236">
        <v>12.0</v>
      </c>
      <c r="Q12" s="236">
        <v>12.0</v>
      </c>
      <c r="R12" s="236">
        <v>12.0</v>
      </c>
      <c r="S12" s="248">
        <v>12.0</v>
      </c>
      <c r="T12" s="248"/>
      <c r="U12" s="236"/>
      <c r="V12" s="236">
        <v>12.0</v>
      </c>
      <c r="W12" s="236">
        <v>12.0</v>
      </c>
      <c r="X12" s="236">
        <v>12.0</v>
      </c>
      <c r="Y12" s="236">
        <v>12.0</v>
      </c>
      <c r="Z12" s="248">
        <v>12.0</v>
      </c>
      <c r="AA12" s="248"/>
      <c r="AB12" s="236"/>
      <c r="AC12" s="236">
        <v>12.0</v>
      </c>
      <c r="AD12" s="236">
        <v>12.0</v>
      </c>
      <c r="AE12" s="236">
        <v>12.0</v>
      </c>
      <c r="AF12" s="236">
        <v>12.0</v>
      </c>
      <c r="AG12" s="248">
        <v>12.0</v>
      </c>
      <c r="AH12" s="248"/>
      <c r="AI12" s="243">
        <f t="shared" si="3"/>
        <v>20</v>
      </c>
      <c r="AJ12" s="249">
        <f t="shared" si="2"/>
        <v>240</v>
      </c>
      <c r="AK12" s="323"/>
      <c r="AL12" s="225"/>
    </row>
    <row r="13" ht="13.5" customHeight="1">
      <c r="A13" s="236">
        <v>5.0</v>
      </c>
      <c r="B13" s="246" t="s">
        <v>36</v>
      </c>
      <c r="C13" s="239">
        <v>1.0</v>
      </c>
      <c r="D13" s="247" t="s">
        <v>180</v>
      </c>
      <c r="E13" s="239" t="s">
        <v>33</v>
      </c>
      <c r="F13" s="240" t="s">
        <v>30</v>
      </c>
      <c r="G13" s="236"/>
      <c r="H13" s="236">
        <v>12.0</v>
      </c>
      <c r="I13" s="236">
        <v>12.0</v>
      </c>
      <c r="J13" s="236">
        <v>12.0</v>
      </c>
      <c r="K13" s="236">
        <v>12.0</v>
      </c>
      <c r="L13" s="248">
        <v>12.0</v>
      </c>
      <c r="M13" s="248"/>
      <c r="N13" s="236"/>
      <c r="O13" s="236">
        <v>12.0</v>
      </c>
      <c r="P13" s="236">
        <v>12.0</v>
      </c>
      <c r="Q13" s="236">
        <v>12.0</v>
      </c>
      <c r="R13" s="236">
        <v>12.0</v>
      </c>
      <c r="S13" s="248">
        <v>12.0</v>
      </c>
      <c r="T13" s="248"/>
      <c r="U13" s="236"/>
      <c r="V13" s="236">
        <v>12.0</v>
      </c>
      <c r="W13" s="236">
        <v>12.0</v>
      </c>
      <c r="X13" s="236">
        <v>12.0</v>
      </c>
      <c r="Y13" s="236">
        <v>12.0</v>
      </c>
      <c r="Z13" s="248">
        <v>12.0</v>
      </c>
      <c r="AA13" s="248"/>
      <c r="AB13" s="236"/>
      <c r="AC13" s="236">
        <v>12.0</v>
      </c>
      <c r="AD13" s="236">
        <v>12.0</v>
      </c>
      <c r="AE13" s="236">
        <v>12.0</v>
      </c>
      <c r="AF13" s="236">
        <v>12.0</v>
      </c>
      <c r="AG13" s="248">
        <v>12.0</v>
      </c>
      <c r="AH13" s="248"/>
      <c r="AI13" s="243">
        <v>20.0</v>
      </c>
      <c r="AJ13" s="249">
        <f t="shared" si="2"/>
        <v>240</v>
      </c>
      <c r="AK13" s="323"/>
      <c r="AL13" s="225"/>
    </row>
    <row r="14" ht="13.5" customHeight="1">
      <c r="A14" s="245">
        <v>6.0</v>
      </c>
      <c r="B14" s="237" t="s">
        <v>38</v>
      </c>
      <c r="C14" s="239">
        <v>1.0</v>
      </c>
      <c r="D14" s="251" t="s">
        <v>183</v>
      </c>
      <c r="E14" s="239" t="s">
        <v>40</v>
      </c>
      <c r="F14" s="240" t="s">
        <v>30</v>
      </c>
      <c r="G14" s="236">
        <v>12.0</v>
      </c>
      <c r="H14" s="285"/>
      <c r="I14" s="285"/>
      <c r="J14" s="236"/>
      <c r="K14" s="236">
        <v>12.0</v>
      </c>
      <c r="L14" s="248">
        <v>12.0</v>
      </c>
      <c r="M14" s="248">
        <v>12.0</v>
      </c>
      <c r="N14" s="236">
        <v>12.0</v>
      </c>
      <c r="O14" s="236">
        <v>12.0</v>
      </c>
      <c r="P14" s="236"/>
      <c r="Q14" s="236">
        <v>12.0</v>
      </c>
      <c r="R14" s="236">
        <v>12.0</v>
      </c>
      <c r="S14" s="248">
        <v>12.0</v>
      </c>
      <c r="T14" s="248">
        <v>12.0</v>
      </c>
      <c r="U14" s="236">
        <v>12.0</v>
      </c>
      <c r="V14" s="236"/>
      <c r="W14" s="236">
        <v>12.0</v>
      </c>
      <c r="X14" s="236"/>
      <c r="Y14" s="236">
        <v>12.0</v>
      </c>
      <c r="Z14" s="248">
        <v>12.0</v>
      </c>
      <c r="AA14" s="248">
        <v>12.0</v>
      </c>
      <c r="AB14" s="236">
        <v>12.0</v>
      </c>
      <c r="AC14" s="236">
        <v>12.0</v>
      </c>
      <c r="AD14" s="236"/>
      <c r="AE14" s="236"/>
      <c r="AF14" s="236">
        <v>12.0</v>
      </c>
      <c r="AG14" s="248">
        <v>12.0</v>
      </c>
      <c r="AH14" s="248">
        <v>12.0</v>
      </c>
      <c r="AI14" s="243">
        <f>COUNTA(G14:AH14)</f>
        <v>20</v>
      </c>
      <c r="AJ14" s="249">
        <f t="shared" si="2"/>
        <v>240</v>
      </c>
      <c r="AK14" s="323"/>
      <c r="AL14" s="225"/>
    </row>
    <row r="15" ht="13.5" customHeight="1">
      <c r="A15" s="232"/>
      <c r="B15" s="233" t="s">
        <v>41</v>
      </c>
      <c r="C15" s="234"/>
      <c r="D15" s="233" t="s">
        <v>41</v>
      </c>
      <c r="E15" s="234"/>
      <c r="F15" s="253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34"/>
      <c r="AJ15" s="255"/>
      <c r="AK15" s="323"/>
      <c r="AL15" s="225"/>
    </row>
    <row r="16" ht="13.5" customHeight="1">
      <c r="A16" s="236">
        <v>8.0</v>
      </c>
      <c r="B16" s="237" t="s">
        <v>214</v>
      </c>
      <c r="C16" s="238">
        <v>1.0</v>
      </c>
      <c r="D16" s="237" t="s">
        <v>215</v>
      </c>
      <c r="E16" s="238" t="s">
        <v>182</v>
      </c>
      <c r="F16" s="256" t="s">
        <v>65</v>
      </c>
      <c r="G16" s="238"/>
      <c r="H16" s="238"/>
      <c r="I16" s="238"/>
      <c r="J16" s="238"/>
      <c r="K16" s="238"/>
      <c r="L16" s="257"/>
      <c r="M16" s="257"/>
      <c r="N16" s="238"/>
      <c r="O16" s="238"/>
      <c r="P16" s="238"/>
      <c r="Q16" s="238"/>
      <c r="R16" s="238"/>
      <c r="S16" s="257"/>
      <c r="T16" s="257"/>
      <c r="U16" s="238"/>
      <c r="V16" s="238"/>
      <c r="W16" s="238"/>
      <c r="X16" s="238"/>
      <c r="Y16" s="238"/>
      <c r="Z16" s="257"/>
      <c r="AA16" s="257"/>
      <c r="AB16" s="238"/>
      <c r="AC16" s="238"/>
      <c r="AD16" s="238"/>
      <c r="AE16" s="238"/>
      <c r="AF16" s="238"/>
      <c r="AG16" s="258"/>
      <c r="AH16" s="258"/>
      <c r="AI16" s="243"/>
      <c r="AJ16" s="249">
        <f t="shared" ref="AJ16:AJ20" si="4">SUM(G16:AI16)</f>
        <v>0</v>
      </c>
      <c r="AK16" s="323"/>
      <c r="AL16" s="225"/>
    </row>
    <row r="17" ht="13.5" customHeight="1">
      <c r="A17" s="236">
        <v>9.0</v>
      </c>
      <c r="B17" s="246" t="s">
        <v>53</v>
      </c>
      <c r="C17" s="239">
        <v>1.0</v>
      </c>
      <c r="D17" s="247" t="s">
        <v>54</v>
      </c>
      <c r="E17" s="239" t="s">
        <v>55</v>
      </c>
      <c r="F17" s="256" t="s">
        <v>46</v>
      </c>
      <c r="G17" s="236">
        <v>12.0</v>
      </c>
      <c r="H17" s="236">
        <v>12.0</v>
      </c>
      <c r="I17" s="236">
        <v>6.0</v>
      </c>
      <c r="J17" s="236"/>
      <c r="K17" s="236">
        <v>12.0</v>
      </c>
      <c r="L17" s="248">
        <v>12.0</v>
      </c>
      <c r="M17" s="248">
        <v>12.0</v>
      </c>
      <c r="N17" s="236">
        <v>12.0</v>
      </c>
      <c r="O17" s="236">
        <v>12.0</v>
      </c>
      <c r="P17" s="236">
        <v>12.0</v>
      </c>
      <c r="Q17" s="236"/>
      <c r="R17" s="236"/>
      <c r="S17" s="248">
        <v>12.0</v>
      </c>
      <c r="T17" s="248">
        <v>12.0</v>
      </c>
      <c r="U17" s="236">
        <v>12.0</v>
      </c>
      <c r="V17" s="236">
        <v>12.0</v>
      </c>
      <c r="W17" s="236"/>
      <c r="X17" s="236">
        <v>12.0</v>
      </c>
      <c r="Y17" s="236">
        <v>12.0</v>
      </c>
      <c r="Z17" s="248">
        <v>12.0</v>
      </c>
      <c r="AA17" s="248">
        <v>12.0</v>
      </c>
      <c r="AB17" s="236">
        <v>12.0</v>
      </c>
      <c r="AC17" s="236">
        <v>12.0</v>
      </c>
      <c r="AD17" s="236">
        <v>12.0</v>
      </c>
      <c r="AE17" s="236"/>
      <c r="AF17" s="236">
        <v>12.0</v>
      </c>
      <c r="AG17" s="248">
        <v>12.0</v>
      </c>
      <c r="AH17" s="248">
        <v>12.0</v>
      </c>
      <c r="AI17" s="243">
        <v>21.0</v>
      </c>
      <c r="AJ17" s="249">
        <f t="shared" si="4"/>
        <v>291</v>
      </c>
      <c r="AK17" s="323" t="s">
        <v>207</v>
      </c>
      <c r="AL17" s="225"/>
    </row>
    <row r="18" ht="13.5" customHeight="1">
      <c r="A18" s="236">
        <v>10.0</v>
      </c>
      <c r="B18" s="246" t="s">
        <v>49</v>
      </c>
      <c r="C18" s="239">
        <v>1.0</v>
      </c>
      <c r="D18" s="247" t="s">
        <v>59</v>
      </c>
      <c r="E18" s="239" t="s">
        <v>51</v>
      </c>
      <c r="F18" s="256" t="s">
        <v>52</v>
      </c>
      <c r="G18" s="236">
        <v>24.0</v>
      </c>
      <c r="H18" s="236"/>
      <c r="I18" s="236">
        <v>24.0</v>
      </c>
      <c r="J18" s="236"/>
      <c r="K18" s="236">
        <v>12.0</v>
      </c>
      <c r="L18" s="248"/>
      <c r="M18" s="248"/>
      <c r="N18" s="236"/>
      <c r="O18" s="236"/>
      <c r="P18" s="236"/>
      <c r="Q18" s="236"/>
      <c r="R18" s="236"/>
      <c r="S18" s="248"/>
      <c r="T18" s="248"/>
      <c r="U18" s="236"/>
      <c r="V18" s="236"/>
      <c r="W18" s="236"/>
      <c r="X18" s="236"/>
      <c r="Y18" s="236"/>
      <c r="Z18" s="248"/>
      <c r="AA18" s="248"/>
      <c r="AB18" s="236"/>
      <c r="AC18" s="236"/>
      <c r="AD18" s="236"/>
      <c r="AE18" s="236"/>
      <c r="AF18" s="236"/>
      <c r="AG18" s="248"/>
      <c r="AH18" s="248"/>
      <c r="AI18" s="243">
        <v>5.0</v>
      </c>
      <c r="AJ18" s="249">
        <f t="shared" si="4"/>
        <v>65</v>
      </c>
      <c r="AK18" s="323" t="s">
        <v>207</v>
      </c>
      <c r="AL18" s="225"/>
    </row>
    <row r="19" ht="13.5" customHeight="1">
      <c r="A19" s="236">
        <v>11.0</v>
      </c>
      <c r="B19" s="246" t="s">
        <v>49</v>
      </c>
      <c r="C19" s="239">
        <v>1.0</v>
      </c>
      <c r="D19" s="247" t="s">
        <v>60</v>
      </c>
      <c r="E19" s="239" t="s">
        <v>51</v>
      </c>
      <c r="F19" s="256" t="s">
        <v>52</v>
      </c>
      <c r="G19" s="236">
        <v>12.0</v>
      </c>
      <c r="H19" s="236">
        <v>12.0</v>
      </c>
      <c r="I19" s="236">
        <v>12.0</v>
      </c>
      <c r="J19" s="236">
        <v>12.0</v>
      </c>
      <c r="K19" s="236">
        <v>12.0</v>
      </c>
      <c r="L19" s="248"/>
      <c r="M19" s="248">
        <v>24.0</v>
      </c>
      <c r="N19" s="236"/>
      <c r="O19" s="236">
        <v>24.0</v>
      </c>
      <c r="P19" s="236"/>
      <c r="Q19" s="236">
        <v>24.0</v>
      </c>
      <c r="R19" s="236"/>
      <c r="S19" s="248">
        <v>24.0</v>
      </c>
      <c r="T19" s="248"/>
      <c r="U19" s="236">
        <v>24.0</v>
      </c>
      <c r="V19" s="236"/>
      <c r="W19" s="236">
        <v>24.0</v>
      </c>
      <c r="X19" s="236"/>
      <c r="Y19" s="236">
        <v>24.0</v>
      </c>
      <c r="Z19" s="248"/>
      <c r="AA19" s="248">
        <v>24.0</v>
      </c>
      <c r="AB19" s="236"/>
      <c r="AC19" s="236">
        <v>24.0</v>
      </c>
      <c r="AD19" s="236"/>
      <c r="AE19" s="236">
        <v>24.0</v>
      </c>
      <c r="AF19" s="236"/>
      <c r="AG19" s="248">
        <v>24.0</v>
      </c>
      <c r="AH19" s="248"/>
      <c r="AI19" s="243">
        <v>27.0</v>
      </c>
      <c r="AJ19" s="249">
        <f t="shared" si="4"/>
        <v>351</v>
      </c>
      <c r="AK19" s="323"/>
      <c r="AL19" s="225"/>
    </row>
    <row r="20" ht="13.5" customHeight="1">
      <c r="A20" s="236">
        <v>12.0</v>
      </c>
      <c r="B20" s="246" t="s">
        <v>49</v>
      </c>
      <c r="C20" s="239">
        <v>1.0</v>
      </c>
      <c r="D20" s="247" t="s">
        <v>56</v>
      </c>
      <c r="E20" s="239" t="s">
        <v>216</v>
      </c>
      <c r="F20" s="256" t="s">
        <v>52</v>
      </c>
      <c r="G20" s="236"/>
      <c r="H20" s="236">
        <v>24.0</v>
      </c>
      <c r="I20" s="236"/>
      <c r="J20" s="236">
        <v>24.0</v>
      </c>
      <c r="K20" s="236"/>
      <c r="L20" s="248">
        <v>24.0</v>
      </c>
      <c r="M20" s="248"/>
      <c r="N20" s="236">
        <v>24.0</v>
      </c>
      <c r="O20" s="236"/>
      <c r="P20" s="236">
        <v>24.0</v>
      </c>
      <c r="Q20" s="236"/>
      <c r="R20" s="236">
        <v>24.0</v>
      </c>
      <c r="S20" s="248"/>
      <c r="T20" s="248">
        <v>24.0</v>
      </c>
      <c r="U20" s="236"/>
      <c r="V20" s="236">
        <v>24.0</v>
      </c>
      <c r="W20" s="236"/>
      <c r="X20" s="236">
        <v>24.0</v>
      </c>
      <c r="Y20" s="236"/>
      <c r="Z20" s="248">
        <v>24.0</v>
      </c>
      <c r="AA20" s="248"/>
      <c r="AB20" s="236">
        <v>24.0</v>
      </c>
      <c r="AC20" s="236"/>
      <c r="AD20" s="236">
        <v>24.0</v>
      </c>
      <c r="AE20" s="236"/>
      <c r="AF20" s="236">
        <v>24.0</v>
      </c>
      <c r="AG20" s="248"/>
      <c r="AH20" s="248">
        <v>24.0</v>
      </c>
      <c r="AI20" s="243">
        <v>28.0</v>
      </c>
      <c r="AJ20" s="249">
        <f t="shared" si="4"/>
        <v>364</v>
      </c>
      <c r="AK20" s="323"/>
      <c r="AL20" s="225"/>
    </row>
    <row r="21" ht="13.5" customHeight="1">
      <c r="A21" s="278">
        <v>13.0</v>
      </c>
      <c r="B21" s="297" t="s">
        <v>62</v>
      </c>
      <c r="C21" s="283">
        <v>1.0</v>
      </c>
      <c r="D21" s="272" t="s">
        <v>63</v>
      </c>
      <c r="E21" s="283" t="s">
        <v>64</v>
      </c>
      <c r="F21" s="359" t="s">
        <v>65</v>
      </c>
      <c r="G21" s="273"/>
      <c r="H21" s="273"/>
      <c r="I21" s="273"/>
      <c r="J21" s="273"/>
      <c r="K21" s="273"/>
      <c r="L21" s="360"/>
      <c r="M21" s="360"/>
      <c r="N21" s="273"/>
      <c r="O21" s="273"/>
      <c r="P21" s="273"/>
      <c r="Q21" s="273"/>
      <c r="R21" s="273"/>
      <c r="S21" s="360"/>
      <c r="T21" s="360"/>
      <c r="U21" s="273"/>
      <c r="V21" s="273"/>
      <c r="W21" s="273"/>
      <c r="X21" s="273"/>
      <c r="Y21" s="273"/>
      <c r="Z21" s="360"/>
      <c r="AA21" s="360"/>
      <c r="AB21" s="273"/>
      <c r="AC21" s="273"/>
      <c r="AD21" s="273"/>
      <c r="AE21" s="273"/>
      <c r="AF21" s="273"/>
      <c r="AG21" s="361"/>
      <c r="AH21" s="361"/>
      <c r="AI21" s="362"/>
      <c r="AJ21" s="363">
        <f t="shared" ref="AJ21:AJ22" si="5">SUM(G21:AH21)</f>
        <v>0</v>
      </c>
      <c r="AK21" s="323"/>
      <c r="AL21" s="323"/>
    </row>
    <row r="22" ht="13.5" customHeight="1">
      <c r="A22" s="236">
        <v>14.0</v>
      </c>
      <c r="B22" s="246" t="s">
        <v>67</v>
      </c>
      <c r="C22" s="239">
        <v>1.0</v>
      </c>
      <c r="D22" s="247" t="s">
        <v>236</v>
      </c>
      <c r="E22" s="239" t="s">
        <v>237</v>
      </c>
      <c r="F22" s="240" t="s">
        <v>30</v>
      </c>
      <c r="G22" s="236"/>
      <c r="H22" s="236"/>
      <c r="I22" s="236"/>
      <c r="J22" s="236"/>
      <c r="K22" s="236">
        <v>12.0</v>
      </c>
      <c r="L22" s="248">
        <v>12.0</v>
      </c>
      <c r="M22" s="248">
        <v>12.0</v>
      </c>
      <c r="N22" s="236">
        <v>12.0</v>
      </c>
      <c r="O22" s="236"/>
      <c r="P22" s="236"/>
      <c r="Q22" s="236">
        <v>12.0</v>
      </c>
      <c r="R22" s="236">
        <v>12.0</v>
      </c>
      <c r="S22" s="248">
        <v>12.0</v>
      </c>
      <c r="T22" s="248">
        <v>12.0</v>
      </c>
      <c r="U22" s="236">
        <v>12.0</v>
      </c>
      <c r="V22" s="236">
        <v>12.0</v>
      </c>
      <c r="W22" s="236">
        <v>12.0</v>
      </c>
      <c r="X22" s="236"/>
      <c r="Y22" s="236"/>
      <c r="Z22" s="248">
        <v>12.0</v>
      </c>
      <c r="AA22" s="248">
        <v>12.0</v>
      </c>
      <c r="AB22" s="236">
        <v>12.0</v>
      </c>
      <c r="AC22" s="236"/>
      <c r="AD22" s="236"/>
      <c r="AE22" s="236"/>
      <c r="AF22" s="236"/>
      <c r="AG22" s="248"/>
      <c r="AH22" s="248"/>
      <c r="AI22" s="243">
        <v>14.0</v>
      </c>
      <c r="AJ22" s="249">
        <f t="shared" si="5"/>
        <v>168</v>
      </c>
      <c r="AK22" s="323"/>
      <c r="AL22" s="225"/>
    </row>
    <row r="23" ht="13.5" customHeight="1">
      <c r="A23" s="236">
        <v>15.0</v>
      </c>
      <c r="B23" s="246" t="s">
        <v>71</v>
      </c>
      <c r="C23" s="239">
        <v>1.0</v>
      </c>
      <c r="D23" s="247" t="s">
        <v>76</v>
      </c>
      <c r="E23" s="239" t="s">
        <v>73</v>
      </c>
      <c r="F23" s="240" t="s">
        <v>26</v>
      </c>
      <c r="G23" s="236">
        <v>12.0</v>
      </c>
      <c r="H23" s="236">
        <v>12.0</v>
      </c>
      <c r="I23" s="236">
        <v>12.0</v>
      </c>
      <c r="J23" s="236">
        <v>18.0</v>
      </c>
      <c r="K23" s="236"/>
      <c r="L23" s="248">
        <v>18.0</v>
      </c>
      <c r="M23" s="248">
        <v>12.0</v>
      </c>
      <c r="N23" s="236">
        <v>12.0</v>
      </c>
      <c r="O23" s="236">
        <v>12.0</v>
      </c>
      <c r="P23" s="236"/>
      <c r="Q23" s="236">
        <v>12.0</v>
      </c>
      <c r="R23" s="236">
        <v>12.0</v>
      </c>
      <c r="S23" s="248">
        <v>12.0</v>
      </c>
      <c r="T23" s="248">
        <v>12.0</v>
      </c>
      <c r="U23" s="236">
        <v>12.0</v>
      </c>
      <c r="V23" s="236">
        <v>12.0</v>
      </c>
      <c r="W23" s="236">
        <v>12.0</v>
      </c>
      <c r="X23" s="236">
        <v>12.0</v>
      </c>
      <c r="Y23" s="236">
        <v>12.0</v>
      </c>
      <c r="Z23" s="248">
        <v>12.0</v>
      </c>
      <c r="AA23" s="248">
        <v>12.0</v>
      </c>
      <c r="AB23" s="236">
        <v>12.0</v>
      </c>
      <c r="AC23" s="236">
        <v>12.0</v>
      </c>
      <c r="AD23" s="236">
        <v>12.0</v>
      </c>
      <c r="AE23" s="236">
        <v>12.0</v>
      </c>
      <c r="AF23" s="236"/>
      <c r="AG23" s="248">
        <v>12.0</v>
      </c>
      <c r="AH23" s="248">
        <v>12.0</v>
      </c>
      <c r="AI23" s="243">
        <v>26.0</v>
      </c>
      <c r="AJ23" s="249">
        <f>SUM(G23:AI23)</f>
        <v>338</v>
      </c>
      <c r="AK23" s="323" t="s">
        <v>207</v>
      </c>
      <c r="AL23" s="225"/>
    </row>
    <row r="24" ht="13.5" customHeight="1">
      <c r="A24" s="232"/>
      <c r="B24" s="233" t="s">
        <v>78</v>
      </c>
      <c r="C24" s="234"/>
      <c r="D24" s="262" t="s">
        <v>78</v>
      </c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323"/>
      <c r="AL24" s="225"/>
    </row>
    <row r="25" ht="13.5" customHeight="1">
      <c r="A25" s="245">
        <v>15.0</v>
      </c>
      <c r="B25" s="246" t="s">
        <v>218</v>
      </c>
      <c r="C25" s="239">
        <v>1.0</v>
      </c>
      <c r="D25" s="251" t="s">
        <v>82</v>
      </c>
      <c r="E25" s="239" t="s">
        <v>29</v>
      </c>
      <c r="F25" s="267" t="s">
        <v>85</v>
      </c>
      <c r="G25" s="236">
        <v>24.0</v>
      </c>
      <c r="H25" s="236"/>
      <c r="I25" s="245"/>
      <c r="J25" s="245">
        <v>24.0</v>
      </c>
      <c r="K25" s="245"/>
      <c r="L25" s="248"/>
      <c r="M25" s="248">
        <v>24.0</v>
      </c>
      <c r="N25" s="236"/>
      <c r="O25" s="236"/>
      <c r="P25" s="245">
        <v>24.0</v>
      </c>
      <c r="Q25" s="245"/>
      <c r="R25" s="245"/>
      <c r="S25" s="248">
        <v>24.0</v>
      </c>
      <c r="T25" s="248"/>
      <c r="U25" s="236"/>
      <c r="V25" s="236">
        <v>24.0</v>
      </c>
      <c r="W25" s="245"/>
      <c r="X25" s="245"/>
      <c r="Y25" s="245">
        <v>24.0</v>
      </c>
      <c r="Z25" s="248"/>
      <c r="AA25" s="248"/>
      <c r="AB25" s="236">
        <v>24.0</v>
      </c>
      <c r="AC25" s="236">
        <v>12.0</v>
      </c>
      <c r="AD25" s="245"/>
      <c r="AE25" s="245">
        <v>24.0</v>
      </c>
      <c r="AF25" s="245"/>
      <c r="AG25" s="248">
        <v>12.0</v>
      </c>
      <c r="AH25" s="248">
        <v>24.0</v>
      </c>
      <c r="AI25" s="243">
        <v>11.0</v>
      </c>
      <c r="AJ25" s="249">
        <f t="shared" ref="AJ25:AJ50" si="6">SUM(G25:AH25)</f>
        <v>264</v>
      </c>
      <c r="AK25" s="323" t="s">
        <v>207</v>
      </c>
      <c r="AL25" s="225"/>
    </row>
    <row r="26" ht="13.5" customHeight="1">
      <c r="A26" s="245">
        <v>16.0</v>
      </c>
      <c r="B26" s="246" t="s">
        <v>86</v>
      </c>
      <c r="C26" s="239">
        <v>1.0</v>
      </c>
      <c r="D26" s="263" t="s">
        <v>100</v>
      </c>
      <c r="E26" s="239" t="s">
        <v>238</v>
      </c>
      <c r="F26" s="88"/>
      <c r="G26" s="236"/>
      <c r="H26" s="236">
        <v>24.0</v>
      </c>
      <c r="I26" s="245"/>
      <c r="J26" s="245"/>
      <c r="K26" s="264">
        <v>24.0</v>
      </c>
      <c r="L26" s="248"/>
      <c r="M26" s="248"/>
      <c r="N26" s="236">
        <v>24.0</v>
      </c>
      <c r="O26" s="236"/>
      <c r="P26" s="245"/>
      <c r="Q26" s="245">
        <v>24.0</v>
      </c>
      <c r="R26" s="264"/>
      <c r="S26" s="248"/>
      <c r="T26" s="248">
        <v>24.0</v>
      </c>
      <c r="U26" s="236"/>
      <c r="V26" s="236"/>
      <c r="W26" s="245">
        <v>24.0</v>
      </c>
      <c r="X26" s="264"/>
      <c r="Y26" s="264"/>
      <c r="Z26" s="248">
        <v>24.0</v>
      </c>
      <c r="AA26" s="248"/>
      <c r="AB26" s="236"/>
      <c r="AC26" s="236">
        <v>24.0</v>
      </c>
      <c r="AD26" s="245"/>
      <c r="AE26" s="245"/>
      <c r="AF26" s="264">
        <v>12.0</v>
      </c>
      <c r="AG26" s="248"/>
      <c r="AH26" s="248"/>
      <c r="AI26" s="243">
        <v>8.5</v>
      </c>
      <c r="AJ26" s="249">
        <f t="shared" si="6"/>
        <v>204</v>
      </c>
      <c r="AK26" s="323" t="s">
        <v>207</v>
      </c>
      <c r="AL26" s="225"/>
    </row>
    <row r="27" ht="13.5" customHeight="1">
      <c r="A27" s="245">
        <v>17.0</v>
      </c>
      <c r="B27" s="246" t="s">
        <v>86</v>
      </c>
      <c r="C27" s="265">
        <v>1.0</v>
      </c>
      <c r="D27" s="263" t="s">
        <v>212</v>
      </c>
      <c r="E27" s="239" t="s">
        <v>238</v>
      </c>
      <c r="F27" s="88"/>
      <c r="G27" s="236"/>
      <c r="H27" s="236"/>
      <c r="I27" s="245">
        <v>24.0</v>
      </c>
      <c r="J27" s="264"/>
      <c r="K27" s="245"/>
      <c r="L27" s="248">
        <v>24.0</v>
      </c>
      <c r="M27" s="248"/>
      <c r="N27" s="236"/>
      <c r="O27" s="236"/>
      <c r="P27" s="245"/>
      <c r="Q27" s="245"/>
      <c r="R27" s="264"/>
      <c r="S27" s="248"/>
      <c r="T27" s="248"/>
      <c r="U27" s="236"/>
      <c r="V27" s="236"/>
      <c r="W27" s="245"/>
      <c r="X27" s="264"/>
      <c r="Y27" s="264"/>
      <c r="Z27" s="248"/>
      <c r="AA27" s="248">
        <v>24.0</v>
      </c>
      <c r="AB27" s="236"/>
      <c r="AC27" s="236"/>
      <c r="AD27" s="245"/>
      <c r="AE27" s="264"/>
      <c r="AF27" s="264"/>
      <c r="AG27" s="248"/>
      <c r="AH27" s="248"/>
      <c r="AI27" s="243">
        <v>3.0</v>
      </c>
      <c r="AJ27" s="249">
        <f t="shared" si="6"/>
        <v>72</v>
      </c>
      <c r="AK27" s="323"/>
      <c r="AL27" s="225"/>
    </row>
    <row r="28" ht="13.5" customHeight="1">
      <c r="A28" s="245">
        <v>18.0</v>
      </c>
      <c r="B28" s="246" t="s">
        <v>86</v>
      </c>
      <c r="C28" s="265">
        <v>1.0</v>
      </c>
      <c r="D28" s="263" t="s">
        <v>198</v>
      </c>
      <c r="E28" s="239" t="s">
        <v>240</v>
      </c>
      <c r="F28" s="17"/>
      <c r="G28" s="266"/>
      <c r="H28" s="236"/>
      <c r="I28" s="245"/>
      <c r="J28" s="264"/>
      <c r="K28" s="245"/>
      <c r="L28" s="248"/>
      <c r="M28" s="248"/>
      <c r="N28" s="236"/>
      <c r="O28" s="236"/>
      <c r="P28" s="245"/>
      <c r="Q28" s="245"/>
      <c r="R28" s="264"/>
      <c r="S28" s="248"/>
      <c r="T28" s="248"/>
      <c r="U28" s="236"/>
      <c r="V28" s="236"/>
      <c r="W28" s="245"/>
      <c r="X28" s="264"/>
      <c r="Y28" s="264"/>
      <c r="Z28" s="248"/>
      <c r="AA28" s="248"/>
      <c r="AB28" s="236"/>
      <c r="AC28" s="236"/>
      <c r="AD28" s="245"/>
      <c r="AE28" s="264"/>
      <c r="AF28" s="264"/>
      <c r="AG28" s="248">
        <v>24.0</v>
      </c>
      <c r="AH28" s="248"/>
      <c r="AI28" s="243">
        <f>COUNTA(G28:AH28)</f>
        <v>1</v>
      </c>
      <c r="AJ28" s="249">
        <f t="shared" si="6"/>
        <v>24</v>
      </c>
      <c r="AK28" s="323"/>
      <c r="AL28" s="225"/>
    </row>
    <row r="29" ht="13.5" customHeight="1">
      <c r="A29" s="245">
        <v>19.0</v>
      </c>
      <c r="B29" s="246" t="s">
        <v>86</v>
      </c>
      <c r="C29" s="265">
        <v>1.0</v>
      </c>
      <c r="D29" s="251" t="s">
        <v>199</v>
      </c>
      <c r="E29" s="265" t="s">
        <v>238</v>
      </c>
      <c r="F29" s="267" t="s">
        <v>241</v>
      </c>
      <c r="G29" s="266"/>
      <c r="H29" s="236"/>
      <c r="I29" s="245"/>
      <c r="J29" s="264"/>
      <c r="K29" s="264"/>
      <c r="L29" s="248"/>
      <c r="M29" s="248"/>
      <c r="N29" s="236"/>
      <c r="O29" s="236">
        <v>24.0</v>
      </c>
      <c r="P29" s="245"/>
      <c r="Q29" s="245"/>
      <c r="R29" s="245">
        <v>24.0</v>
      </c>
      <c r="S29" s="248"/>
      <c r="T29" s="248"/>
      <c r="U29" s="236">
        <v>24.0</v>
      </c>
      <c r="V29" s="236"/>
      <c r="W29" s="245"/>
      <c r="X29" s="245">
        <v>24.0</v>
      </c>
      <c r="Y29" s="264"/>
      <c r="Z29" s="248"/>
      <c r="AA29" s="248"/>
      <c r="AB29" s="236"/>
      <c r="AC29" s="236"/>
      <c r="AD29" s="245">
        <v>12.0</v>
      </c>
      <c r="AE29" s="264"/>
      <c r="AF29" s="264"/>
      <c r="AG29" s="248"/>
      <c r="AH29" s="248"/>
      <c r="AI29" s="243">
        <v>5.5</v>
      </c>
      <c r="AJ29" s="249">
        <f t="shared" si="6"/>
        <v>108</v>
      </c>
      <c r="AK29" s="323" t="s">
        <v>207</v>
      </c>
      <c r="AL29" s="225"/>
    </row>
    <row r="30" ht="13.5" customHeight="1">
      <c r="A30" s="245">
        <v>20.0</v>
      </c>
      <c r="B30" s="246" t="s">
        <v>95</v>
      </c>
      <c r="C30" s="265">
        <v>1.0</v>
      </c>
      <c r="D30" s="263" t="s">
        <v>97</v>
      </c>
      <c r="E30" s="239" t="s">
        <v>102</v>
      </c>
      <c r="F30" s="267" t="s">
        <v>85</v>
      </c>
      <c r="G30" s="236">
        <v>24.0</v>
      </c>
      <c r="H30" s="236"/>
      <c r="I30" s="236"/>
      <c r="J30" s="236">
        <v>24.0</v>
      </c>
      <c r="K30" s="236"/>
      <c r="L30" s="248">
        <v>24.0</v>
      </c>
      <c r="M30" s="248"/>
      <c r="N30" s="236">
        <v>24.0</v>
      </c>
      <c r="O30" s="236"/>
      <c r="P30" s="236"/>
      <c r="Q30" s="236">
        <v>24.0</v>
      </c>
      <c r="R30" s="236"/>
      <c r="S30" s="248">
        <v>24.0</v>
      </c>
      <c r="T30" s="248"/>
      <c r="U30" s="236"/>
      <c r="V30" s="236"/>
      <c r="W30" s="236">
        <v>24.0</v>
      </c>
      <c r="X30" s="236"/>
      <c r="Y30" s="236"/>
      <c r="Z30" s="248">
        <v>24.0</v>
      </c>
      <c r="AA30" s="248"/>
      <c r="AB30" s="236"/>
      <c r="AC30" s="236">
        <v>24.0</v>
      </c>
      <c r="AD30" s="236"/>
      <c r="AE30" s="236"/>
      <c r="AF30" s="236"/>
      <c r="AG30" s="248">
        <v>24.0</v>
      </c>
      <c r="AH30" s="248"/>
      <c r="AI30" s="243">
        <f t="shared" ref="AI30:AI50" si="7">COUNTA(G30:AH30)</f>
        <v>10</v>
      </c>
      <c r="AJ30" s="249">
        <f t="shared" si="6"/>
        <v>240</v>
      </c>
      <c r="AK30" s="323" t="s">
        <v>207</v>
      </c>
      <c r="AL30" s="225"/>
    </row>
    <row r="31" ht="13.5" customHeight="1">
      <c r="A31" s="245">
        <v>21.0</v>
      </c>
      <c r="B31" s="246" t="s">
        <v>95</v>
      </c>
      <c r="C31" s="265">
        <v>1.0</v>
      </c>
      <c r="D31" s="263" t="s">
        <v>221</v>
      </c>
      <c r="E31" s="239" t="s">
        <v>102</v>
      </c>
      <c r="F31" s="88"/>
      <c r="G31" s="236"/>
      <c r="H31" s="236"/>
      <c r="I31" s="236"/>
      <c r="J31" s="236"/>
      <c r="K31" s="236"/>
      <c r="L31" s="248"/>
      <c r="M31" s="248">
        <v>17.0</v>
      </c>
      <c r="N31" s="236">
        <v>24.0</v>
      </c>
      <c r="O31" s="236"/>
      <c r="P31" s="236">
        <v>24.0</v>
      </c>
      <c r="Q31" s="236"/>
      <c r="R31" s="236"/>
      <c r="S31" s="248"/>
      <c r="T31" s="248">
        <v>24.0</v>
      </c>
      <c r="U31" s="236"/>
      <c r="V31" s="236">
        <v>24.0</v>
      </c>
      <c r="W31" s="236"/>
      <c r="X31" s="236"/>
      <c r="Y31" s="236">
        <v>24.0</v>
      </c>
      <c r="Z31" s="248"/>
      <c r="AA31" s="248"/>
      <c r="AB31" s="236">
        <v>24.0</v>
      </c>
      <c r="AC31" s="236"/>
      <c r="AD31" s="236"/>
      <c r="AE31" s="236">
        <v>24.0</v>
      </c>
      <c r="AF31" s="236"/>
      <c r="AG31" s="248"/>
      <c r="AH31" s="248"/>
      <c r="AI31" s="243">
        <f t="shared" si="7"/>
        <v>8</v>
      </c>
      <c r="AJ31" s="249">
        <f t="shared" si="6"/>
        <v>185</v>
      </c>
      <c r="AK31" s="323" t="s">
        <v>207</v>
      </c>
      <c r="AL31" s="225"/>
    </row>
    <row r="32" ht="13.5" customHeight="1">
      <c r="A32" s="245">
        <v>22.0</v>
      </c>
      <c r="B32" s="268" t="s">
        <v>95</v>
      </c>
      <c r="C32" s="265">
        <v>1.0</v>
      </c>
      <c r="D32" s="263" t="s">
        <v>222</v>
      </c>
      <c r="E32" s="239" t="s">
        <v>102</v>
      </c>
      <c r="F32" s="88"/>
      <c r="G32" s="236"/>
      <c r="H32" s="236"/>
      <c r="I32" s="236"/>
      <c r="J32" s="236"/>
      <c r="K32" s="236"/>
      <c r="L32" s="248"/>
      <c r="M32" s="248"/>
      <c r="N32" s="236"/>
      <c r="O32" s="236">
        <v>24.0</v>
      </c>
      <c r="P32" s="236"/>
      <c r="Q32" s="236"/>
      <c r="R32" s="236">
        <v>24.0</v>
      </c>
      <c r="S32" s="248"/>
      <c r="T32" s="248"/>
      <c r="U32" s="236">
        <v>24.0</v>
      </c>
      <c r="V32" s="236"/>
      <c r="W32" s="236"/>
      <c r="X32" s="236">
        <v>24.0</v>
      </c>
      <c r="Y32" s="236"/>
      <c r="Z32" s="248"/>
      <c r="AA32" s="248">
        <v>24.0</v>
      </c>
      <c r="AB32" s="236"/>
      <c r="AC32" s="236"/>
      <c r="AD32" s="236">
        <v>24.0</v>
      </c>
      <c r="AE32" s="236"/>
      <c r="AF32" s="236"/>
      <c r="AG32" s="248"/>
      <c r="AH32" s="248"/>
      <c r="AI32" s="243">
        <f t="shared" si="7"/>
        <v>6</v>
      </c>
      <c r="AJ32" s="249">
        <f t="shared" si="6"/>
        <v>144</v>
      </c>
      <c r="AK32" s="323" t="s">
        <v>207</v>
      </c>
      <c r="AL32" s="225"/>
    </row>
    <row r="33" ht="13.5" customHeight="1">
      <c r="A33" s="245">
        <v>23.0</v>
      </c>
      <c r="B33" s="246" t="s">
        <v>95</v>
      </c>
      <c r="C33" s="265">
        <v>1.0</v>
      </c>
      <c r="D33" s="263" t="s">
        <v>223</v>
      </c>
      <c r="E33" s="239" t="s">
        <v>102</v>
      </c>
      <c r="F33" s="88"/>
      <c r="G33" s="236"/>
      <c r="H33" s="236"/>
      <c r="I33" s="236"/>
      <c r="J33" s="236"/>
      <c r="K33" s="236"/>
      <c r="L33" s="248">
        <v>17.0</v>
      </c>
      <c r="M33" s="248">
        <v>17.0</v>
      </c>
      <c r="N33" s="236"/>
      <c r="O33" s="236"/>
      <c r="P33" s="236"/>
      <c r="Q33" s="236"/>
      <c r="R33" s="236"/>
      <c r="S33" s="248">
        <v>17.0</v>
      </c>
      <c r="T33" s="248">
        <v>17.0</v>
      </c>
      <c r="U33" s="236">
        <v>17.0</v>
      </c>
      <c r="V33" s="236">
        <v>17.0</v>
      </c>
      <c r="W33" s="236"/>
      <c r="X33" s="236"/>
      <c r="Y33" s="236">
        <v>17.0</v>
      </c>
      <c r="Z33" s="248">
        <v>17.0</v>
      </c>
      <c r="AA33" s="248">
        <v>17.0</v>
      </c>
      <c r="AB33" s="236">
        <v>17.0</v>
      </c>
      <c r="AC33" s="236"/>
      <c r="AD33" s="236"/>
      <c r="AE33" s="236"/>
      <c r="AF33" s="236">
        <v>24.0</v>
      </c>
      <c r="AG33" s="248"/>
      <c r="AH33" s="248">
        <v>24.0</v>
      </c>
      <c r="AI33" s="243">
        <f t="shared" si="7"/>
        <v>12</v>
      </c>
      <c r="AJ33" s="249">
        <f t="shared" si="6"/>
        <v>218</v>
      </c>
      <c r="AK33" s="323" t="s">
        <v>207</v>
      </c>
      <c r="AL33" s="225"/>
    </row>
    <row r="34" ht="13.5" customHeight="1">
      <c r="A34" s="245">
        <v>24.0</v>
      </c>
      <c r="B34" s="246" t="s">
        <v>95</v>
      </c>
      <c r="C34" s="265">
        <v>1.0</v>
      </c>
      <c r="D34" s="263" t="s">
        <v>242</v>
      </c>
      <c r="E34" s="239" t="s">
        <v>102</v>
      </c>
      <c r="F34" s="88"/>
      <c r="G34" s="236">
        <v>24.0</v>
      </c>
      <c r="H34" s="236"/>
      <c r="I34" s="236">
        <v>17.0</v>
      </c>
      <c r="J34" s="236"/>
      <c r="K34" s="236"/>
      <c r="L34" s="248"/>
      <c r="M34" s="248"/>
      <c r="N34" s="236"/>
      <c r="O34" s="236"/>
      <c r="P34" s="236"/>
      <c r="Q34" s="236"/>
      <c r="R34" s="236"/>
      <c r="S34" s="248"/>
      <c r="T34" s="248"/>
      <c r="U34" s="236"/>
      <c r="V34" s="236"/>
      <c r="W34" s="236"/>
      <c r="X34" s="236"/>
      <c r="Y34" s="236"/>
      <c r="Z34" s="248"/>
      <c r="AA34" s="248"/>
      <c r="AB34" s="236"/>
      <c r="AC34" s="236"/>
      <c r="AD34" s="236"/>
      <c r="AE34" s="236"/>
      <c r="AF34" s="236"/>
      <c r="AG34" s="248"/>
      <c r="AH34" s="248"/>
      <c r="AI34" s="243">
        <f t="shared" si="7"/>
        <v>2</v>
      </c>
      <c r="AJ34" s="249">
        <f t="shared" si="6"/>
        <v>41</v>
      </c>
      <c r="AK34" s="323"/>
      <c r="AL34" s="225"/>
    </row>
    <row r="35" ht="13.5" customHeight="1">
      <c r="A35" s="264">
        <v>25.0</v>
      </c>
      <c r="B35" s="297" t="s">
        <v>95</v>
      </c>
      <c r="C35" s="282">
        <v>1.0</v>
      </c>
      <c r="D35" s="292" t="s">
        <v>244</v>
      </c>
      <c r="E35" s="283" t="s">
        <v>102</v>
      </c>
      <c r="F35" s="88"/>
      <c r="G35" s="278"/>
      <c r="H35" s="278">
        <v>24.0</v>
      </c>
      <c r="I35" s="278"/>
      <c r="J35" s="278"/>
      <c r="K35" s="278">
        <v>24.0</v>
      </c>
      <c r="L35" s="279"/>
      <c r="M35" s="279"/>
      <c r="N35" s="278"/>
      <c r="O35" s="278"/>
      <c r="P35" s="278"/>
      <c r="Q35" s="278"/>
      <c r="R35" s="278"/>
      <c r="S35" s="279"/>
      <c r="T35" s="279"/>
      <c r="U35" s="278"/>
      <c r="V35" s="278"/>
      <c r="W35" s="278"/>
      <c r="X35" s="278"/>
      <c r="Y35" s="278"/>
      <c r="Z35" s="279"/>
      <c r="AA35" s="279"/>
      <c r="AB35" s="278"/>
      <c r="AC35" s="278"/>
      <c r="AD35" s="278"/>
      <c r="AE35" s="278"/>
      <c r="AF35" s="278"/>
      <c r="AG35" s="279"/>
      <c r="AH35" s="279"/>
      <c r="AI35" s="362">
        <f t="shared" si="7"/>
        <v>2</v>
      </c>
      <c r="AJ35" s="249">
        <f t="shared" si="6"/>
        <v>48</v>
      </c>
      <c r="AK35" s="368" t="s">
        <v>245</v>
      </c>
    </row>
    <row r="36" ht="13.5" customHeight="1">
      <c r="A36" s="245">
        <v>26.0</v>
      </c>
      <c r="B36" s="246" t="s">
        <v>95</v>
      </c>
      <c r="C36" s="265">
        <v>1.0</v>
      </c>
      <c r="D36" s="263" t="s">
        <v>212</v>
      </c>
      <c r="E36" s="239" t="s">
        <v>102</v>
      </c>
      <c r="F36" s="17"/>
      <c r="G36" s="370"/>
      <c r="H36" s="236"/>
      <c r="I36" s="236"/>
      <c r="J36" s="236"/>
      <c r="K36" s="236"/>
      <c r="L36" s="248"/>
      <c r="M36" s="248"/>
      <c r="N36" s="236"/>
      <c r="O36" s="236"/>
      <c r="P36" s="236"/>
      <c r="Q36" s="236"/>
      <c r="R36" s="236"/>
      <c r="S36" s="248"/>
      <c r="T36" s="248"/>
      <c r="U36" s="236"/>
      <c r="V36" s="236"/>
      <c r="W36" s="236"/>
      <c r="X36" s="236"/>
      <c r="Y36" s="236"/>
      <c r="Z36" s="248"/>
      <c r="AA36" s="248"/>
      <c r="AB36" s="236"/>
      <c r="AC36" s="236"/>
      <c r="AD36" s="236"/>
      <c r="AE36" s="236"/>
      <c r="AF36" s="236"/>
      <c r="AG36" s="248">
        <v>17.0</v>
      </c>
      <c r="AH36" s="248">
        <v>17.0</v>
      </c>
      <c r="AI36" s="243">
        <f t="shared" si="7"/>
        <v>2</v>
      </c>
      <c r="AJ36" s="249">
        <f t="shared" si="6"/>
        <v>34</v>
      </c>
      <c r="AK36" s="323"/>
      <c r="AL36" s="225"/>
    </row>
    <row r="37" ht="13.5" customHeight="1">
      <c r="A37" s="264">
        <v>27.0</v>
      </c>
      <c r="B37" s="272" t="s">
        <v>184</v>
      </c>
      <c r="C37" s="273">
        <v>1.0</v>
      </c>
      <c r="D37" s="292" t="s">
        <v>223</v>
      </c>
      <c r="E37" s="275" t="s">
        <v>105</v>
      </c>
      <c r="F37" s="276">
        <v>0.4</v>
      </c>
      <c r="G37" s="277">
        <v>17.0</v>
      </c>
      <c r="H37" s="278">
        <v>17.0</v>
      </c>
      <c r="I37" s="278">
        <v>17.0</v>
      </c>
      <c r="J37" s="278">
        <v>17.0</v>
      </c>
      <c r="K37" s="278"/>
      <c r="L37" s="279"/>
      <c r="M37" s="279"/>
      <c r="N37" s="278"/>
      <c r="O37" s="278">
        <v>17.0</v>
      </c>
      <c r="P37" s="278">
        <v>17.0</v>
      </c>
      <c r="Q37" s="278">
        <v>17.0</v>
      </c>
      <c r="R37" s="278">
        <v>17.0</v>
      </c>
      <c r="S37" s="279"/>
      <c r="T37" s="279"/>
      <c r="U37" s="278"/>
      <c r="V37" s="278"/>
      <c r="W37" s="278"/>
      <c r="X37" s="278"/>
      <c r="Y37" s="278"/>
      <c r="Z37" s="279"/>
      <c r="AA37" s="279"/>
      <c r="AB37" s="278"/>
      <c r="AC37" s="278"/>
      <c r="AD37" s="278"/>
      <c r="AE37" s="278"/>
      <c r="AF37" s="278"/>
      <c r="AG37" s="279"/>
      <c r="AH37" s="279"/>
      <c r="AI37" s="243">
        <f t="shared" si="7"/>
        <v>8</v>
      </c>
      <c r="AJ37" s="249">
        <f t="shared" si="6"/>
        <v>136</v>
      </c>
      <c r="AK37" s="323" t="s">
        <v>207</v>
      </c>
      <c r="AL37" s="225"/>
    </row>
    <row r="38" ht="13.5" customHeight="1">
      <c r="A38" s="264">
        <v>28.0</v>
      </c>
      <c r="B38" s="281" t="s">
        <v>184</v>
      </c>
      <c r="C38" s="282">
        <v>1.0</v>
      </c>
      <c r="D38" s="274" t="s">
        <v>63</v>
      </c>
      <c r="E38" s="283" t="s">
        <v>105</v>
      </c>
      <c r="F38" s="284">
        <v>0.4</v>
      </c>
      <c r="G38" s="278"/>
      <c r="H38" s="278"/>
      <c r="I38" s="278"/>
      <c r="J38" s="278"/>
      <c r="K38" s="278"/>
      <c r="L38" s="279"/>
      <c r="M38" s="279"/>
      <c r="N38" s="278"/>
      <c r="O38" s="278"/>
      <c r="P38" s="278"/>
      <c r="Q38" s="278"/>
      <c r="R38" s="278"/>
      <c r="S38" s="279"/>
      <c r="T38" s="279"/>
      <c r="U38" s="278"/>
      <c r="V38" s="278"/>
      <c r="W38" s="278"/>
      <c r="X38" s="278"/>
      <c r="Y38" s="278"/>
      <c r="Z38" s="279"/>
      <c r="AA38" s="279"/>
      <c r="AB38" s="278"/>
      <c r="AC38" s="278"/>
      <c r="AD38" s="278"/>
      <c r="AE38" s="278"/>
      <c r="AF38" s="278"/>
      <c r="AG38" s="279"/>
      <c r="AH38" s="279"/>
      <c r="AI38" s="243">
        <f t="shared" si="7"/>
        <v>0</v>
      </c>
      <c r="AJ38" s="249">
        <f t="shared" si="6"/>
        <v>0</v>
      </c>
      <c r="AK38" s="323" t="s">
        <v>207</v>
      </c>
      <c r="AL38" s="225"/>
    </row>
    <row r="39" ht="16.5" customHeight="1">
      <c r="A39" s="245">
        <v>29.0</v>
      </c>
      <c r="B39" s="247" t="s">
        <v>109</v>
      </c>
      <c r="C39" s="265">
        <v>1.0</v>
      </c>
      <c r="D39" s="285" t="s">
        <v>131</v>
      </c>
      <c r="E39" s="239" t="s">
        <v>111</v>
      </c>
      <c r="F39" s="286" t="s">
        <v>26</v>
      </c>
      <c r="G39" s="236"/>
      <c r="H39" s="236"/>
      <c r="I39" s="236"/>
      <c r="J39" s="236"/>
      <c r="K39" s="236"/>
      <c r="L39" s="248"/>
      <c r="M39" s="248"/>
      <c r="N39" s="236"/>
      <c r="O39" s="236"/>
      <c r="P39" s="236"/>
      <c r="Q39" s="236"/>
      <c r="R39" s="236"/>
      <c r="S39" s="248">
        <v>12.0</v>
      </c>
      <c r="T39" s="248">
        <v>12.0</v>
      </c>
      <c r="U39" s="236">
        <v>12.0</v>
      </c>
      <c r="V39" s="236">
        <v>12.0</v>
      </c>
      <c r="W39" s="236">
        <v>12.0</v>
      </c>
      <c r="X39" s="236">
        <v>12.0</v>
      </c>
      <c r="Y39" s="236">
        <v>12.0</v>
      </c>
      <c r="Z39" s="248">
        <v>12.0</v>
      </c>
      <c r="AA39" s="248">
        <v>12.0</v>
      </c>
      <c r="AB39" s="236">
        <v>12.0</v>
      </c>
      <c r="AC39" s="236">
        <v>12.0</v>
      </c>
      <c r="AD39" s="236">
        <v>12.0</v>
      </c>
      <c r="AE39" s="236">
        <v>12.0</v>
      </c>
      <c r="AF39" s="236"/>
      <c r="AG39" s="248">
        <v>12.0</v>
      </c>
      <c r="AH39" s="248">
        <v>12.0</v>
      </c>
      <c r="AI39" s="243">
        <f t="shared" si="7"/>
        <v>15</v>
      </c>
      <c r="AJ39" s="249">
        <f t="shared" si="6"/>
        <v>180</v>
      </c>
      <c r="AK39" s="323" t="s">
        <v>207</v>
      </c>
      <c r="AL39" s="225"/>
    </row>
    <row r="40" ht="17.25" customHeight="1">
      <c r="A40" s="245">
        <v>30.0</v>
      </c>
      <c r="B40" s="246" t="s">
        <v>135</v>
      </c>
      <c r="C40" s="265">
        <v>1.0</v>
      </c>
      <c r="D40" s="263" t="s">
        <v>228</v>
      </c>
      <c r="E40" s="239" t="s">
        <v>111</v>
      </c>
      <c r="F40" s="286" t="s">
        <v>26</v>
      </c>
      <c r="G40" s="236">
        <v>12.0</v>
      </c>
      <c r="H40" s="236">
        <v>18.0</v>
      </c>
      <c r="I40" s="236">
        <v>12.0</v>
      </c>
      <c r="J40" s="236">
        <v>12.0</v>
      </c>
      <c r="K40" s="236">
        <v>18.0</v>
      </c>
      <c r="L40" s="248">
        <v>12.0</v>
      </c>
      <c r="M40" s="248"/>
      <c r="N40" s="236">
        <v>12.0</v>
      </c>
      <c r="O40" s="236">
        <v>12.0</v>
      </c>
      <c r="P40" s="236">
        <v>12.0</v>
      </c>
      <c r="Q40" s="236">
        <v>12.0</v>
      </c>
      <c r="R40" s="236">
        <v>12.0</v>
      </c>
      <c r="S40" s="248">
        <v>12.0</v>
      </c>
      <c r="T40" s="248"/>
      <c r="U40" s="236"/>
      <c r="V40" s="236">
        <v>12.0</v>
      </c>
      <c r="W40" s="236">
        <v>12.0</v>
      </c>
      <c r="X40" s="236">
        <v>12.0</v>
      </c>
      <c r="Y40" s="236">
        <v>12.0</v>
      </c>
      <c r="Z40" s="248">
        <v>12.0</v>
      </c>
      <c r="AA40" s="248">
        <v>12.0</v>
      </c>
      <c r="AB40" s="236">
        <v>12.0</v>
      </c>
      <c r="AC40" s="236"/>
      <c r="AD40" s="236">
        <v>12.0</v>
      </c>
      <c r="AE40" s="236">
        <v>12.0</v>
      </c>
      <c r="AF40" s="236">
        <v>12.0</v>
      </c>
      <c r="AG40" s="248">
        <v>12.0</v>
      </c>
      <c r="AH40" s="248">
        <v>12.0</v>
      </c>
      <c r="AI40" s="243">
        <f t="shared" si="7"/>
        <v>24</v>
      </c>
      <c r="AJ40" s="249">
        <f t="shared" si="6"/>
        <v>300</v>
      </c>
      <c r="AK40" s="323" t="s">
        <v>207</v>
      </c>
      <c r="AL40" s="225"/>
    </row>
    <row r="41" ht="20.25" customHeight="1">
      <c r="A41" s="245">
        <v>31.0</v>
      </c>
      <c r="B41" s="246" t="s">
        <v>135</v>
      </c>
      <c r="C41" s="265">
        <v>1.0</v>
      </c>
      <c r="D41" s="263" t="s">
        <v>187</v>
      </c>
      <c r="E41" s="239" t="s">
        <v>73</v>
      </c>
      <c r="F41" s="288" t="s">
        <v>26</v>
      </c>
      <c r="G41" s="236">
        <v>12.0</v>
      </c>
      <c r="H41" s="236">
        <v>12.0</v>
      </c>
      <c r="I41" s="236"/>
      <c r="J41" s="236"/>
      <c r="K41" s="236">
        <v>18.0</v>
      </c>
      <c r="L41" s="248">
        <v>12.0</v>
      </c>
      <c r="M41" s="248"/>
      <c r="N41" s="236">
        <v>12.0</v>
      </c>
      <c r="O41" s="236">
        <v>12.0</v>
      </c>
      <c r="P41" s="236">
        <v>12.0</v>
      </c>
      <c r="Q41" s="236">
        <v>12.0</v>
      </c>
      <c r="R41" s="236">
        <v>12.0</v>
      </c>
      <c r="S41" s="248">
        <v>12.0</v>
      </c>
      <c r="T41" s="248">
        <v>12.0</v>
      </c>
      <c r="U41" s="236">
        <v>12.0</v>
      </c>
      <c r="V41" s="236">
        <v>12.0</v>
      </c>
      <c r="W41" s="236">
        <v>12.0</v>
      </c>
      <c r="X41" s="236">
        <v>12.0</v>
      </c>
      <c r="Y41" s="236"/>
      <c r="Z41" s="248">
        <v>12.0</v>
      </c>
      <c r="AA41" s="248">
        <v>12.0</v>
      </c>
      <c r="AB41" s="236">
        <v>12.0</v>
      </c>
      <c r="AC41" s="236">
        <v>12.0</v>
      </c>
      <c r="AD41" s="236">
        <v>12.0</v>
      </c>
      <c r="AE41" s="236">
        <v>12.0</v>
      </c>
      <c r="AF41" s="236">
        <v>12.0</v>
      </c>
      <c r="AG41" s="248">
        <v>12.0</v>
      </c>
      <c r="AH41" s="248"/>
      <c r="AI41" s="243">
        <f t="shared" si="7"/>
        <v>23</v>
      </c>
      <c r="AJ41" s="249">
        <f t="shared" si="6"/>
        <v>282</v>
      </c>
      <c r="AK41" s="323" t="s">
        <v>207</v>
      </c>
      <c r="AL41" s="225"/>
    </row>
    <row r="42" ht="21.0" customHeight="1">
      <c r="A42" s="290">
        <v>30.0</v>
      </c>
      <c r="B42" s="291" t="s">
        <v>142</v>
      </c>
      <c r="C42" s="282">
        <v>1.0</v>
      </c>
      <c r="D42" s="292"/>
      <c r="E42" s="282" t="s">
        <v>125</v>
      </c>
      <c r="F42" s="293"/>
      <c r="G42" s="236"/>
      <c r="H42" s="236"/>
      <c r="I42" s="236"/>
      <c r="J42" s="236"/>
      <c r="K42" s="236"/>
      <c r="L42" s="248"/>
      <c r="M42" s="248"/>
      <c r="N42" s="236"/>
      <c r="O42" s="236"/>
      <c r="P42" s="236"/>
      <c r="Q42" s="236"/>
      <c r="R42" s="236"/>
      <c r="S42" s="248"/>
      <c r="T42" s="248"/>
      <c r="U42" s="236"/>
      <c r="V42" s="236"/>
      <c r="W42" s="236"/>
      <c r="X42" s="236"/>
      <c r="Y42" s="236"/>
      <c r="Z42" s="248"/>
      <c r="AA42" s="248"/>
      <c r="AB42" s="236"/>
      <c r="AC42" s="236"/>
      <c r="AD42" s="236"/>
      <c r="AE42" s="236"/>
      <c r="AF42" s="236"/>
      <c r="AG42" s="248"/>
      <c r="AH42" s="248"/>
      <c r="AI42" s="243">
        <f t="shared" si="7"/>
        <v>0</v>
      </c>
      <c r="AJ42" s="249">
        <f t="shared" si="6"/>
        <v>0</v>
      </c>
      <c r="AK42" s="323" t="s">
        <v>207</v>
      </c>
      <c r="AL42" s="225"/>
    </row>
    <row r="43" ht="21.0" customHeight="1">
      <c r="A43" s="17"/>
      <c r="B43" s="17"/>
      <c r="C43" s="17"/>
      <c r="D43" s="17"/>
      <c r="E43" s="283" t="s">
        <v>127</v>
      </c>
      <c r="F43" s="17"/>
      <c r="G43" s="236"/>
      <c r="H43" s="236"/>
      <c r="I43" s="236"/>
      <c r="J43" s="236"/>
      <c r="K43" s="236"/>
      <c r="L43" s="248"/>
      <c r="M43" s="248"/>
      <c r="N43" s="236"/>
      <c r="O43" s="236"/>
      <c r="P43" s="236"/>
      <c r="Q43" s="236"/>
      <c r="R43" s="236"/>
      <c r="S43" s="248"/>
      <c r="T43" s="248"/>
      <c r="U43" s="236"/>
      <c r="V43" s="236"/>
      <c r="W43" s="236"/>
      <c r="X43" s="236"/>
      <c r="Y43" s="236"/>
      <c r="Z43" s="248"/>
      <c r="AA43" s="248"/>
      <c r="AB43" s="236"/>
      <c r="AC43" s="236"/>
      <c r="AD43" s="236"/>
      <c r="AE43" s="236"/>
      <c r="AF43" s="236"/>
      <c r="AG43" s="248"/>
      <c r="AH43" s="248"/>
      <c r="AI43" s="243">
        <f t="shared" si="7"/>
        <v>0</v>
      </c>
      <c r="AJ43" s="249">
        <f t="shared" si="6"/>
        <v>0</v>
      </c>
      <c r="AK43" s="323" t="s">
        <v>207</v>
      </c>
      <c r="AL43" s="225"/>
    </row>
    <row r="44" ht="15.0" customHeight="1">
      <c r="A44" s="290">
        <v>31.0</v>
      </c>
      <c r="B44" s="246" t="s">
        <v>229</v>
      </c>
      <c r="C44" s="384">
        <v>1.0</v>
      </c>
      <c r="D44" s="300" t="s">
        <v>254</v>
      </c>
      <c r="E44" s="239" t="s">
        <v>133</v>
      </c>
      <c r="F44" s="299"/>
      <c r="G44" s="236"/>
      <c r="H44" s="236"/>
      <c r="I44" s="236"/>
      <c r="J44" s="236"/>
      <c r="K44" s="236"/>
      <c r="L44" s="248"/>
      <c r="M44" s="248"/>
      <c r="N44" s="236"/>
      <c r="O44" s="236"/>
      <c r="P44" s="236"/>
      <c r="Q44" s="236"/>
      <c r="R44" s="236"/>
      <c r="S44" s="248"/>
      <c r="T44" s="248"/>
      <c r="U44" s="236"/>
      <c r="V44" s="236"/>
      <c r="W44" s="236"/>
      <c r="X44" s="236"/>
      <c r="Y44" s="236"/>
      <c r="Z44" s="248"/>
      <c r="AA44" s="248"/>
      <c r="AB44" s="236"/>
      <c r="AC44" s="236"/>
      <c r="AD44" s="236"/>
      <c r="AE44" s="236">
        <v>12.0</v>
      </c>
      <c r="AF44" s="236">
        <v>12.0</v>
      </c>
      <c r="AG44" s="248">
        <v>12.0</v>
      </c>
      <c r="AH44" s="248">
        <v>12.0</v>
      </c>
      <c r="AI44" s="243">
        <f t="shared" si="7"/>
        <v>4</v>
      </c>
      <c r="AJ44" s="249">
        <f t="shared" si="6"/>
        <v>48</v>
      </c>
      <c r="AK44" s="323"/>
      <c r="AL44" s="225"/>
    </row>
    <row r="45" ht="25.5" customHeight="1">
      <c r="A45" s="17"/>
      <c r="B45" s="246" t="s">
        <v>229</v>
      </c>
      <c r="C45" s="384">
        <v>1.0</v>
      </c>
      <c r="D45" s="300" t="s">
        <v>230</v>
      </c>
      <c r="E45" s="239" t="s">
        <v>133</v>
      </c>
      <c r="F45" s="299"/>
      <c r="G45" s="236"/>
      <c r="H45" s="236"/>
      <c r="I45" s="236"/>
      <c r="J45" s="236"/>
      <c r="K45" s="236"/>
      <c r="L45" s="248"/>
      <c r="M45" s="248"/>
      <c r="N45" s="236"/>
      <c r="O45" s="236"/>
      <c r="P45" s="236"/>
      <c r="Q45" s="236"/>
      <c r="R45" s="236"/>
      <c r="S45" s="248"/>
      <c r="T45" s="248"/>
      <c r="U45" s="236"/>
      <c r="V45" s="236"/>
      <c r="W45" s="236"/>
      <c r="X45" s="236"/>
      <c r="Y45" s="236"/>
      <c r="Z45" s="248"/>
      <c r="AA45" s="248"/>
      <c r="AB45" s="236"/>
      <c r="AC45" s="236"/>
      <c r="AD45" s="236"/>
      <c r="AE45" s="236">
        <v>12.0</v>
      </c>
      <c r="AF45" s="236">
        <v>12.0</v>
      </c>
      <c r="AG45" s="248">
        <v>12.0</v>
      </c>
      <c r="AH45" s="248">
        <v>12.0</v>
      </c>
      <c r="AI45" s="243">
        <f t="shared" si="7"/>
        <v>4</v>
      </c>
      <c r="AJ45" s="249">
        <f t="shared" si="6"/>
        <v>48</v>
      </c>
      <c r="AK45" s="323"/>
      <c r="AL45" s="225"/>
    </row>
    <row r="46" ht="19.5" customHeight="1">
      <c r="A46" s="245">
        <v>31.0</v>
      </c>
      <c r="B46" s="246" t="s">
        <v>229</v>
      </c>
      <c r="C46" s="298"/>
      <c r="D46" s="300" t="s">
        <v>233</v>
      </c>
      <c r="E46" s="239" t="s">
        <v>133</v>
      </c>
      <c r="F46" s="288" t="s">
        <v>26</v>
      </c>
      <c r="G46" s="236">
        <v>12.0</v>
      </c>
      <c r="H46" s="236">
        <v>12.0</v>
      </c>
      <c r="I46" s="236">
        <v>12.0</v>
      </c>
      <c r="J46" s="236">
        <v>12.0</v>
      </c>
      <c r="K46" s="236">
        <v>12.0</v>
      </c>
      <c r="L46" s="248">
        <v>12.0</v>
      </c>
      <c r="M46" s="248"/>
      <c r="N46" s="236"/>
      <c r="O46" s="236">
        <v>12.0</v>
      </c>
      <c r="P46" s="236">
        <v>12.0</v>
      </c>
      <c r="Q46" s="236">
        <v>12.0</v>
      </c>
      <c r="R46" s="236">
        <v>12.0</v>
      </c>
      <c r="S46" s="248">
        <v>12.0</v>
      </c>
      <c r="T46" s="248"/>
      <c r="U46" s="236"/>
      <c r="V46" s="236">
        <v>12.0</v>
      </c>
      <c r="W46" s="236">
        <v>12.0</v>
      </c>
      <c r="X46" s="236">
        <v>12.0</v>
      </c>
      <c r="Y46" s="236">
        <v>12.0</v>
      </c>
      <c r="Z46" s="248">
        <v>12.0</v>
      </c>
      <c r="AA46" s="248"/>
      <c r="AB46" s="236"/>
      <c r="AC46" s="236">
        <v>12.0</v>
      </c>
      <c r="AD46" s="236"/>
      <c r="AE46" s="236"/>
      <c r="AF46" s="236"/>
      <c r="AG46" s="248"/>
      <c r="AH46" s="248"/>
      <c r="AI46" s="243">
        <f t="shared" si="7"/>
        <v>17</v>
      </c>
      <c r="AJ46" s="249">
        <f t="shared" si="6"/>
        <v>204</v>
      </c>
      <c r="AK46" s="323" t="s">
        <v>255</v>
      </c>
      <c r="AL46" s="225"/>
    </row>
    <row r="47" ht="19.5" customHeight="1">
      <c r="A47" s="245">
        <v>32.0</v>
      </c>
      <c r="B47" s="246" t="s">
        <v>213</v>
      </c>
      <c r="C47" s="384">
        <v>1.0</v>
      </c>
      <c r="D47" s="300" t="s">
        <v>256</v>
      </c>
      <c r="E47" s="239" t="s">
        <v>133</v>
      </c>
      <c r="F47" s="288" t="s">
        <v>26</v>
      </c>
      <c r="G47" s="236"/>
      <c r="H47" s="236"/>
      <c r="I47" s="236"/>
      <c r="J47" s="236"/>
      <c r="K47" s="236"/>
      <c r="L47" s="248"/>
      <c r="M47" s="248">
        <v>12.0</v>
      </c>
      <c r="N47" s="236">
        <v>12.0</v>
      </c>
      <c r="O47" s="236"/>
      <c r="P47" s="236"/>
      <c r="Q47" s="236"/>
      <c r="R47" s="236"/>
      <c r="S47" s="248"/>
      <c r="T47" s="248">
        <v>12.0</v>
      </c>
      <c r="U47" s="236">
        <v>12.0</v>
      </c>
      <c r="V47" s="236"/>
      <c r="W47" s="236"/>
      <c r="X47" s="236"/>
      <c r="Y47" s="236"/>
      <c r="Z47" s="248"/>
      <c r="AA47" s="248">
        <v>12.0</v>
      </c>
      <c r="AB47" s="236">
        <v>12.0</v>
      </c>
      <c r="AC47" s="236"/>
      <c r="AD47" s="236"/>
      <c r="AE47" s="236"/>
      <c r="AF47" s="236"/>
      <c r="AG47" s="248"/>
      <c r="AH47" s="248">
        <v>12.0</v>
      </c>
      <c r="AI47" s="243">
        <f t="shared" si="7"/>
        <v>7</v>
      </c>
      <c r="AJ47" s="249">
        <f t="shared" si="6"/>
        <v>84</v>
      </c>
      <c r="AK47" s="323" t="s">
        <v>255</v>
      </c>
      <c r="AL47" s="225"/>
    </row>
    <row r="48" ht="18.75" customHeight="1">
      <c r="A48" s="245">
        <v>33.0</v>
      </c>
      <c r="B48" s="246" t="s">
        <v>144</v>
      </c>
      <c r="C48" s="239">
        <v>1.0</v>
      </c>
      <c r="D48" s="285" t="s">
        <v>259</v>
      </c>
      <c r="E48" s="239" t="s">
        <v>133</v>
      </c>
      <c r="F48" s="288" t="s">
        <v>26</v>
      </c>
      <c r="G48" s="236"/>
      <c r="H48" s="236"/>
      <c r="I48" s="236"/>
      <c r="J48" s="236"/>
      <c r="K48" s="236"/>
      <c r="L48" s="248">
        <v>12.0</v>
      </c>
      <c r="M48" s="248">
        <v>12.0</v>
      </c>
      <c r="N48" s="236">
        <v>12.0</v>
      </c>
      <c r="O48" s="236"/>
      <c r="P48" s="236"/>
      <c r="Q48" s="236"/>
      <c r="R48" s="236"/>
      <c r="S48" s="248">
        <v>12.0</v>
      </c>
      <c r="T48" s="248">
        <v>12.0</v>
      </c>
      <c r="U48" s="236">
        <v>12.0</v>
      </c>
      <c r="V48" s="236"/>
      <c r="W48" s="236"/>
      <c r="X48" s="236"/>
      <c r="Y48" s="236"/>
      <c r="Z48" s="248">
        <v>12.0</v>
      </c>
      <c r="AA48" s="248">
        <v>12.0</v>
      </c>
      <c r="AB48" s="236">
        <v>12.0</v>
      </c>
      <c r="AC48" s="236"/>
      <c r="AD48" s="236"/>
      <c r="AE48" s="236"/>
      <c r="AF48" s="236"/>
      <c r="AG48" s="248">
        <v>12.0</v>
      </c>
      <c r="AH48" s="248">
        <v>12.0</v>
      </c>
      <c r="AI48" s="243">
        <f t="shared" si="7"/>
        <v>11</v>
      </c>
      <c r="AJ48" s="249">
        <f t="shared" si="6"/>
        <v>132</v>
      </c>
      <c r="AK48" s="323" t="s">
        <v>255</v>
      </c>
      <c r="AL48" s="225"/>
    </row>
    <row r="49" ht="18.75" customHeight="1">
      <c r="A49" s="245">
        <v>34.0</v>
      </c>
      <c r="B49" s="246" t="s">
        <v>136</v>
      </c>
      <c r="C49" s="239">
        <v>1.0</v>
      </c>
      <c r="D49" s="285" t="s">
        <v>114</v>
      </c>
      <c r="E49" s="238" t="s">
        <v>138</v>
      </c>
      <c r="F49" s="240" t="s">
        <v>26</v>
      </c>
      <c r="G49" s="236"/>
      <c r="H49" s="236"/>
      <c r="I49" s="236"/>
      <c r="J49" s="236"/>
      <c r="K49" s="236"/>
      <c r="L49" s="248"/>
      <c r="M49" s="248"/>
      <c r="N49" s="236"/>
      <c r="O49" s="236"/>
      <c r="P49" s="236"/>
      <c r="Q49" s="236"/>
      <c r="R49" s="236"/>
      <c r="S49" s="248"/>
      <c r="T49" s="248">
        <v>11.0</v>
      </c>
      <c r="U49" s="236">
        <v>11.0</v>
      </c>
      <c r="V49" s="236">
        <v>11.0</v>
      </c>
      <c r="W49" s="236">
        <v>11.0</v>
      </c>
      <c r="X49" s="236">
        <v>11.0</v>
      </c>
      <c r="Y49" s="236"/>
      <c r="Z49" s="248">
        <v>11.0</v>
      </c>
      <c r="AA49" s="248">
        <v>11.0</v>
      </c>
      <c r="AB49" s="236">
        <v>11.0</v>
      </c>
      <c r="AC49" s="236">
        <v>11.0</v>
      </c>
      <c r="AD49" s="236">
        <v>11.0</v>
      </c>
      <c r="AE49" s="236">
        <v>11.0</v>
      </c>
      <c r="AF49" s="236">
        <v>11.0</v>
      </c>
      <c r="AG49" s="248">
        <v>11.0</v>
      </c>
      <c r="AH49" s="248">
        <v>11.0</v>
      </c>
      <c r="AI49" s="243">
        <f t="shared" si="7"/>
        <v>14</v>
      </c>
      <c r="AJ49" s="249">
        <f t="shared" si="6"/>
        <v>154</v>
      </c>
      <c r="AK49" s="323"/>
      <c r="AL49" s="225"/>
    </row>
    <row r="50" ht="19.5" customHeight="1">
      <c r="A50" s="245">
        <v>35.0</v>
      </c>
      <c r="B50" s="246" t="s">
        <v>136</v>
      </c>
      <c r="C50" s="239">
        <v>1.0</v>
      </c>
      <c r="D50" s="285" t="s">
        <v>145</v>
      </c>
      <c r="E50" s="238" t="s">
        <v>138</v>
      </c>
      <c r="F50" s="240" t="s">
        <v>26</v>
      </c>
      <c r="G50" s="236"/>
      <c r="H50" s="236">
        <v>11.0</v>
      </c>
      <c r="I50" s="236">
        <v>11.0</v>
      </c>
      <c r="J50" s="236"/>
      <c r="K50" s="236">
        <v>11.0</v>
      </c>
      <c r="L50" s="248">
        <v>11.0</v>
      </c>
      <c r="M50" s="248"/>
      <c r="N50" s="236">
        <v>11.0</v>
      </c>
      <c r="O50" s="236">
        <v>11.0</v>
      </c>
      <c r="P50" s="236"/>
      <c r="Q50" s="236">
        <v>11.0</v>
      </c>
      <c r="R50" s="236">
        <v>11.0</v>
      </c>
      <c r="S50" s="248"/>
      <c r="T50" s="248"/>
      <c r="U50" s="236"/>
      <c r="V50" s="236"/>
      <c r="W50" s="236"/>
      <c r="X50" s="236"/>
      <c r="Y50" s="236"/>
      <c r="Z50" s="248"/>
      <c r="AA50" s="248"/>
      <c r="AB50" s="236"/>
      <c r="AC50" s="236"/>
      <c r="AD50" s="236"/>
      <c r="AE50" s="236"/>
      <c r="AF50" s="236"/>
      <c r="AG50" s="248"/>
      <c r="AH50" s="248"/>
      <c r="AI50" s="243">
        <f t="shared" si="7"/>
        <v>8</v>
      </c>
      <c r="AJ50" s="249">
        <f t="shared" si="6"/>
        <v>88</v>
      </c>
      <c r="AK50" s="323" t="s">
        <v>207</v>
      </c>
      <c r="AL50" s="225"/>
    </row>
    <row r="51" ht="13.5" customHeight="1">
      <c r="A51" s="234"/>
      <c r="B51" s="233" t="s">
        <v>140</v>
      </c>
      <c r="C51" s="234"/>
      <c r="D51" s="233" t="s">
        <v>140</v>
      </c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34"/>
      <c r="AJ51" s="255"/>
      <c r="AK51" s="323"/>
      <c r="AL51" s="225"/>
    </row>
    <row r="52" ht="13.5" customHeight="1">
      <c r="A52" s="245">
        <v>30.0</v>
      </c>
      <c r="B52" s="246" t="s">
        <v>140</v>
      </c>
      <c r="C52" s="239">
        <v>1.0</v>
      </c>
      <c r="D52" s="285" t="s">
        <v>153</v>
      </c>
      <c r="E52" s="303" t="s">
        <v>51</v>
      </c>
      <c r="F52" s="240" t="s">
        <v>85</v>
      </c>
      <c r="G52" s="236"/>
      <c r="H52" s="236">
        <v>24.0</v>
      </c>
      <c r="I52" s="236"/>
      <c r="J52" s="236"/>
      <c r="K52" s="236">
        <v>24.0</v>
      </c>
      <c r="L52" s="248"/>
      <c r="M52" s="248"/>
      <c r="N52" s="236">
        <v>24.0</v>
      </c>
      <c r="O52" s="236"/>
      <c r="P52" s="236"/>
      <c r="Q52" s="236">
        <v>24.0</v>
      </c>
      <c r="R52" s="236"/>
      <c r="S52" s="248"/>
      <c r="T52" s="248">
        <v>24.0</v>
      </c>
      <c r="U52" s="236"/>
      <c r="V52" s="236"/>
      <c r="W52" s="236">
        <v>24.0</v>
      </c>
      <c r="X52" s="236"/>
      <c r="Y52" s="236"/>
      <c r="Z52" s="248">
        <v>24.0</v>
      </c>
      <c r="AA52" s="248"/>
      <c r="AB52" s="236"/>
      <c r="AC52" s="236">
        <v>24.0</v>
      </c>
      <c r="AD52" s="236"/>
      <c r="AE52" s="236"/>
      <c r="AF52" s="236">
        <v>24.0</v>
      </c>
      <c r="AG52" s="248"/>
      <c r="AH52" s="248"/>
      <c r="AI52" s="243">
        <f t="shared" ref="AI52:AI55" si="8">COUNTA(G52:AH52)</f>
        <v>9</v>
      </c>
      <c r="AJ52" s="249">
        <v>240.0</v>
      </c>
      <c r="AK52" s="323"/>
      <c r="AL52" s="225"/>
    </row>
    <row r="53" ht="13.5" customHeight="1">
      <c r="A53" s="245">
        <v>31.0</v>
      </c>
      <c r="B53" s="246" t="s">
        <v>140</v>
      </c>
      <c r="C53" s="239">
        <v>1.0</v>
      </c>
      <c r="D53" s="285" t="s">
        <v>145</v>
      </c>
      <c r="E53" s="303" t="s">
        <v>51</v>
      </c>
      <c r="F53" s="240" t="s">
        <v>85</v>
      </c>
      <c r="G53" s="236">
        <v>24.0</v>
      </c>
      <c r="H53" s="236"/>
      <c r="I53" s="236"/>
      <c r="J53" s="236">
        <v>24.0</v>
      </c>
      <c r="K53" s="236"/>
      <c r="L53" s="248"/>
      <c r="M53" s="248">
        <v>24.0</v>
      </c>
      <c r="N53" s="236"/>
      <c r="O53" s="236"/>
      <c r="P53" s="236">
        <v>24.0</v>
      </c>
      <c r="Q53" s="236"/>
      <c r="R53" s="236"/>
      <c r="S53" s="248"/>
      <c r="T53" s="248"/>
      <c r="U53" s="236"/>
      <c r="V53" s="236"/>
      <c r="W53" s="236"/>
      <c r="X53" s="236"/>
      <c r="Y53" s="236"/>
      <c r="Z53" s="248"/>
      <c r="AA53" s="248"/>
      <c r="AB53" s="236"/>
      <c r="AC53" s="236"/>
      <c r="AD53" s="236"/>
      <c r="AE53" s="236"/>
      <c r="AF53" s="236"/>
      <c r="AG53" s="248"/>
      <c r="AH53" s="248"/>
      <c r="AI53" s="243">
        <f t="shared" si="8"/>
        <v>4</v>
      </c>
      <c r="AJ53" s="249">
        <v>240.0</v>
      </c>
      <c r="AK53" s="323"/>
      <c r="AL53" s="225"/>
    </row>
    <row r="54" ht="13.5" customHeight="1">
      <c r="A54" s="245">
        <v>32.0</v>
      </c>
      <c r="B54" s="246" t="s">
        <v>140</v>
      </c>
      <c r="C54" s="239">
        <v>1.0</v>
      </c>
      <c r="D54" s="285" t="s">
        <v>114</v>
      </c>
      <c r="E54" s="303" t="s">
        <v>51</v>
      </c>
      <c r="F54" s="240" t="s">
        <v>85</v>
      </c>
      <c r="G54" s="236"/>
      <c r="H54" s="236"/>
      <c r="I54" s="236"/>
      <c r="J54" s="236"/>
      <c r="K54" s="236"/>
      <c r="L54" s="248"/>
      <c r="M54" s="248"/>
      <c r="N54" s="236"/>
      <c r="O54" s="236"/>
      <c r="P54" s="236"/>
      <c r="Q54" s="236"/>
      <c r="R54" s="236"/>
      <c r="S54" s="248">
        <v>24.0</v>
      </c>
      <c r="T54" s="248"/>
      <c r="U54" s="236"/>
      <c r="V54" s="236">
        <v>24.0</v>
      </c>
      <c r="W54" s="236"/>
      <c r="X54" s="236"/>
      <c r="Y54" s="236">
        <v>24.0</v>
      </c>
      <c r="Z54" s="248"/>
      <c r="AA54" s="248"/>
      <c r="AB54" s="236">
        <v>24.0</v>
      </c>
      <c r="AC54" s="236"/>
      <c r="AD54" s="236"/>
      <c r="AE54" s="236">
        <v>24.0</v>
      </c>
      <c r="AF54" s="236"/>
      <c r="AG54" s="248"/>
      <c r="AH54" s="248">
        <v>24.0</v>
      </c>
      <c r="AI54" s="243">
        <f t="shared" si="8"/>
        <v>6</v>
      </c>
      <c r="AJ54" s="249"/>
      <c r="AK54" s="323"/>
      <c r="AL54" s="225"/>
    </row>
    <row r="55" ht="13.5" customHeight="1">
      <c r="A55" s="245">
        <v>33.0</v>
      </c>
      <c r="B55" s="246" t="s">
        <v>140</v>
      </c>
      <c r="C55" s="239">
        <v>1.0</v>
      </c>
      <c r="D55" s="285" t="s">
        <v>150</v>
      </c>
      <c r="E55" s="303" t="s">
        <v>51</v>
      </c>
      <c r="F55" s="240" t="s">
        <v>85</v>
      </c>
      <c r="G55" s="236"/>
      <c r="H55" s="236"/>
      <c r="I55" s="236">
        <v>24.0</v>
      </c>
      <c r="J55" s="236"/>
      <c r="K55" s="236"/>
      <c r="L55" s="248">
        <v>24.0</v>
      </c>
      <c r="M55" s="248"/>
      <c r="N55" s="236"/>
      <c r="O55" s="236">
        <v>24.0</v>
      </c>
      <c r="P55" s="236"/>
      <c r="Q55" s="236"/>
      <c r="R55" s="236">
        <v>24.0</v>
      </c>
      <c r="S55" s="248"/>
      <c r="T55" s="248"/>
      <c r="U55" s="236">
        <v>24.0</v>
      </c>
      <c r="V55" s="236"/>
      <c r="W55" s="236"/>
      <c r="X55" s="236">
        <v>24.0</v>
      </c>
      <c r="Y55" s="236"/>
      <c r="Z55" s="248"/>
      <c r="AA55" s="248">
        <v>24.0</v>
      </c>
      <c r="AB55" s="236"/>
      <c r="AC55" s="236"/>
      <c r="AD55" s="236">
        <v>24.0</v>
      </c>
      <c r="AE55" s="236"/>
      <c r="AF55" s="236"/>
      <c r="AG55" s="248">
        <v>24.0</v>
      </c>
      <c r="AH55" s="248"/>
      <c r="AI55" s="243">
        <f t="shared" si="8"/>
        <v>9</v>
      </c>
      <c r="AJ55" s="249">
        <v>264.0</v>
      </c>
      <c r="AK55" s="323"/>
      <c r="AL55" s="225"/>
    </row>
    <row r="56" ht="13.5" customHeight="1">
      <c r="A56" s="304"/>
      <c r="B56" s="305" t="s">
        <v>151</v>
      </c>
      <c r="C56" s="306">
        <v>33.0</v>
      </c>
      <c r="D56" s="305" t="s">
        <v>152</v>
      </c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6"/>
      <c r="AE56" s="306"/>
      <c r="AF56" s="306"/>
      <c r="AG56" s="306"/>
      <c r="AH56" s="306"/>
      <c r="AI56" s="234"/>
      <c r="AJ56" s="255"/>
      <c r="AK56" s="323"/>
      <c r="AL56" s="225"/>
    </row>
    <row r="57" ht="13.5" customHeight="1">
      <c r="A57" s="304"/>
      <c r="B57" s="307" t="s">
        <v>154</v>
      </c>
      <c r="C57" s="147"/>
      <c r="D57" s="147"/>
      <c r="E57" s="147"/>
      <c r="F57" s="148"/>
      <c r="G57" s="306" t="s">
        <v>155</v>
      </c>
      <c r="H57" s="306" t="s">
        <v>155</v>
      </c>
      <c r="I57" s="306" t="s">
        <v>155</v>
      </c>
      <c r="J57" s="306" t="s">
        <v>155</v>
      </c>
      <c r="K57" s="306" t="s">
        <v>155</v>
      </c>
      <c r="L57" s="306" t="s">
        <v>155</v>
      </c>
      <c r="M57" s="306" t="s">
        <v>155</v>
      </c>
      <c r="N57" s="306" t="s">
        <v>155</v>
      </c>
      <c r="O57" s="306" t="s">
        <v>155</v>
      </c>
      <c r="P57" s="306" t="s">
        <v>155</v>
      </c>
      <c r="Q57" s="306" t="s">
        <v>155</v>
      </c>
      <c r="R57" s="306" t="s">
        <v>155</v>
      </c>
      <c r="S57" s="306" t="s">
        <v>155</v>
      </c>
      <c r="T57" s="306" t="s">
        <v>155</v>
      </c>
      <c r="U57" s="306" t="s">
        <v>155</v>
      </c>
      <c r="V57" s="306" t="s">
        <v>155</v>
      </c>
      <c r="W57" s="306" t="s">
        <v>155</v>
      </c>
      <c r="X57" s="306" t="s">
        <v>155</v>
      </c>
      <c r="Y57" s="306" t="s">
        <v>155</v>
      </c>
      <c r="Z57" s="306" t="s">
        <v>155</v>
      </c>
      <c r="AA57" s="306" t="s">
        <v>155</v>
      </c>
      <c r="AB57" s="306"/>
      <c r="AC57" s="306"/>
      <c r="AD57" s="306" t="s">
        <v>155</v>
      </c>
      <c r="AE57" s="306" t="s">
        <v>155</v>
      </c>
      <c r="AF57" s="306" t="s">
        <v>155</v>
      </c>
      <c r="AG57" s="306" t="s">
        <v>155</v>
      </c>
      <c r="AH57" s="306"/>
      <c r="AI57" s="234"/>
      <c r="AJ57" s="255"/>
      <c r="AK57" s="323"/>
      <c r="AL57" s="225"/>
    </row>
    <row r="58" ht="13.5" customHeight="1">
      <c r="A58" s="304"/>
      <c r="B58" s="307" t="s">
        <v>156</v>
      </c>
      <c r="C58" s="147"/>
      <c r="D58" s="147"/>
      <c r="E58" s="147"/>
      <c r="F58" s="148"/>
      <c r="G58" s="306">
        <f t="shared" ref="G58:AA58" si="9">COUNTA(#REF!,#REF!,#REF!,#REF!,#REF!)</f>
        <v>5</v>
      </c>
      <c r="H58" s="306">
        <f t="shared" si="9"/>
        <v>5</v>
      </c>
      <c r="I58" s="306">
        <f t="shared" si="9"/>
        <v>5</v>
      </c>
      <c r="J58" s="306">
        <f t="shared" si="9"/>
        <v>5</v>
      </c>
      <c r="K58" s="306">
        <f t="shared" si="9"/>
        <v>5</v>
      </c>
      <c r="L58" s="306">
        <f t="shared" si="9"/>
        <v>5</v>
      </c>
      <c r="M58" s="306">
        <f t="shared" si="9"/>
        <v>5</v>
      </c>
      <c r="N58" s="306">
        <f t="shared" si="9"/>
        <v>5</v>
      </c>
      <c r="O58" s="306">
        <f t="shared" si="9"/>
        <v>5</v>
      </c>
      <c r="P58" s="306">
        <f t="shared" si="9"/>
        <v>5</v>
      </c>
      <c r="Q58" s="306">
        <f t="shared" si="9"/>
        <v>5</v>
      </c>
      <c r="R58" s="306">
        <f t="shared" si="9"/>
        <v>5</v>
      </c>
      <c r="S58" s="306">
        <f t="shared" si="9"/>
        <v>5</v>
      </c>
      <c r="T58" s="306">
        <f t="shared" si="9"/>
        <v>5</v>
      </c>
      <c r="U58" s="306">
        <f t="shared" si="9"/>
        <v>5</v>
      </c>
      <c r="V58" s="306">
        <f t="shared" si="9"/>
        <v>5</v>
      </c>
      <c r="W58" s="306">
        <f t="shared" si="9"/>
        <v>5</v>
      </c>
      <c r="X58" s="306">
        <f t="shared" si="9"/>
        <v>5</v>
      </c>
      <c r="Y58" s="306">
        <f t="shared" si="9"/>
        <v>5</v>
      </c>
      <c r="Z58" s="306">
        <f t="shared" si="9"/>
        <v>5</v>
      </c>
      <c r="AA58" s="306">
        <f t="shared" si="9"/>
        <v>5</v>
      </c>
      <c r="AB58" s="306"/>
      <c r="AC58" s="306"/>
      <c r="AD58" s="306">
        <f t="shared" ref="AD58:AG58" si="10">COUNTA(#REF!,#REF!,#REF!,#REF!,#REF!)</f>
        <v>5</v>
      </c>
      <c r="AE58" s="306">
        <f t="shared" si="10"/>
        <v>5</v>
      </c>
      <c r="AF58" s="306">
        <f t="shared" si="10"/>
        <v>5</v>
      </c>
      <c r="AG58" s="306">
        <f t="shared" si="10"/>
        <v>5</v>
      </c>
      <c r="AH58" s="306"/>
      <c r="AI58" s="234"/>
      <c r="AJ58" s="255"/>
      <c r="AK58" s="323"/>
      <c r="AL58" s="225"/>
    </row>
    <row r="59" ht="13.5" customHeight="1">
      <c r="A59" s="304"/>
      <c r="B59" s="307" t="s">
        <v>157</v>
      </c>
      <c r="C59" s="147"/>
      <c r="D59" s="147"/>
      <c r="E59" s="147"/>
      <c r="F59" s="148"/>
      <c r="G59" s="308">
        <f t="shared" ref="G59:AA59" si="11">COUNTA(#REF!,#REF!)</f>
        <v>2</v>
      </c>
      <c r="H59" s="308">
        <f t="shared" si="11"/>
        <v>2</v>
      </c>
      <c r="I59" s="308">
        <f t="shared" si="11"/>
        <v>2</v>
      </c>
      <c r="J59" s="308">
        <f t="shared" si="11"/>
        <v>2</v>
      </c>
      <c r="K59" s="308">
        <f t="shared" si="11"/>
        <v>2</v>
      </c>
      <c r="L59" s="308">
        <f t="shared" si="11"/>
        <v>2</v>
      </c>
      <c r="M59" s="308">
        <f t="shared" si="11"/>
        <v>2</v>
      </c>
      <c r="N59" s="308">
        <f t="shared" si="11"/>
        <v>2</v>
      </c>
      <c r="O59" s="308">
        <f t="shared" si="11"/>
        <v>2</v>
      </c>
      <c r="P59" s="308">
        <f t="shared" si="11"/>
        <v>2</v>
      </c>
      <c r="Q59" s="308">
        <f t="shared" si="11"/>
        <v>2</v>
      </c>
      <c r="R59" s="308">
        <f t="shared" si="11"/>
        <v>2</v>
      </c>
      <c r="S59" s="308">
        <f t="shared" si="11"/>
        <v>2</v>
      </c>
      <c r="T59" s="308">
        <f t="shared" si="11"/>
        <v>2</v>
      </c>
      <c r="U59" s="308">
        <f t="shared" si="11"/>
        <v>2</v>
      </c>
      <c r="V59" s="308">
        <f t="shared" si="11"/>
        <v>2</v>
      </c>
      <c r="W59" s="308">
        <f t="shared" si="11"/>
        <v>2</v>
      </c>
      <c r="X59" s="308">
        <f t="shared" si="11"/>
        <v>2</v>
      </c>
      <c r="Y59" s="308">
        <f t="shared" si="11"/>
        <v>2</v>
      </c>
      <c r="Z59" s="308">
        <f t="shared" si="11"/>
        <v>2</v>
      </c>
      <c r="AA59" s="308">
        <f t="shared" si="11"/>
        <v>2</v>
      </c>
      <c r="AB59" s="308"/>
      <c r="AC59" s="308"/>
      <c r="AD59" s="308">
        <f t="shared" ref="AD59:AG59" si="12">COUNTA(#REF!,#REF!)</f>
        <v>2</v>
      </c>
      <c r="AE59" s="308">
        <f t="shared" si="12"/>
        <v>2</v>
      </c>
      <c r="AF59" s="308">
        <f t="shared" si="12"/>
        <v>2</v>
      </c>
      <c r="AG59" s="308">
        <f t="shared" si="12"/>
        <v>2</v>
      </c>
      <c r="AH59" s="308"/>
      <c r="AI59" s="234"/>
      <c r="AJ59" s="255"/>
      <c r="AK59" s="323"/>
      <c r="AL59" s="225"/>
    </row>
    <row r="60" ht="13.5" customHeight="1">
      <c r="A60" s="309"/>
      <c r="B60" s="310"/>
      <c r="C60" s="309"/>
      <c r="D60" s="309"/>
      <c r="E60" s="309"/>
      <c r="F60" s="311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312"/>
      <c r="AA60" s="312"/>
      <c r="AB60" s="312"/>
      <c r="AC60" s="312"/>
      <c r="AD60" s="312"/>
      <c r="AE60" s="312"/>
      <c r="AF60" s="312"/>
      <c r="AG60" s="312"/>
      <c r="AH60" s="312"/>
      <c r="AI60" s="425"/>
      <c r="AJ60" s="426"/>
      <c r="AK60" s="323"/>
      <c r="AL60" s="225"/>
    </row>
    <row r="61" ht="13.5" customHeight="1">
      <c r="A61" s="315"/>
      <c r="B61" s="316"/>
      <c r="C61" s="317"/>
      <c r="D61" s="318" t="s">
        <v>159</v>
      </c>
      <c r="E61" s="318"/>
      <c r="F61" s="319"/>
      <c r="G61" s="321">
        <f t="shared" ref="G61:AA61" si="13">COUNTA(G10,G11:G15,#REF!,G25:G26,G51,G24:G48,G32)</f>
        <v>10</v>
      </c>
      <c r="H61" s="321">
        <f t="shared" si="13"/>
        <v>12</v>
      </c>
      <c r="I61" s="321">
        <f t="shared" si="13"/>
        <v>10</v>
      </c>
      <c r="J61" s="321">
        <f t="shared" si="13"/>
        <v>11</v>
      </c>
      <c r="K61" s="321">
        <f t="shared" si="13"/>
        <v>12</v>
      </c>
      <c r="L61" s="321">
        <f t="shared" si="13"/>
        <v>13</v>
      </c>
      <c r="M61" s="321">
        <f t="shared" si="13"/>
        <v>8</v>
      </c>
      <c r="N61" s="321">
        <f t="shared" si="13"/>
        <v>10</v>
      </c>
      <c r="O61" s="321">
        <f t="shared" si="13"/>
        <v>13</v>
      </c>
      <c r="P61" s="321">
        <f t="shared" si="13"/>
        <v>12</v>
      </c>
      <c r="Q61" s="321">
        <f t="shared" si="13"/>
        <v>13</v>
      </c>
      <c r="R61" s="321">
        <f t="shared" si="13"/>
        <v>13</v>
      </c>
      <c r="S61" s="321">
        <f t="shared" si="13"/>
        <v>15</v>
      </c>
      <c r="T61" s="321">
        <f t="shared" si="13"/>
        <v>10</v>
      </c>
      <c r="U61" s="321">
        <f t="shared" si="13"/>
        <v>10</v>
      </c>
      <c r="V61" s="321">
        <f t="shared" si="13"/>
        <v>13</v>
      </c>
      <c r="W61" s="321">
        <f t="shared" si="13"/>
        <v>13</v>
      </c>
      <c r="X61" s="321">
        <f t="shared" si="13"/>
        <v>12</v>
      </c>
      <c r="Y61" s="321">
        <f t="shared" si="13"/>
        <v>13</v>
      </c>
      <c r="Z61" s="321">
        <f t="shared" si="13"/>
        <v>15</v>
      </c>
      <c r="AA61" s="321">
        <f t="shared" si="13"/>
        <v>11</v>
      </c>
      <c r="AB61" s="321"/>
      <c r="AC61" s="321"/>
      <c r="AD61" s="321">
        <f t="shared" ref="AD61:AH61" si="14">COUNTA(AD10,AD11:AD15,#REF!,AD25:AD26,AD51,AD24:AD48,AD32)</f>
        <v>11</v>
      </c>
      <c r="AE61" s="321">
        <f t="shared" si="14"/>
        <v>13</v>
      </c>
      <c r="AF61" s="321">
        <f t="shared" si="14"/>
        <v>13</v>
      </c>
      <c r="AG61" s="321">
        <f t="shared" si="14"/>
        <v>17</v>
      </c>
      <c r="AH61" s="321">
        <f t="shared" si="14"/>
        <v>12</v>
      </c>
      <c r="AI61" s="324">
        <f t="shared" ref="AI61:AI64" si="17">SUM(G61:AG61)</f>
        <v>303</v>
      </c>
      <c r="AJ61" s="325">
        <v>250.0</v>
      </c>
      <c r="AK61" s="323"/>
      <c r="AL61" s="225"/>
    </row>
    <row r="62" ht="13.5" customHeight="1">
      <c r="A62" s="326"/>
      <c r="B62" s="327"/>
      <c r="C62" s="328"/>
      <c r="D62" s="329" t="s">
        <v>160</v>
      </c>
      <c r="E62" s="329"/>
      <c r="F62" s="330"/>
      <c r="G62" s="331">
        <f t="shared" ref="G62:AA62" si="15">COUNTA(G10,#REF!,#REF!,G15,G24:G48,G25:G51)</f>
        <v>16</v>
      </c>
      <c r="H62" s="331">
        <f t="shared" si="15"/>
        <v>16</v>
      </c>
      <c r="I62" s="331">
        <f t="shared" si="15"/>
        <v>14</v>
      </c>
      <c r="J62" s="331">
        <f t="shared" si="15"/>
        <v>13</v>
      </c>
      <c r="K62" s="331">
        <f t="shared" si="15"/>
        <v>14</v>
      </c>
      <c r="L62" s="331">
        <f t="shared" si="15"/>
        <v>18</v>
      </c>
      <c r="M62" s="331">
        <f t="shared" si="15"/>
        <v>12</v>
      </c>
      <c r="N62" s="331">
        <f t="shared" si="15"/>
        <v>17</v>
      </c>
      <c r="O62" s="331">
        <f t="shared" si="15"/>
        <v>16</v>
      </c>
      <c r="P62" s="331">
        <f t="shared" si="15"/>
        <v>15</v>
      </c>
      <c r="Q62" s="331">
        <f t="shared" si="15"/>
        <v>16</v>
      </c>
      <c r="R62" s="331">
        <f t="shared" si="15"/>
        <v>16</v>
      </c>
      <c r="S62" s="331">
        <f t="shared" si="15"/>
        <v>19</v>
      </c>
      <c r="T62" s="331">
        <f t="shared" si="15"/>
        <v>17</v>
      </c>
      <c r="U62" s="331">
        <f t="shared" si="15"/>
        <v>17</v>
      </c>
      <c r="V62" s="331">
        <f t="shared" si="15"/>
        <v>18</v>
      </c>
      <c r="W62" s="331">
        <f t="shared" si="15"/>
        <v>16</v>
      </c>
      <c r="X62" s="331">
        <f t="shared" si="15"/>
        <v>16</v>
      </c>
      <c r="Y62" s="331">
        <f t="shared" si="15"/>
        <v>15</v>
      </c>
      <c r="Z62" s="331">
        <f t="shared" si="15"/>
        <v>20</v>
      </c>
      <c r="AA62" s="331">
        <f t="shared" si="15"/>
        <v>19</v>
      </c>
      <c r="AB62" s="331"/>
      <c r="AC62" s="331"/>
      <c r="AD62" s="331">
        <f t="shared" ref="AD62:AH62" si="16">COUNTA(AD10,#REF!,#REF!,AD15,AD24:AD48,AD25:AD51)</f>
        <v>14</v>
      </c>
      <c r="AE62" s="331">
        <f t="shared" si="16"/>
        <v>18</v>
      </c>
      <c r="AF62" s="331">
        <f t="shared" si="16"/>
        <v>16</v>
      </c>
      <c r="AG62" s="331">
        <f t="shared" si="16"/>
        <v>24</v>
      </c>
      <c r="AH62" s="331">
        <f t="shared" si="16"/>
        <v>21</v>
      </c>
      <c r="AI62" s="332">
        <f t="shared" si="17"/>
        <v>412</v>
      </c>
      <c r="AJ62" s="325"/>
      <c r="AK62" s="323"/>
      <c r="AL62" s="225"/>
    </row>
    <row r="63" ht="13.5" customHeight="1">
      <c r="A63" s="333"/>
      <c r="B63" s="334"/>
      <c r="C63" s="335"/>
      <c r="D63" s="336" t="s">
        <v>161</v>
      </c>
      <c r="E63" s="336"/>
      <c r="F63" s="338"/>
      <c r="G63" s="339">
        <f t="shared" ref="G63:AA63" si="18">COUNTA(G24:G48,G32,G51:G52)</f>
        <v>7</v>
      </c>
      <c r="H63" s="339">
        <f t="shared" si="18"/>
        <v>7</v>
      </c>
      <c r="I63" s="339">
        <f t="shared" si="18"/>
        <v>5</v>
      </c>
      <c r="J63" s="339">
        <f t="shared" si="18"/>
        <v>5</v>
      </c>
      <c r="K63" s="339">
        <f t="shared" si="18"/>
        <v>6</v>
      </c>
      <c r="L63" s="339">
        <f t="shared" si="18"/>
        <v>7</v>
      </c>
      <c r="M63" s="339">
        <f t="shared" si="18"/>
        <v>5</v>
      </c>
      <c r="N63" s="339">
        <f t="shared" si="18"/>
        <v>8</v>
      </c>
      <c r="O63" s="339">
        <f t="shared" si="18"/>
        <v>7</v>
      </c>
      <c r="P63" s="339">
        <f t="shared" si="18"/>
        <v>6</v>
      </c>
      <c r="Q63" s="339">
        <f t="shared" si="18"/>
        <v>7</v>
      </c>
      <c r="R63" s="339">
        <f t="shared" si="18"/>
        <v>7</v>
      </c>
      <c r="S63" s="339">
        <f t="shared" si="18"/>
        <v>8</v>
      </c>
      <c r="T63" s="339">
        <f t="shared" si="18"/>
        <v>8</v>
      </c>
      <c r="U63" s="339">
        <f t="shared" si="18"/>
        <v>8</v>
      </c>
      <c r="V63" s="339">
        <f t="shared" si="18"/>
        <v>7</v>
      </c>
      <c r="W63" s="339">
        <f t="shared" si="18"/>
        <v>7</v>
      </c>
      <c r="X63" s="339">
        <f t="shared" si="18"/>
        <v>7</v>
      </c>
      <c r="Y63" s="339">
        <f t="shared" si="18"/>
        <v>6</v>
      </c>
      <c r="Z63" s="339">
        <f t="shared" si="18"/>
        <v>9</v>
      </c>
      <c r="AA63" s="339">
        <f t="shared" si="18"/>
        <v>9</v>
      </c>
      <c r="AB63" s="339"/>
      <c r="AC63" s="339"/>
      <c r="AD63" s="339">
        <f t="shared" ref="AD63:AH63" si="19">COUNTA(AD24:AD48,AD32,AD51:AD52)</f>
        <v>6</v>
      </c>
      <c r="AE63" s="339">
        <f t="shared" si="19"/>
        <v>7</v>
      </c>
      <c r="AF63" s="339">
        <f t="shared" si="19"/>
        <v>7</v>
      </c>
      <c r="AG63" s="339">
        <f t="shared" si="19"/>
        <v>10</v>
      </c>
      <c r="AH63" s="339">
        <f t="shared" si="19"/>
        <v>9</v>
      </c>
      <c r="AI63" s="340">
        <f t="shared" si="17"/>
        <v>176</v>
      </c>
      <c r="AJ63" s="341">
        <f>AJ61*AI65</f>
        <v>243000</v>
      </c>
      <c r="AK63" s="323"/>
      <c r="AL63" s="225"/>
    </row>
    <row r="64" ht="13.5" customHeight="1">
      <c r="A64" s="342"/>
      <c r="B64" s="343"/>
      <c r="C64" s="344"/>
      <c r="D64" s="345" t="s">
        <v>162</v>
      </c>
      <c r="E64" s="345"/>
      <c r="F64" s="346"/>
      <c r="G64" s="347">
        <f t="shared" ref="G64:AA64" si="20">COUNTA(#REF!,#REF!,G32,#REF!)</f>
        <v>3</v>
      </c>
      <c r="H64" s="347">
        <f t="shared" si="20"/>
        <v>3</v>
      </c>
      <c r="I64" s="347">
        <f t="shared" si="20"/>
        <v>3</v>
      </c>
      <c r="J64" s="347">
        <f t="shared" si="20"/>
        <v>3</v>
      </c>
      <c r="K64" s="347">
        <f t="shared" si="20"/>
        <v>3</v>
      </c>
      <c r="L64" s="347">
        <f t="shared" si="20"/>
        <v>3</v>
      </c>
      <c r="M64" s="347">
        <f t="shared" si="20"/>
        <v>3</v>
      </c>
      <c r="N64" s="347">
        <f t="shared" si="20"/>
        <v>3</v>
      </c>
      <c r="O64" s="347">
        <f t="shared" si="20"/>
        <v>4</v>
      </c>
      <c r="P64" s="347">
        <f t="shared" si="20"/>
        <v>3</v>
      </c>
      <c r="Q64" s="347">
        <f t="shared" si="20"/>
        <v>3</v>
      </c>
      <c r="R64" s="347">
        <f t="shared" si="20"/>
        <v>4</v>
      </c>
      <c r="S64" s="347">
        <f t="shared" si="20"/>
        <v>3</v>
      </c>
      <c r="T64" s="347">
        <f t="shared" si="20"/>
        <v>3</v>
      </c>
      <c r="U64" s="347">
        <f t="shared" si="20"/>
        <v>4</v>
      </c>
      <c r="V64" s="347">
        <f t="shared" si="20"/>
        <v>3</v>
      </c>
      <c r="W64" s="347">
        <f t="shared" si="20"/>
        <v>3</v>
      </c>
      <c r="X64" s="347">
        <f t="shared" si="20"/>
        <v>4</v>
      </c>
      <c r="Y64" s="347">
        <f t="shared" si="20"/>
        <v>3</v>
      </c>
      <c r="Z64" s="347">
        <f t="shared" si="20"/>
        <v>3</v>
      </c>
      <c r="AA64" s="347">
        <f t="shared" si="20"/>
        <v>4</v>
      </c>
      <c r="AB64" s="347"/>
      <c r="AC64" s="347"/>
      <c r="AD64" s="347">
        <f t="shared" ref="AD64:AH64" si="21">COUNTA(#REF!,#REF!,AD32,#REF!)</f>
        <v>4</v>
      </c>
      <c r="AE64" s="347">
        <f t="shared" si="21"/>
        <v>3</v>
      </c>
      <c r="AF64" s="347">
        <f t="shared" si="21"/>
        <v>3</v>
      </c>
      <c r="AG64" s="347">
        <f t="shared" si="21"/>
        <v>3</v>
      </c>
      <c r="AH64" s="347">
        <f t="shared" si="21"/>
        <v>3</v>
      </c>
      <c r="AI64" s="347">
        <f t="shared" si="17"/>
        <v>81</v>
      </c>
      <c r="AJ64" s="348"/>
      <c r="AK64" s="323"/>
      <c r="AL64" s="225"/>
    </row>
    <row r="65" ht="13.5" customHeight="1">
      <c r="A65" s="349" t="s">
        <v>163</v>
      </c>
      <c r="B65" s="147"/>
      <c r="C65" s="147"/>
      <c r="D65" s="147"/>
      <c r="E65" s="147"/>
      <c r="F65" s="148"/>
      <c r="G65" s="350">
        <f t="shared" ref="G65:AA65" si="22">SUM(G61:G64)</f>
        <v>36</v>
      </c>
      <c r="H65" s="350">
        <f t="shared" si="22"/>
        <v>38</v>
      </c>
      <c r="I65" s="350">
        <f t="shared" si="22"/>
        <v>32</v>
      </c>
      <c r="J65" s="350">
        <f t="shared" si="22"/>
        <v>32</v>
      </c>
      <c r="K65" s="350">
        <f t="shared" si="22"/>
        <v>35</v>
      </c>
      <c r="L65" s="350">
        <f t="shared" si="22"/>
        <v>41</v>
      </c>
      <c r="M65" s="350">
        <f t="shared" si="22"/>
        <v>28</v>
      </c>
      <c r="N65" s="350">
        <f t="shared" si="22"/>
        <v>38</v>
      </c>
      <c r="O65" s="350">
        <f t="shared" si="22"/>
        <v>40</v>
      </c>
      <c r="P65" s="350">
        <f t="shared" si="22"/>
        <v>36</v>
      </c>
      <c r="Q65" s="350">
        <f t="shared" si="22"/>
        <v>39</v>
      </c>
      <c r="R65" s="350">
        <f t="shared" si="22"/>
        <v>40</v>
      </c>
      <c r="S65" s="350">
        <f t="shared" si="22"/>
        <v>45</v>
      </c>
      <c r="T65" s="350">
        <f t="shared" si="22"/>
        <v>38</v>
      </c>
      <c r="U65" s="350">
        <f t="shared" si="22"/>
        <v>39</v>
      </c>
      <c r="V65" s="350">
        <f t="shared" si="22"/>
        <v>41</v>
      </c>
      <c r="W65" s="350">
        <f t="shared" si="22"/>
        <v>39</v>
      </c>
      <c r="X65" s="350">
        <f t="shared" si="22"/>
        <v>39</v>
      </c>
      <c r="Y65" s="350">
        <f t="shared" si="22"/>
        <v>37</v>
      </c>
      <c r="Z65" s="350">
        <f t="shared" si="22"/>
        <v>47</v>
      </c>
      <c r="AA65" s="350">
        <f t="shared" si="22"/>
        <v>43</v>
      </c>
      <c r="AB65" s="350"/>
      <c r="AC65" s="350"/>
      <c r="AD65" s="350">
        <f t="shared" ref="AD65:AI65" si="23">SUM(AD61:AD64)</f>
        <v>35</v>
      </c>
      <c r="AE65" s="350">
        <f t="shared" si="23"/>
        <v>41</v>
      </c>
      <c r="AF65" s="350">
        <f t="shared" si="23"/>
        <v>39</v>
      </c>
      <c r="AG65" s="350">
        <f t="shared" si="23"/>
        <v>54</v>
      </c>
      <c r="AH65" s="350">
        <f t="shared" si="23"/>
        <v>45</v>
      </c>
      <c r="AI65" s="350">
        <f t="shared" si="23"/>
        <v>972</v>
      </c>
      <c r="AJ65" s="351"/>
      <c r="AK65" s="323"/>
      <c r="AL65" s="225"/>
    </row>
    <row r="66" ht="13.5" customHeight="1">
      <c r="A66" s="309"/>
      <c r="B66" s="352" t="s">
        <v>164</v>
      </c>
      <c r="C66" s="352"/>
      <c r="D66" s="352"/>
      <c r="E66" s="352"/>
      <c r="F66" s="311"/>
      <c r="G66" s="311"/>
      <c r="H66" s="311"/>
      <c r="I66" s="311"/>
      <c r="J66" s="311"/>
      <c r="K66" s="311"/>
      <c r="L66" s="311"/>
      <c r="M66" s="311"/>
      <c r="N66" s="311"/>
      <c r="O66" s="312"/>
      <c r="P66" s="312"/>
      <c r="Q66" s="311"/>
      <c r="R66" s="311"/>
      <c r="S66" s="311"/>
      <c r="T66" s="311"/>
      <c r="U66" s="312"/>
      <c r="V66" s="312"/>
      <c r="W66" s="312"/>
      <c r="X66" s="311"/>
      <c r="Y66" s="311"/>
      <c r="Z66" s="311"/>
      <c r="AA66" s="311"/>
      <c r="AB66" s="311"/>
      <c r="AC66" s="311"/>
      <c r="AD66" s="312"/>
      <c r="AE66" s="312"/>
      <c r="AF66" s="312"/>
      <c r="AG66" s="312"/>
      <c r="AH66" s="312"/>
      <c r="AI66" s="309"/>
      <c r="AJ66" s="441"/>
      <c r="AK66" s="323"/>
      <c r="AL66" s="225"/>
    </row>
    <row r="67" ht="13.5" customHeight="1">
      <c r="A67" s="309"/>
      <c r="B67" s="352" t="s">
        <v>165</v>
      </c>
      <c r="C67" s="309"/>
      <c r="D67" s="309"/>
      <c r="E67" s="309"/>
      <c r="F67" s="311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  <c r="Z67" s="312"/>
      <c r="AA67" s="312"/>
      <c r="AB67" s="312"/>
      <c r="AC67" s="312"/>
      <c r="AD67" s="312"/>
      <c r="AE67" s="312"/>
      <c r="AF67" s="312"/>
      <c r="AG67" s="312"/>
      <c r="AH67" s="312"/>
      <c r="AI67" s="426"/>
      <c r="AJ67" s="309"/>
      <c r="AK67" s="323"/>
      <c r="AL67" s="225"/>
    </row>
    <row r="68" ht="13.5" customHeight="1">
      <c r="A68" s="309"/>
      <c r="B68" s="352" t="s">
        <v>166</v>
      </c>
      <c r="C68" s="354"/>
      <c r="D68" s="354"/>
      <c r="E68" s="309"/>
      <c r="F68" s="311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426"/>
      <c r="AJ68" s="309"/>
      <c r="AK68" s="323"/>
      <c r="AL68" s="225"/>
    </row>
    <row r="69" ht="13.5" customHeight="1">
      <c r="A69" s="309"/>
      <c r="B69" s="352"/>
      <c r="C69" s="354"/>
      <c r="D69" s="354"/>
      <c r="E69" s="311" t="s">
        <v>167</v>
      </c>
      <c r="G69" s="312"/>
      <c r="H69" s="312"/>
      <c r="I69" s="312"/>
      <c r="J69" s="312"/>
      <c r="K69" s="312" t="s">
        <v>168</v>
      </c>
      <c r="S69" s="312"/>
      <c r="T69" s="312"/>
      <c r="U69" s="312"/>
      <c r="V69" s="312"/>
      <c r="W69" s="312"/>
      <c r="X69" s="312"/>
      <c r="Y69" s="312"/>
      <c r="Z69" s="312"/>
      <c r="AA69" s="312"/>
      <c r="AB69" s="312"/>
      <c r="AC69" s="312"/>
      <c r="AD69" s="312"/>
      <c r="AE69" s="312"/>
      <c r="AF69" s="312"/>
      <c r="AG69" s="312"/>
      <c r="AH69" s="312"/>
      <c r="AI69" s="426"/>
      <c r="AJ69" s="309"/>
      <c r="AK69" s="323"/>
      <c r="AL69" s="225"/>
    </row>
    <row r="70" ht="13.5" customHeight="1">
      <c r="A70" s="309"/>
      <c r="B70" s="310"/>
      <c r="C70" s="309"/>
      <c r="D70" s="309"/>
      <c r="E70" s="309"/>
      <c r="F70" s="311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  <c r="Z70" s="312"/>
      <c r="AA70" s="312"/>
      <c r="AB70" s="312"/>
      <c r="AC70" s="312"/>
      <c r="AD70" s="312"/>
      <c r="AE70" s="312"/>
      <c r="AF70" s="312"/>
      <c r="AG70" s="312"/>
      <c r="AH70" s="312"/>
      <c r="AI70" s="426"/>
      <c r="AJ70" s="426"/>
      <c r="AK70" s="323"/>
      <c r="AL70" s="225"/>
    </row>
    <row r="71" ht="13.5" customHeight="1">
      <c r="A71" s="309"/>
      <c r="B71" s="310"/>
      <c r="C71" s="309"/>
      <c r="D71" s="309"/>
      <c r="E71" s="311" t="s">
        <v>169</v>
      </c>
      <c r="G71" s="312"/>
      <c r="H71" s="312"/>
      <c r="I71" s="312"/>
      <c r="J71" s="312"/>
      <c r="K71" s="312"/>
      <c r="L71" s="312"/>
      <c r="M71" s="312"/>
      <c r="N71" s="312" t="s">
        <v>170</v>
      </c>
      <c r="O71" s="312"/>
      <c r="P71" s="312"/>
      <c r="Q71" s="312" t="s">
        <v>171</v>
      </c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426"/>
      <c r="AJ71" s="426"/>
      <c r="AK71" s="323"/>
      <c r="AL71" s="225"/>
    </row>
    <row r="72" ht="13.5" customHeight="1">
      <c r="A72" s="309"/>
      <c r="B72" s="310"/>
      <c r="C72" s="309"/>
      <c r="D72" s="309"/>
      <c r="E72" s="309"/>
      <c r="F72" s="355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1"/>
      <c r="R72" s="312"/>
      <c r="S72" s="312"/>
      <c r="T72" s="312"/>
      <c r="U72" s="312"/>
      <c r="V72" s="312"/>
      <c r="W72" s="312"/>
      <c r="X72" s="312"/>
      <c r="Y72" s="312"/>
      <c r="Z72" s="312"/>
      <c r="AA72" s="312"/>
      <c r="AB72" s="312"/>
      <c r="AC72" s="312"/>
      <c r="AD72" s="312"/>
      <c r="AE72" s="312"/>
      <c r="AF72" s="312"/>
      <c r="AG72" s="312"/>
      <c r="AH72" s="312"/>
      <c r="AI72" s="426"/>
      <c r="AJ72" s="426"/>
      <c r="AK72" s="323"/>
      <c r="AL72" s="225"/>
    </row>
    <row r="73" ht="30.75" customHeight="1">
      <c r="A73" s="309"/>
      <c r="B73" s="310"/>
      <c r="C73" s="309"/>
      <c r="D73" s="309"/>
      <c r="E73" s="355" t="s">
        <v>172</v>
      </c>
      <c r="G73" s="312"/>
      <c r="H73" s="312"/>
      <c r="I73" s="312"/>
      <c r="J73" s="312"/>
      <c r="K73" s="312"/>
      <c r="L73" s="312"/>
      <c r="M73" s="312"/>
      <c r="N73" s="312" t="s">
        <v>170</v>
      </c>
      <c r="O73" s="312"/>
      <c r="P73" s="312"/>
      <c r="Q73" s="312" t="s">
        <v>171</v>
      </c>
      <c r="R73" s="312"/>
      <c r="S73" s="312"/>
      <c r="T73" s="312"/>
      <c r="U73" s="312"/>
      <c r="V73" s="312"/>
      <c r="W73" s="312"/>
      <c r="X73" s="312"/>
      <c r="Y73" s="312"/>
      <c r="Z73" s="312"/>
      <c r="AA73" s="312"/>
      <c r="AB73" s="312"/>
      <c r="AC73" s="312"/>
      <c r="AD73" s="312"/>
      <c r="AE73" s="312"/>
      <c r="AF73" s="312"/>
      <c r="AG73" s="312"/>
      <c r="AH73" s="312"/>
      <c r="AI73" s="426"/>
      <c r="AJ73" s="426"/>
      <c r="AK73" s="323"/>
      <c r="AL73" s="225"/>
    </row>
    <row r="74" ht="13.5" customHeight="1">
      <c r="A74" s="426"/>
      <c r="B74" s="310"/>
      <c r="C74" s="309"/>
      <c r="D74" s="443"/>
      <c r="E74" s="309"/>
      <c r="F74" s="311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  <c r="AH74" s="312"/>
      <c r="AI74" s="426"/>
      <c r="AJ74" s="426"/>
      <c r="AK74" s="323"/>
      <c r="AL74" s="225"/>
    </row>
    <row r="75" ht="13.5" customHeight="1">
      <c r="A75" s="225"/>
      <c r="B75" s="225"/>
      <c r="C75" s="225"/>
      <c r="D75" s="225"/>
      <c r="E75" s="225"/>
      <c r="F75" s="44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323"/>
      <c r="AL75" s="225"/>
    </row>
    <row r="76" ht="13.5" customHeight="1">
      <c r="A76" s="225"/>
      <c r="B76" s="225"/>
      <c r="C76" s="225"/>
      <c r="D76" s="225"/>
      <c r="E76" s="225"/>
      <c r="F76" s="44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  <c r="AB76" s="225"/>
      <c r="AC76" s="225"/>
      <c r="AD76" s="225"/>
      <c r="AE76" s="225"/>
      <c r="AF76" s="225"/>
      <c r="AG76" s="225"/>
      <c r="AH76" s="225"/>
      <c r="AI76" s="225"/>
      <c r="AJ76" s="225"/>
      <c r="AK76" s="323"/>
      <c r="AL76" s="225"/>
    </row>
    <row r="77" ht="13.5" customHeight="1">
      <c r="A77" s="225"/>
      <c r="B77" s="225"/>
      <c r="C77" s="225"/>
      <c r="D77" s="225"/>
      <c r="E77" s="225"/>
      <c r="F77" s="44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323"/>
      <c r="AL77" s="225"/>
    </row>
    <row r="78" ht="13.5" customHeight="1">
      <c r="A78" s="225"/>
      <c r="B78" s="225"/>
      <c r="C78" s="225"/>
      <c r="D78" s="225"/>
      <c r="E78" s="225"/>
      <c r="F78" s="44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323"/>
      <c r="AL78" s="225"/>
    </row>
    <row r="79" ht="15.75" customHeight="1">
      <c r="A79" s="225"/>
      <c r="B79" s="225"/>
      <c r="C79" s="225"/>
      <c r="D79" s="225"/>
      <c r="E79" s="225"/>
      <c r="F79" s="44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323"/>
      <c r="AL79" s="225"/>
    </row>
    <row r="80" ht="13.5" customHeight="1">
      <c r="A80" s="225"/>
      <c r="B80" s="225"/>
      <c r="C80" s="225"/>
      <c r="D80" s="225"/>
      <c r="E80" s="225"/>
      <c r="F80" s="44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  <c r="AB80" s="225"/>
      <c r="AC80" s="225"/>
      <c r="AD80" s="225"/>
      <c r="AE80" s="225"/>
      <c r="AF80" s="225"/>
      <c r="AG80" s="225"/>
      <c r="AH80" s="225"/>
      <c r="AI80" s="225"/>
      <c r="AJ80" s="225"/>
      <c r="AK80" s="323"/>
      <c r="AL80" s="225"/>
    </row>
    <row r="81" ht="13.5" customHeight="1">
      <c r="A81" s="225"/>
      <c r="B81" s="225"/>
      <c r="C81" s="225"/>
      <c r="D81" s="225"/>
      <c r="E81" s="225"/>
      <c r="F81" s="44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323"/>
      <c r="AL81" s="225"/>
    </row>
    <row r="82" ht="13.5" customHeight="1">
      <c r="A82" s="225"/>
      <c r="B82" s="225"/>
      <c r="C82" s="225"/>
      <c r="D82" s="225"/>
      <c r="E82" s="225"/>
      <c r="F82" s="44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  <c r="AB82" s="225"/>
      <c r="AC82" s="225"/>
      <c r="AD82" s="225"/>
      <c r="AE82" s="225"/>
      <c r="AF82" s="225"/>
      <c r="AG82" s="225"/>
      <c r="AH82" s="225"/>
      <c r="AI82" s="225"/>
      <c r="AJ82" s="225"/>
      <c r="AK82" s="323"/>
      <c r="AL82" s="225"/>
    </row>
    <row r="83" ht="13.5" customHeight="1">
      <c r="A83" s="225"/>
      <c r="B83" s="225"/>
      <c r="C83" s="225"/>
      <c r="D83" s="225"/>
      <c r="E83" s="225"/>
      <c r="F83" s="44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323"/>
      <c r="AL83" s="225"/>
    </row>
    <row r="84" ht="13.5" customHeight="1">
      <c r="A84" s="225"/>
      <c r="B84" s="225"/>
      <c r="C84" s="225"/>
      <c r="D84" s="225"/>
      <c r="E84" s="225"/>
      <c r="F84" s="44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  <c r="AB84" s="225"/>
      <c r="AC84" s="225"/>
      <c r="AD84" s="225"/>
      <c r="AE84" s="225"/>
      <c r="AF84" s="225"/>
      <c r="AG84" s="225"/>
      <c r="AH84" s="225"/>
      <c r="AI84" s="225"/>
      <c r="AJ84" s="225"/>
      <c r="AK84" s="323"/>
      <c r="AL84" s="225"/>
    </row>
    <row r="85" ht="13.5" customHeight="1">
      <c r="A85" s="225"/>
      <c r="B85" s="225"/>
      <c r="C85" s="225"/>
      <c r="D85" s="225"/>
      <c r="E85" s="225"/>
      <c r="F85" s="44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323"/>
      <c r="AL85" s="225"/>
    </row>
    <row r="86" ht="13.5" customHeight="1">
      <c r="A86" s="225"/>
      <c r="B86" s="225"/>
      <c r="C86" s="225"/>
      <c r="D86" s="225"/>
      <c r="E86" s="225"/>
      <c r="F86" s="44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  <c r="AJ86" s="225"/>
      <c r="AK86" s="323"/>
      <c r="AL86" s="225"/>
    </row>
    <row r="87" ht="13.5" customHeight="1">
      <c r="A87" s="225"/>
      <c r="B87" s="225"/>
      <c r="C87" s="225"/>
      <c r="D87" s="225"/>
      <c r="E87" s="225"/>
      <c r="F87" s="44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323"/>
      <c r="AL87" s="225"/>
    </row>
    <row r="88" ht="13.5" customHeight="1">
      <c r="A88" s="225"/>
      <c r="B88" s="225"/>
      <c r="C88" s="225"/>
      <c r="D88" s="225"/>
      <c r="E88" s="225"/>
      <c r="F88" s="44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  <c r="AB88" s="225"/>
      <c r="AC88" s="225"/>
      <c r="AD88" s="225"/>
      <c r="AE88" s="225"/>
      <c r="AF88" s="225"/>
      <c r="AG88" s="225"/>
      <c r="AH88" s="225"/>
      <c r="AI88" s="225"/>
      <c r="AJ88" s="225"/>
      <c r="AK88" s="323"/>
      <c r="AL88" s="225"/>
    </row>
    <row r="89" ht="13.5" customHeight="1">
      <c r="A89" s="225"/>
      <c r="B89" s="225"/>
      <c r="C89" s="225"/>
      <c r="D89" s="225"/>
      <c r="E89" s="225"/>
      <c r="F89" s="44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323"/>
      <c r="AL89" s="225"/>
    </row>
    <row r="90" ht="13.5" customHeight="1">
      <c r="A90" s="225"/>
      <c r="B90" s="225"/>
      <c r="C90" s="225"/>
      <c r="D90" s="225"/>
      <c r="E90" s="225"/>
      <c r="F90" s="44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  <c r="AB90" s="225"/>
      <c r="AC90" s="225"/>
      <c r="AD90" s="225"/>
      <c r="AE90" s="225"/>
      <c r="AF90" s="225"/>
      <c r="AG90" s="225"/>
      <c r="AH90" s="225"/>
      <c r="AI90" s="225"/>
      <c r="AJ90" s="225"/>
      <c r="AK90" s="323"/>
      <c r="AL90" s="225"/>
    </row>
    <row r="91" ht="13.5" customHeight="1">
      <c r="A91" s="225"/>
      <c r="B91" s="225"/>
      <c r="C91" s="225"/>
      <c r="D91" s="225"/>
      <c r="E91" s="225"/>
      <c r="F91" s="44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  <c r="AJ91" s="225"/>
      <c r="AK91" s="323"/>
      <c r="AL91" s="225"/>
    </row>
    <row r="92" ht="13.5" customHeight="1">
      <c r="A92" s="225"/>
      <c r="B92" s="225"/>
      <c r="C92" s="225"/>
      <c r="D92" s="225"/>
      <c r="E92" s="225"/>
      <c r="F92" s="44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  <c r="AB92" s="225"/>
      <c r="AC92" s="225"/>
      <c r="AD92" s="225"/>
      <c r="AE92" s="225"/>
      <c r="AF92" s="225"/>
      <c r="AG92" s="225"/>
      <c r="AH92" s="225"/>
      <c r="AI92" s="225"/>
      <c r="AJ92" s="225"/>
      <c r="AK92" s="323"/>
      <c r="AL92" s="225"/>
    </row>
    <row r="93" ht="13.5" customHeight="1">
      <c r="A93" s="225"/>
      <c r="B93" s="225"/>
      <c r="C93" s="225"/>
      <c r="D93" s="225"/>
      <c r="E93" s="225"/>
      <c r="F93" s="44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  <c r="AB93" s="225"/>
      <c r="AC93" s="225"/>
      <c r="AD93" s="225"/>
      <c r="AE93" s="225"/>
      <c r="AF93" s="225"/>
      <c r="AG93" s="225"/>
      <c r="AH93" s="225"/>
      <c r="AI93" s="225"/>
      <c r="AJ93" s="225"/>
      <c r="AK93" s="323"/>
      <c r="AL93" s="225"/>
    </row>
    <row r="94" ht="13.5" customHeight="1">
      <c r="A94" s="225"/>
      <c r="B94" s="225"/>
      <c r="C94" s="225"/>
      <c r="D94" s="225"/>
      <c r="E94" s="225"/>
      <c r="F94" s="44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  <c r="AF94" s="225"/>
      <c r="AG94" s="225"/>
      <c r="AH94" s="225"/>
      <c r="AI94" s="225"/>
      <c r="AJ94" s="225"/>
      <c r="AK94" s="323"/>
      <c r="AL94" s="225"/>
    </row>
    <row r="95" ht="13.5" customHeight="1">
      <c r="A95" s="225"/>
      <c r="B95" s="225"/>
      <c r="C95" s="225"/>
      <c r="D95" s="225"/>
      <c r="E95" s="225"/>
      <c r="F95" s="44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323"/>
      <c r="AL95" s="225"/>
    </row>
    <row r="96" ht="13.5" customHeight="1">
      <c r="A96" s="225"/>
      <c r="B96" s="225"/>
      <c r="C96" s="225"/>
      <c r="D96" s="225"/>
      <c r="E96" s="225"/>
      <c r="F96" s="44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  <c r="AJ96" s="225"/>
      <c r="AK96" s="323"/>
      <c r="AL96" s="225"/>
    </row>
    <row r="97" ht="13.5" customHeight="1">
      <c r="A97" s="225"/>
      <c r="B97" s="225"/>
      <c r="C97" s="225"/>
      <c r="D97" s="225"/>
      <c r="E97" s="225"/>
      <c r="F97" s="44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  <c r="AD97" s="225"/>
      <c r="AE97" s="225"/>
      <c r="AF97" s="225"/>
      <c r="AG97" s="225"/>
      <c r="AH97" s="225"/>
      <c r="AI97" s="225"/>
      <c r="AJ97" s="225"/>
      <c r="AK97" s="323"/>
      <c r="AL97" s="225"/>
    </row>
    <row r="98" ht="13.5" customHeight="1">
      <c r="A98" s="225"/>
      <c r="B98" s="225"/>
      <c r="C98" s="225"/>
      <c r="D98" s="225"/>
      <c r="E98" s="225"/>
      <c r="F98" s="44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5"/>
      <c r="AC98" s="225"/>
      <c r="AD98" s="225"/>
      <c r="AE98" s="225"/>
      <c r="AF98" s="225"/>
      <c r="AG98" s="225"/>
      <c r="AH98" s="225"/>
      <c r="AI98" s="225"/>
      <c r="AJ98" s="225"/>
      <c r="AK98" s="323"/>
      <c r="AL98" s="225"/>
    </row>
    <row r="99" ht="13.5" customHeight="1">
      <c r="A99" s="225"/>
      <c r="B99" s="225"/>
      <c r="C99" s="225"/>
      <c r="D99" s="225"/>
      <c r="E99" s="225"/>
      <c r="F99" s="44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  <c r="AB99" s="225"/>
      <c r="AC99" s="225"/>
      <c r="AD99" s="225"/>
      <c r="AE99" s="225"/>
      <c r="AF99" s="225"/>
      <c r="AG99" s="225"/>
      <c r="AH99" s="225"/>
      <c r="AI99" s="225"/>
      <c r="AJ99" s="225"/>
      <c r="AK99" s="323"/>
      <c r="AL99" s="225"/>
    </row>
    <row r="100" ht="13.5" customHeight="1">
      <c r="A100" s="225"/>
      <c r="B100" s="225"/>
      <c r="C100" s="225"/>
      <c r="D100" s="225"/>
      <c r="E100" s="225"/>
      <c r="F100" s="44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323"/>
      <c r="AL100" s="225"/>
    </row>
    <row r="101" ht="13.5" customHeight="1">
      <c r="A101" s="225"/>
      <c r="B101" s="225"/>
      <c r="C101" s="225"/>
      <c r="D101" s="225"/>
      <c r="E101" s="225"/>
      <c r="F101" s="44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323"/>
      <c r="AL101" s="225"/>
    </row>
    <row r="102" ht="13.5" customHeight="1">
      <c r="A102" s="225"/>
      <c r="B102" s="225"/>
      <c r="C102" s="225"/>
      <c r="D102" s="225"/>
      <c r="E102" s="225"/>
      <c r="F102" s="44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  <c r="AB102" s="225"/>
      <c r="AC102" s="225"/>
      <c r="AD102" s="225"/>
      <c r="AE102" s="225"/>
      <c r="AF102" s="225"/>
      <c r="AG102" s="225"/>
      <c r="AH102" s="225"/>
      <c r="AI102" s="225"/>
      <c r="AJ102" s="225"/>
      <c r="AK102" s="323"/>
      <c r="AL102" s="225"/>
    </row>
    <row r="103" ht="13.5" customHeight="1">
      <c r="A103" s="225"/>
      <c r="B103" s="225"/>
      <c r="C103" s="225"/>
      <c r="D103" s="225"/>
      <c r="E103" s="225"/>
      <c r="F103" s="44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  <c r="AA103" s="225"/>
      <c r="AB103" s="225"/>
      <c r="AC103" s="225"/>
      <c r="AD103" s="225"/>
      <c r="AE103" s="225"/>
      <c r="AF103" s="225"/>
      <c r="AG103" s="225"/>
      <c r="AH103" s="225"/>
      <c r="AI103" s="225"/>
      <c r="AJ103" s="225"/>
      <c r="AK103" s="323"/>
      <c r="AL103" s="225"/>
    </row>
    <row r="104" ht="13.5" customHeight="1">
      <c r="A104" s="225"/>
      <c r="B104" s="225"/>
      <c r="C104" s="225"/>
      <c r="D104" s="225"/>
      <c r="E104" s="225"/>
      <c r="F104" s="44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5"/>
      <c r="AH104" s="225"/>
      <c r="AI104" s="225"/>
      <c r="AJ104" s="225"/>
      <c r="AK104" s="323"/>
      <c r="AL104" s="225"/>
    </row>
    <row r="105" ht="13.5" customHeight="1">
      <c r="A105" s="225"/>
      <c r="B105" s="225"/>
      <c r="C105" s="225"/>
      <c r="D105" s="225"/>
      <c r="E105" s="225"/>
      <c r="F105" s="44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  <c r="AA105" s="225"/>
      <c r="AB105" s="225"/>
      <c r="AC105" s="225"/>
      <c r="AD105" s="225"/>
      <c r="AE105" s="225"/>
      <c r="AF105" s="225"/>
      <c r="AG105" s="225"/>
      <c r="AH105" s="225"/>
      <c r="AI105" s="225"/>
      <c r="AJ105" s="225"/>
      <c r="AK105" s="323"/>
      <c r="AL105" s="225"/>
    </row>
    <row r="106" ht="13.5" customHeight="1">
      <c r="A106" s="225"/>
      <c r="B106" s="225"/>
      <c r="C106" s="225"/>
      <c r="D106" s="225"/>
      <c r="E106" s="225"/>
      <c r="F106" s="44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  <c r="AG106" s="225"/>
      <c r="AH106" s="225"/>
      <c r="AI106" s="225"/>
      <c r="AJ106" s="225"/>
      <c r="AK106" s="323"/>
      <c r="AL106" s="225"/>
    </row>
    <row r="107" ht="13.5" customHeight="1">
      <c r="A107" s="225"/>
      <c r="B107" s="225"/>
      <c r="C107" s="225"/>
      <c r="D107" s="225"/>
      <c r="E107" s="225"/>
      <c r="F107" s="44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  <c r="AB107" s="225"/>
      <c r="AC107" s="225"/>
      <c r="AD107" s="225"/>
      <c r="AE107" s="225"/>
      <c r="AF107" s="225"/>
      <c r="AG107" s="225"/>
      <c r="AH107" s="225"/>
      <c r="AI107" s="225"/>
      <c r="AJ107" s="225"/>
      <c r="AK107" s="323"/>
      <c r="AL107" s="225"/>
    </row>
    <row r="108" ht="13.5" customHeight="1">
      <c r="A108" s="225"/>
      <c r="B108" s="225"/>
      <c r="C108" s="225"/>
      <c r="D108" s="225"/>
      <c r="E108" s="225"/>
      <c r="F108" s="44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323"/>
      <c r="AL108" s="225"/>
    </row>
    <row r="109" ht="13.5" customHeight="1">
      <c r="A109" s="225"/>
      <c r="B109" s="225"/>
      <c r="C109" s="225"/>
      <c r="D109" s="225"/>
      <c r="E109" s="225"/>
      <c r="F109" s="44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  <c r="AB109" s="225"/>
      <c r="AC109" s="225"/>
      <c r="AD109" s="225"/>
      <c r="AE109" s="225"/>
      <c r="AF109" s="225"/>
      <c r="AG109" s="225"/>
      <c r="AH109" s="225"/>
      <c r="AI109" s="225"/>
      <c r="AJ109" s="225"/>
      <c r="AK109" s="323"/>
      <c r="AL109" s="225"/>
    </row>
    <row r="110" ht="13.5" customHeight="1">
      <c r="A110" s="225"/>
      <c r="B110" s="225"/>
      <c r="C110" s="225"/>
      <c r="D110" s="225"/>
      <c r="E110" s="225"/>
      <c r="F110" s="44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  <c r="AB110" s="225"/>
      <c r="AC110" s="225"/>
      <c r="AD110" s="225"/>
      <c r="AE110" s="225"/>
      <c r="AF110" s="225"/>
      <c r="AG110" s="225"/>
      <c r="AH110" s="225"/>
      <c r="AI110" s="225"/>
      <c r="AJ110" s="225"/>
      <c r="AK110" s="323"/>
      <c r="AL110" s="225"/>
    </row>
    <row r="111" ht="13.5" customHeight="1">
      <c r="A111" s="225"/>
      <c r="B111" s="225"/>
      <c r="C111" s="225"/>
      <c r="D111" s="225"/>
      <c r="E111" s="225"/>
      <c r="F111" s="44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  <c r="AB111" s="225"/>
      <c r="AC111" s="225"/>
      <c r="AD111" s="225"/>
      <c r="AE111" s="225"/>
      <c r="AF111" s="225"/>
      <c r="AG111" s="225"/>
      <c r="AH111" s="225"/>
      <c r="AI111" s="225"/>
      <c r="AJ111" s="225"/>
      <c r="AK111" s="323"/>
      <c r="AL111" s="225"/>
    </row>
    <row r="112" ht="13.5" customHeight="1">
      <c r="A112" s="225"/>
      <c r="B112" s="225"/>
      <c r="C112" s="225"/>
      <c r="D112" s="225"/>
      <c r="E112" s="225"/>
      <c r="F112" s="44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  <c r="AB112" s="225"/>
      <c r="AC112" s="225"/>
      <c r="AD112" s="225"/>
      <c r="AE112" s="225"/>
      <c r="AF112" s="225"/>
      <c r="AG112" s="225"/>
      <c r="AH112" s="225"/>
      <c r="AI112" s="225"/>
      <c r="AJ112" s="225"/>
      <c r="AK112" s="323"/>
      <c r="AL112" s="225"/>
    </row>
    <row r="113" ht="13.5" customHeight="1">
      <c r="A113" s="225"/>
      <c r="B113" s="225"/>
      <c r="C113" s="225"/>
      <c r="D113" s="225"/>
      <c r="E113" s="225"/>
      <c r="F113" s="44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  <c r="AB113" s="225"/>
      <c r="AC113" s="225"/>
      <c r="AD113" s="225"/>
      <c r="AE113" s="225"/>
      <c r="AF113" s="225"/>
      <c r="AG113" s="225"/>
      <c r="AH113" s="225"/>
      <c r="AI113" s="225"/>
      <c r="AJ113" s="225"/>
      <c r="AK113" s="323"/>
      <c r="AL113" s="225"/>
    </row>
    <row r="114" ht="13.5" customHeight="1">
      <c r="A114" s="225"/>
      <c r="B114" s="225"/>
      <c r="C114" s="225"/>
      <c r="D114" s="225"/>
      <c r="E114" s="225"/>
      <c r="F114" s="44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  <c r="AA114" s="225"/>
      <c r="AB114" s="225"/>
      <c r="AC114" s="225"/>
      <c r="AD114" s="225"/>
      <c r="AE114" s="225"/>
      <c r="AF114" s="225"/>
      <c r="AG114" s="225"/>
      <c r="AH114" s="225"/>
      <c r="AI114" s="225"/>
      <c r="AJ114" s="225"/>
      <c r="AK114" s="323"/>
      <c r="AL114" s="225"/>
    </row>
    <row r="115" ht="13.5" customHeight="1">
      <c r="A115" s="225"/>
      <c r="B115" s="225"/>
      <c r="C115" s="225"/>
      <c r="D115" s="225"/>
      <c r="E115" s="225"/>
      <c r="F115" s="44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  <c r="AB115" s="225"/>
      <c r="AC115" s="225"/>
      <c r="AD115" s="225"/>
      <c r="AE115" s="225"/>
      <c r="AF115" s="225"/>
      <c r="AG115" s="225"/>
      <c r="AH115" s="225"/>
      <c r="AI115" s="225"/>
      <c r="AJ115" s="225"/>
      <c r="AK115" s="323"/>
      <c r="AL115" s="225"/>
    </row>
    <row r="116" ht="13.5" customHeight="1">
      <c r="A116" s="225"/>
      <c r="B116" s="225"/>
      <c r="C116" s="225"/>
      <c r="D116" s="225"/>
      <c r="E116" s="225"/>
      <c r="F116" s="44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  <c r="AB116" s="225"/>
      <c r="AC116" s="225"/>
      <c r="AD116" s="225"/>
      <c r="AE116" s="225"/>
      <c r="AF116" s="225"/>
      <c r="AG116" s="225"/>
      <c r="AH116" s="225"/>
      <c r="AI116" s="225"/>
      <c r="AJ116" s="225"/>
      <c r="AK116" s="323"/>
      <c r="AL116" s="225"/>
    </row>
    <row r="117" ht="13.5" customHeight="1">
      <c r="A117" s="225"/>
      <c r="B117" s="225"/>
      <c r="C117" s="225"/>
      <c r="D117" s="225"/>
      <c r="E117" s="225"/>
      <c r="F117" s="44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  <c r="AB117" s="225"/>
      <c r="AC117" s="225"/>
      <c r="AD117" s="225"/>
      <c r="AE117" s="225"/>
      <c r="AF117" s="225"/>
      <c r="AG117" s="225"/>
      <c r="AH117" s="225"/>
      <c r="AI117" s="225"/>
      <c r="AJ117" s="225"/>
      <c r="AK117" s="323"/>
      <c r="AL117" s="225"/>
    </row>
    <row r="118" ht="13.5" customHeight="1">
      <c r="A118" s="225"/>
      <c r="B118" s="225"/>
      <c r="C118" s="225"/>
      <c r="D118" s="225"/>
      <c r="E118" s="225"/>
      <c r="F118" s="44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  <c r="AB118" s="225"/>
      <c r="AC118" s="225"/>
      <c r="AD118" s="225"/>
      <c r="AE118" s="225"/>
      <c r="AF118" s="225"/>
      <c r="AG118" s="225"/>
      <c r="AH118" s="225"/>
      <c r="AI118" s="225"/>
      <c r="AJ118" s="225"/>
      <c r="AK118" s="323"/>
      <c r="AL118" s="225"/>
    </row>
    <row r="119" ht="13.5" customHeight="1">
      <c r="A119" s="225"/>
      <c r="B119" s="225"/>
      <c r="C119" s="225"/>
      <c r="D119" s="225"/>
      <c r="E119" s="225"/>
      <c r="F119" s="44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  <c r="AB119" s="225"/>
      <c r="AC119" s="225"/>
      <c r="AD119" s="225"/>
      <c r="AE119" s="225"/>
      <c r="AF119" s="225"/>
      <c r="AG119" s="225"/>
      <c r="AH119" s="225"/>
      <c r="AI119" s="225"/>
      <c r="AJ119" s="225"/>
      <c r="AK119" s="323"/>
      <c r="AL119" s="225"/>
    </row>
    <row r="120" ht="13.5" customHeight="1">
      <c r="A120" s="225"/>
      <c r="B120" s="225"/>
      <c r="C120" s="225"/>
      <c r="D120" s="225"/>
      <c r="E120" s="225"/>
      <c r="F120" s="44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  <c r="AB120" s="225"/>
      <c r="AC120" s="225"/>
      <c r="AD120" s="225"/>
      <c r="AE120" s="225"/>
      <c r="AF120" s="225"/>
      <c r="AG120" s="225"/>
      <c r="AH120" s="225"/>
      <c r="AI120" s="225"/>
      <c r="AJ120" s="225"/>
      <c r="AK120" s="323"/>
      <c r="AL120" s="225"/>
    </row>
    <row r="121" ht="13.5" customHeight="1">
      <c r="A121" s="225"/>
      <c r="B121" s="225"/>
      <c r="C121" s="225"/>
      <c r="D121" s="225"/>
      <c r="E121" s="225"/>
      <c r="F121" s="44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  <c r="AB121" s="225"/>
      <c r="AC121" s="225"/>
      <c r="AD121" s="225"/>
      <c r="AE121" s="225"/>
      <c r="AF121" s="225"/>
      <c r="AG121" s="225"/>
      <c r="AH121" s="225"/>
      <c r="AI121" s="225"/>
      <c r="AJ121" s="225"/>
      <c r="AK121" s="323"/>
      <c r="AL121" s="225"/>
    </row>
    <row r="122" ht="13.5" customHeight="1">
      <c r="A122" s="225"/>
      <c r="B122" s="225"/>
      <c r="C122" s="225"/>
      <c r="D122" s="225"/>
      <c r="E122" s="225"/>
      <c r="F122" s="44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  <c r="AA122" s="225"/>
      <c r="AB122" s="225"/>
      <c r="AC122" s="225"/>
      <c r="AD122" s="225"/>
      <c r="AE122" s="225"/>
      <c r="AF122" s="225"/>
      <c r="AG122" s="225"/>
      <c r="AH122" s="225"/>
      <c r="AI122" s="225"/>
      <c r="AJ122" s="225"/>
      <c r="AK122" s="323"/>
      <c r="AL122" s="225"/>
    </row>
    <row r="123" ht="13.5" customHeight="1">
      <c r="A123" s="225"/>
      <c r="B123" s="225"/>
      <c r="C123" s="225"/>
      <c r="D123" s="225"/>
      <c r="E123" s="225"/>
      <c r="F123" s="44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  <c r="AC123" s="225"/>
      <c r="AD123" s="225"/>
      <c r="AE123" s="225"/>
      <c r="AF123" s="225"/>
      <c r="AG123" s="225"/>
      <c r="AH123" s="225"/>
      <c r="AI123" s="225"/>
      <c r="AJ123" s="225"/>
      <c r="AK123" s="323"/>
      <c r="AL123" s="225"/>
    </row>
    <row r="124" ht="13.5" customHeight="1">
      <c r="A124" s="225"/>
      <c r="B124" s="225"/>
      <c r="C124" s="225"/>
      <c r="D124" s="225"/>
      <c r="E124" s="225"/>
      <c r="F124" s="44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  <c r="AB124" s="225"/>
      <c r="AC124" s="225"/>
      <c r="AD124" s="225"/>
      <c r="AE124" s="225"/>
      <c r="AF124" s="225"/>
      <c r="AG124" s="225"/>
      <c r="AH124" s="225"/>
      <c r="AI124" s="225"/>
      <c r="AJ124" s="225"/>
      <c r="AK124" s="323"/>
      <c r="AL124" s="225"/>
    </row>
    <row r="125" ht="13.5" customHeight="1">
      <c r="A125" s="225"/>
      <c r="B125" s="225"/>
      <c r="C125" s="225"/>
      <c r="D125" s="225"/>
      <c r="E125" s="225"/>
      <c r="F125" s="44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  <c r="AB125" s="225"/>
      <c r="AC125" s="225"/>
      <c r="AD125" s="225"/>
      <c r="AE125" s="225"/>
      <c r="AF125" s="225"/>
      <c r="AG125" s="225"/>
      <c r="AH125" s="225"/>
      <c r="AI125" s="225"/>
      <c r="AJ125" s="225"/>
      <c r="AK125" s="323"/>
      <c r="AL125" s="225"/>
    </row>
    <row r="126" ht="13.5" customHeight="1">
      <c r="A126" s="225"/>
      <c r="B126" s="225"/>
      <c r="C126" s="225"/>
      <c r="D126" s="225"/>
      <c r="E126" s="225"/>
      <c r="F126" s="44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  <c r="AB126" s="225"/>
      <c r="AC126" s="225"/>
      <c r="AD126" s="225"/>
      <c r="AE126" s="225"/>
      <c r="AF126" s="225"/>
      <c r="AG126" s="225"/>
      <c r="AH126" s="225"/>
      <c r="AI126" s="225"/>
      <c r="AJ126" s="225"/>
      <c r="AK126" s="323"/>
      <c r="AL126" s="225"/>
    </row>
    <row r="127" ht="13.5" customHeight="1">
      <c r="A127" s="225"/>
      <c r="B127" s="225"/>
      <c r="C127" s="225"/>
      <c r="D127" s="225"/>
      <c r="E127" s="225"/>
      <c r="F127" s="44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323"/>
      <c r="AL127" s="225"/>
    </row>
    <row r="128" ht="13.5" customHeight="1">
      <c r="A128" s="225"/>
      <c r="B128" s="225"/>
      <c r="C128" s="225"/>
      <c r="D128" s="225"/>
      <c r="E128" s="225"/>
      <c r="F128" s="44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  <c r="AB128" s="225"/>
      <c r="AC128" s="225"/>
      <c r="AD128" s="225"/>
      <c r="AE128" s="225"/>
      <c r="AF128" s="225"/>
      <c r="AG128" s="225"/>
      <c r="AH128" s="225"/>
      <c r="AI128" s="225"/>
      <c r="AJ128" s="225"/>
      <c r="AK128" s="323"/>
      <c r="AL128" s="225"/>
    </row>
    <row r="129" ht="13.5" customHeight="1">
      <c r="A129" s="225"/>
      <c r="B129" s="225"/>
      <c r="C129" s="225"/>
      <c r="D129" s="225"/>
      <c r="E129" s="225"/>
      <c r="F129" s="44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  <c r="AB129" s="225"/>
      <c r="AC129" s="225"/>
      <c r="AD129" s="225"/>
      <c r="AE129" s="225"/>
      <c r="AF129" s="225"/>
      <c r="AG129" s="225"/>
      <c r="AH129" s="225"/>
      <c r="AI129" s="225"/>
      <c r="AJ129" s="225"/>
      <c r="AK129" s="323"/>
      <c r="AL129" s="225"/>
    </row>
    <row r="130" ht="13.5" customHeight="1">
      <c r="A130" s="225"/>
      <c r="B130" s="225"/>
      <c r="C130" s="225"/>
      <c r="D130" s="225"/>
      <c r="E130" s="225"/>
      <c r="F130" s="44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  <c r="AB130" s="225"/>
      <c r="AC130" s="225"/>
      <c r="AD130" s="225"/>
      <c r="AE130" s="225"/>
      <c r="AF130" s="225"/>
      <c r="AG130" s="225"/>
      <c r="AH130" s="225"/>
      <c r="AI130" s="225"/>
      <c r="AJ130" s="225"/>
      <c r="AK130" s="323"/>
      <c r="AL130" s="225"/>
    </row>
    <row r="131" ht="13.5" customHeight="1">
      <c r="A131" s="225"/>
      <c r="B131" s="225"/>
      <c r="C131" s="225"/>
      <c r="D131" s="225"/>
      <c r="E131" s="225"/>
      <c r="F131" s="44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323"/>
      <c r="AL131" s="225"/>
    </row>
    <row r="132" ht="13.5" customHeight="1">
      <c r="A132" s="225"/>
      <c r="B132" s="225"/>
      <c r="C132" s="225"/>
      <c r="D132" s="225"/>
      <c r="E132" s="225"/>
      <c r="F132" s="44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/>
      <c r="AB132" s="225"/>
      <c r="AC132" s="225"/>
      <c r="AD132" s="225"/>
      <c r="AE132" s="225"/>
      <c r="AF132" s="225"/>
      <c r="AG132" s="225"/>
      <c r="AH132" s="225"/>
      <c r="AI132" s="225"/>
      <c r="AJ132" s="225"/>
      <c r="AK132" s="323"/>
      <c r="AL132" s="225"/>
    </row>
    <row r="133" ht="13.5" customHeight="1">
      <c r="A133" s="225"/>
      <c r="B133" s="225"/>
      <c r="C133" s="225"/>
      <c r="D133" s="225"/>
      <c r="E133" s="225"/>
      <c r="F133" s="44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323"/>
      <c r="AL133" s="225"/>
    </row>
    <row r="134" ht="13.5" customHeight="1">
      <c r="A134" s="225"/>
      <c r="B134" s="225"/>
      <c r="C134" s="225"/>
      <c r="D134" s="225"/>
      <c r="E134" s="225"/>
      <c r="F134" s="44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  <c r="AA134" s="225"/>
      <c r="AB134" s="225"/>
      <c r="AC134" s="225"/>
      <c r="AD134" s="225"/>
      <c r="AE134" s="225"/>
      <c r="AF134" s="225"/>
      <c r="AG134" s="225"/>
      <c r="AH134" s="225"/>
      <c r="AI134" s="225"/>
      <c r="AJ134" s="225"/>
      <c r="AK134" s="323"/>
      <c r="AL134" s="225"/>
    </row>
    <row r="135" ht="13.5" customHeight="1">
      <c r="A135" s="225"/>
      <c r="B135" s="225"/>
      <c r="C135" s="225"/>
      <c r="D135" s="225"/>
      <c r="E135" s="225"/>
      <c r="F135" s="44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  <c r="AB135" s="225"/>
      <c r="AC135" s="225"/>
      <c r="AD135" s="225"/>
      <c r="AE135" s="225"/>
      <c r="AF135" s="225"/>
      <c r="AG135" s="225"/>
      <c r="AH135" s="225"/>
      <c r="AI135" s="225"/>
      <c r="AJ135" s="225"/>
      <c r="AK135" s="323"/>
      <c r="AL135" s="225"/>
    </row>
    <row r="136" ht="13.5" customHeight="1">
      <c r="A136" s="225"/>
      <c r="B136" s="225"/>
      <c r="C136" s="225"/>
      <c r="D136" s="225"/>
      <c r="E136" s="225"/>
      <c r="F136" s="44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  <c r="AB136" s="225"/>
      <c r="AC136" s="225"/>
      <c r="AD136" s="225"/>
      <c r="AE136" s="225"/>
      <c r="AF136" s="225"/>
      <c r="AG136" s="225"/>
      <c r="AH136" s="225"/>
      <c r="AI136" s="225"/>
      <c r="AJ136" s="225"/>
      <c r="AK136" s="323"/>
      <c r="AL136" s="225"/>
    </row>
    <row r="137" ht="13.5" customHeight="1">
      <c r="A137" s="225"/>
      <c r="B137" s="225"/>
      <c r="C137" s="225"/>
      <c r="D137" s="225"/>
      <c r="E137" s="225"/>
      <c r="F137" s="44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  <c r="AB137" s="225"/>
      <c r="AC137" s="225"/>
      <c r="AD137" s="225"/>
      <c r="AE137" s="225"/>
      <c r="AF137" s="225"/>
      <c r="AG137" s="225"/>
      <c r="AH137" s="225"/>
      <c r="AI137" s="225"/>
      <c r="AJ137" s="225"/>
      <c r="AK137" s="323"/>
      <c r="AL137" s="225"/>
    </row>
    <row r="138" ht="13.5" customHeight="1">
      <c r="A138" s="225"/>
      <c r="B138" s="225"/>
      <c r="C138" s="225"/>
      <c r="D138" s="225"/>
      <c r="E138" s="225"/>
      <c r="F138" s="44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  <c r="AA138" s="225"/>
      <c r="AB138" s="225"/>
      <c r="AC138" s="225"/>
      <c r="AD138" s="225"/>
      <c r="AE138" s="225"/>
      <c r="AF138" s="225"/>
      <c r="AG138" s="225"/>
      <c r="AH138" s="225"/>
      <c r="AI138" s="225"/>
      <c r="AJ138" s="225"/>
      <c r="AK138" s="323"/>
      <c r="AL138" s="225"/>
    </row>
    <row r="139" ht="13.5" customHeight="1">
      <c r="A139" s="225"/>
      <c r="B139" s="225"/>
      <c r="C139" s="225"/>
      <c r="D139" s="225"/>
      <c r="E139" s="225"/>
      <c r="F139" s="44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  <c r="AB139" s="225"/>
      <c r="AC139" s="225"/>
      <c r="AD139" s="225"/>
      <c r="AE139" s="225"/>
      <c r="AF139" s="225"/>
      <c r="AG139" s="225"/>
      <c r="AH139" s="225"/>
      <c r="AI139" s="225"/>
      <c r="AJ139" s="225"/>
      <c r="AK139" s="323"/>
      <c r="AL139" s="225"/>
    </row>
    <row r="140" ht="13.5" customHeight="1">
      <c r="A140" s="225"/>
      <c r="B140" s="225"/>
      <c r="C140" s="225"/>
      <c r="D140" s="225"/>
      <c r="E140" s="225"/>
      <c r="F140" s="44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  <c r="AB140" s="225"/>
      <c r="AC140" s="225"/>
      <c r="AD140" s="225"/>
      <c r="AE140" s="225"/>
      <c r="AF140" s="225"/>
      <c r="AG140" s="225"/>
      <c r="AH140" s="225"/>
      <c r="AI140" s="225"/>
      <c r="AJ140" s="225"/>
      <c r="AK140" s="323"/>
      <c r="AL140" s="225"/>
    </row>
    <row r="141" ht="13.5" customHeight="1">
      <c r="A141" s="225"/>
      <c r="B141" s="225"/>
      <c r="C141" s="225"/>
      <c r="D141" s="225"/>
      <c r="E141" s="225"/>
      <c r="F141" s="44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  <c r="AB141" s="225"/>
      <c r="AC141" s="225"/>
      <c r="AD141" s="225"/>
      <c r="AE141" s="225"/>
      <c r="AF141" s="225"/>
      <c r="AG141" s="225"/>
      <c r="AH141" s="225"/>
      <c r="AI141" s="225"/>
      <c r="AJ141" s="225"/>
      <c r="AK141" s="323"/>
      <c r="AL141" s="225"/>
    </row>
    <row r="142" ht="13.5" customHeight="1">
      <c r="A142" s="225"/>
      <c r="B142" s="225"/>
      <c r="C142" s="225"/>
      <c r="D142" s="225"/>
      <c r="E142" s="225"/>
      <c r="F142" s="44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  <c r="AA142" s="225"/>
      <c r="AB142" s="225"/>
      <c r="AC142" s="225"/>
      <c r="AD142" s="225"/>
      <c r="AE142" s="225"/>
      <c r="AF142" s="225"/>
      <c r="AG142" s="225"/>
      <c r="AH142" s="225"/>
      <c r="AI142" s="225"/>
      <c r="AJ142" s="225"/>
      <c r="AK142" s="323"/>
      <c r="AL142" s="225"/>
    </row>
    <row r="143" ht="13.5" customHeight="1">
      <c r="A143" s="225"/>
      <c r="B143" s="225"/>
      <c r="C143" s="225"/>
      <c r="D143" s="225"/>
      <c r="E143" s="225"/>
      <c r="F143" s="44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  <c r="AB143" s="225"/>
      <c r="AC143" s="225"/>
      <c r="AD143" s="225"/>
      <c r="AE143" s="225"/>
      <c r="AF143" s="225"/>
      <c r="AG143" s="225"/>
      <c r="AH143" s="225"/>
      <c r="AI143" s="225"/>
      <c r="AJ143" s="225"/>
      <c r="AK143" s="323"/>
      <c r="AL143" s="225"/>
    </row>
    <row r="144" ht="13.5" customHeight="1">
      <c r="A144" s="225"/>
      <c r="B144" s="225"/>
      <c r="C144" s="225"/>
      <c r="D144" s="225"/>
      <c r="E144" s="225"/>
      <c r="F144" s="44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  <c r="AC144" s="225"/>
      <c r="AD144" s="225"/>
      <c r="AE144" s="225"/>
      <c r="AF144" s="225"/>
      <c r="AG144" s="225"/>
      <c r="AH144" s="225"/>
      <c r="AI144" s="225"/>
      <c r="AJ144" s="225"/>
      <c r="AK144" s="323"/>
      <c r="AL144" s="225"/>
    </row>
    <row r="145" ht="13.5" customHeight="1">
      <c r="A145" s="225"/>
      <c r="B145" s="225"/>
      <c r="C145" s="225"/>
      <c r="D145" s="225"/>
      <c r="E145" s="225"/>
      <c r="F145" s="44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  <c r="AC145" s="225"/>
      <c r="AD145" s="225"/>
      <c r="AE145" s="225"/>
      <c r="AF145" s="225"/>
      <c r="AG145" s="225"/>
      <c r="AH145" s="225"/>
      <c r="AI145" s="225"/>
      <c r="AJ145" s="225"/>
      <c r="AK145" s="323"/>
      <c r="AL145" s="225"/>
    </row>
    <row r="146" ht="13.5" customHeight="1">
      <c r="A146" s="225"/>
      <c r="B146" s="225"/>
      <c r="C146" s="225"/>
      <c r="D146" s="225"/>
      <c r="E146" s="225"/>
      <c r="F146" s="44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  <c r="AB146" s="225"/>
      <c r="AC146" s="225"/>
      <c r="AD146" s="225"/>
      <c r="AE146" s="225"/>
      <c r="AF146" s="225"/>
      <c r="AG146" s="225"/>
      <c r="AH146" s="225"/>
      <c r="AI146" s="225"/>
      <c r="AJ146" s="225"/>
      <c r="AK146" s="323"/>
      <c r="AL146" s="225"/>
    </row>
    <row r="147" ht="13.5" customHeight="1">
      <c r="A147" s="225"/>
      <c r="B147" s="225"/>
      <c r="C147" s="225"/>
      <c r="D147" s="225"/>
      <c r="E147" s="225"/>
      <c r="F147" s="44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  <c r="AC147" s="225"/>
      <c r="AD147" s="225"/>
      <c r="AE147" s="225"/>
      <c r="AF147" s="225"/>
      <c r="AG147" s="225"/>
      <c r="AH147" s="225"/>
      <c r="AI147" s="225"/>
      <c r="AJ147" s="225"/>
      <c r="AK147" s="323"/>
      <c r="AL147" s="225"/>
    </row>
    <row r="148" ht="13.5" customHeight="1">
      <c r="A148" s="225"/>
      <c r="B148" s="225"/>
      <c r="C148" s="225"/>
      <c r="D148" s="225"/>
      <c r="E148" s="225"/>
      <c r="F148" s="44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5"/>
      <c r="AH148" s="225"/>
      <c r="AI148" s="225"/>
      <c r="AJ148" s="225"/>
      <c r="AK148" s="323"/>
      <c r="AL148" s="225"/>
    </row>
    <row r="149" ht="13.5" customHeight="1">
      <c r="A149" s="225"/>
      <c r="B149" s="225"/>
      <c r="C149" s="225"/>
      <c r="D149" s="225"/>
      <c r="E149" s="225"/>
      <c r="F149" s="44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/>
      <c r="AF149" s="225"/>
      <c r="AG149" s="225"/>
      <c r="AH149" s="225"/>
      <c r="AI149" s="225"/>
      <c r="AJ149" s="225"/>
      <c r="AK149" s="323"/>
      <c r="AL149" s="225"/>
    </row>
    <row r="150" ht="13.5" customHeight="1">
      <c r="A150" s="225"/>
      <c r="B150" s="225"/>
      <c r="C150" s="225"/>
      <c r="D150" s="225"/>
      <c r="E150" s="225"/>
      <c r="F150" s="44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  <c r="AB150" s="225"/>
      <c r="AC150" s="225"/>
      <c r="AD150" s="225"/>
      <c r="AE150" s="225"/>
      <c r="AF150" s="225"/>
      <c r="AG150" s="225"/>
      <c r="AH150" s="225"/>
      <c r="AI150" s="225"/>
      <c r="AJ150" s="225"/>
      <c r="AK150" s="323"/>
      <c r="AL150" s="225"/>
    </row>
    <row r="151" ht="13.5" customHeight="1">
      <c r="A151" s="225"/>
      <c r="B151" s="225"/>
      <c r="C151" s="225"/>
      <c r="D151" s="225"/>
      <c r="E151" s="225"/>
      <c r="F151" s="44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  <c r="AB151" s="225"/>
      <c r="AC151" s="225"/>
      <c r="AD151" s="225"/>
      <c r="AE151" s="225"/>
      <c r="AF151" s="225"/>
      <c r="AG151" s="225"/>
      <c r="AH151" s="225"/>
      <c r="AI151" s="225"/>
      <c r="AJ151" s="225"/>
      <c r="AK151" s="323"/>
      <c r="AL151" s="225"/>
    </row>
    <row r="152" ht="13.5" customHeight="1">
      <c r="A152" s="225"/>
      <c r="B152" s="225"/>
      <c r="C152" s="225"/>
      <c r="D152" s="225"/>
      <c r="E152" s="225"/>
      <c r="F152" s="44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  <c r="AB152" s="225"/>
      <c r="AC152" s="225"/>
      <c r="AD152" s="225"/>
      <c r="AE152" s="225"/>
      <c r="AF152" s="225"/>
      <c r="AG152" s="225"/>
      <c r="AH152" s="225"/>
      <c r="AI152" s="225"/>
      <c r="AJ152" s="225"/>
      <c r="AK152" s="323"/>
      <c r="AL152" s="225"/>
    </row>
    <row r="153" ht="13.5" customHeight="1">
      <c r="A153" s="225"/>
      <c r="B153" s="225"/>
      <c r="C153" s="225"/>
      <c r="D153" s="225"/>
      <c r="E153" s="225"/>
      <c r="F153" s="44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  <c r="AB153" s="225"/>
      <c r="AC153" s="225"/>
      <c r="AD153" s="225"/>
      <c r="AE153" s="225"/>
      <c r="AF153" s="225"/>
      <c r="AG153" s="225"/>
      <c r="AH153" s="225"/>
      <c r="AI153" s="225"/>
      <c r="AJ153" s="225"/>
      <c r="AK153" s="323"/>
      <c r="AL153" s="225"/>
    </row>
    <row r="154" ht="13.5" customHeight="1">
      <c r="A154" s="225"/>
      <c r="B154" s="225"/>
      <c r="C154" s="225"/>
      <c r="D154" s="225"/>
      <c r="E154" s="225"/>
      <c r="F154" s="44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  <c r="AB154" s="225"/>
      <c r="AC154" s="225"/>
      <c r="AD154" s="225"/>
      <c r="AE154" s="225"/>
      <c r="AF154" s="225"/>
      <c r="AG154" s="225"/>
      <c r="AH154" s="225"/>
      <c r="AI154" s="225"/>
      <c r="AJ154" s="225"/>
      <c r="AK154" s="323"/>
      <c r="AL154" s="225"/>
    </row>
    <row r="155" ht="13.5" customHeight="1">
      <c r="A155" s="225"/>
      <c r="B155" s="225"/>
      <c r="C155" s="225"/>
      <c r="D155" s="225"/>
      <c r="E155" s="225"/>
      <c r="F155" s="44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323"/>
      <c r="AL155" s="225"/>
    </row>
    <row r="156" ht="13.5" customHeight="1">
      <c r="A156" s="225"/>
      <c r="B156" s="225"/>
      <c r="C156" s="225"/>
      <c r="D156" s="225"/>
      <c r="E156" s="225"/>
      <c r="F156" s="44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  <c r="AB156" s="225"/>
      <c r="AC156" s="225"/>
      <c r="AD156" s="225"/>
      <c r="AE156" s="225"/>
      <c r="AF156" s="225"/>
      <c r="AG156" s="225"/>
      <c r="AH156" s="225"/>
      <c r="AI156" s="225"/>
      <c r="AJ156" s="225"/>
      <c r="AK156" s="323"/>
      <c r="AL156" s="225"/>
    </row>
    <row r="157" ht="13.5" customHeight="1">
      <c r="A157" s="225"/>
      <c r="B157" s="225"/>
      <c r="C157" s="225"/>
      <c r="D157" s="225"/>
      <c r="E157" s="225"/>
      <c r="F157" s="44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  <c r="AB157" s="225"/>
      <c r="AC157" s="225"/>
      <c r="AD157" s="225"/>
      <c r="AE157" s="225"/>
      <c r="AF157" s="225"/>
      <c r="AG157" s="225"/>
      <c r="AH157" s="225"/>
      <c r="AI157" s="225"/>
      <c r="AJ157" s="225"/>
      <c r="AK157" s="323"/>
      <c r="AL157" s="225"/>
    </row>
    <row r="158" ht="13.5" customHeight="1">
      <c r="A158" s="225"/>
      <c r="B158" s="225"/>
      <c r="C158" s="225"/>
      <c r="D158" s="225"/>
      <c r="E158" s="225"/>
      <c r="F158" s="44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5"/>
      <c r="AC158" s="225"/>
      <c r="AD158" s="225"/>
      <c r="AE158" s="225"/>
      <c r="AF158" s="225"/>
      <c r="AG158" s="225"/>
      <c r="AH158" s="225"/>
      <c r="AI158" s="225"/>
      <c r="AJ158" s="225"/>
      <c r="AK158" s="323"/>
      <c r="AL158" s="225"/>
    </row>
    <row r="159" ht="13.5" customHeight="1">
      <c r="A159" s="225"/>
      <c r="B159" s="225"/>
      <c r="C159" s="225"/>
      <c r="D159" s="225"/>
      <c r="E159" s="225"/>
      <c r="F159" s="44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B159" s="225"/>
      <c r="AC159" s="225"/>
      <c r="AD159" s="225"/>
      <c r="AE159" s="225"/>
      <c r="AF159" s="225"/>
      <c r="AG159" s="225"/>
      <c r="AH159" s="225"/>
      <c r="AI159" s="225"/>
      <c r="AJ159" s="225"/>
      <c r="AK159" s="323"/>
      <c r="AL159" s="225"/>
    </row>
    <row r="160" ht="13.5" customHeight="1">
      <c r="A160" s="225"/>
      <c r="B160" s="225"/>
      <c r="C160" s="225"/>
      <c r="D160" s="225"/>
      <c r="E160" s="225"/>
      <c r="F160" s="44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  <c r="AC160" s="225"/>
      <c r="AD160" s="225"/>
      <c r="AE160" s="225"/>
      <c r="AF160" s="225"/>
      <c r="AG160" s="225"/>
      <c r="AH160" s="225"/>
      <c r="AI160" s="225"/>
      <c r="AJ160" s="225"/>
      <c r="AK160" s="323"/>
      <c r="AL160" s="225"/>
    </row>
    <row r="161" ht="13.5" customHeight="1">
      <c r="A161" s="225"/>
      <c r="B161" s="225"/>
      <c r="C161" s="225"/>
      <c r="D161" s="225"/>
      <c r="E161" s="225"/>
      <c r="F161" s="44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25"/>
      <c r="AC161" s="225"/>
      <c r="AD161" s="225"/>
      <c r="AE161" s="225"/>
      <c r="AF161" s="225"/>
      <c r="AG161" s="225"/>
      <c r="AH161" s="225"/>
      <c r="AI161" s="225"/>
      <c r="AJ161" s="225"/>
      <c r="AK161" s="323"/>
      <c r="AL161" s="225"/>
    </row>
    <row r="162" ht="13.5" customHeight="1">
      <c r="A162" s="225"/>
      <c r="B162" s="225"/>
      <c r="C162" s="225"/>
      <c r="D162" s="225"/>
      <c r="E162" s="225"/>
      <c r="F162" s="44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  <c r="AB162" s="225"/>
      <c r="AC162" s="225"/>
      <c r="AD162" s="225"/>
      <c r="AE162" s="225"/>
      <c r="AF162" s="225"/>
      <c r="AG162" s="225"/>
      <c r="AH162" s="225"/>
      <c r="AI162" s="225"/>
      <c r="AJ162" s="225"/>
      <c r="AK162" s="323"/>
      <c r="AL162" s="225"/>
    </row>
    <row r="163" ht="13.5" customHeight="1">
      <c r="A163" s="225"/>
      <c r="B163" s="225"/>
      <c r="C163" s="225"/>
      <c r="D163" s="225"/>
      <c r="E163" s="225"/>
      <c r="F163" s="44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  <c r="AB163" s="225"/>
      <c r="AC163" s="225"/>
      <c r="AD163" s="225"/>
      <c r="AE163" s="225"/>
      <c r="AF163" s="225"/>
      <c r="AG163" s="225"/>
      <c r="AH163" s="225"/>
      <c r="AI163" s="225"/>
      <c r="AJ163" s="225"/>
      <c r="AK163" s="323"/>
      <c r="AL163" s="225"/>
    </row>
    <row r="164" ht="13.5" customHeight="1">
      <c r="A164" s="225"/>
      <c r="B164" s="225"/>
      <c r="C164" s="225"/>
      <c r="D164" s="225"/>
      <c r="E164" s="225"/>
      <c r="F164" s="44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  <c r="AB164" s="225"/>
      <c r="AC164" s="225"/>
      <c r="AD164" s="225"/>
      <c r="AE164" s="225"/>
      <c r="AF164" s="225"/>
      <c r="AG164" s="225"/>
      <c r="AH164" s="225"/>
      <c r="AI164" s="225"/>
      <c r="AJ164" s="225"/>
      <c r="AK164" s="323"/>
      <c r="AL164" s="225"/>
    </row>
    <row r="165" ht="13.5" customHeight="1">
      <c r="A165" s="225"/>
      <c r="B165" s="225"/>
      <c r="C165" s="225"/>
      <c r="D165" s="225"/>
      <c r="E165" s="225"/>
      <c r="F165" s="44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  <c r="AB165" s="225"/>
      <c r="AC165" s="225"/>
      <c r="AD165" s="225"/>
      <c r="AE165" s="225"/>
      <c r="AF165" s="225"/>
      <c r="AG165" s="225"/>
      <c r="AH165" s="225"/>
      <c r="AI165" s="225"/>
      <c r="AJ165" s="225"/>
      <c r="AK165" s="323"/>
      <c r="AL165" s="225"/>
    </row>
    <row r="166" ht="13.5" customHeight="1">
      <c r="A166" s="225"/>
      <c r="B166" s="225"/>
      <c r="C166" s="225"/>
      <c r="D166" s="225"/>
      <c r="E166" s="225"/>
      <c r="F166" s="44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  <c r="AB166" s="225"/>
      <c r="AC166" s="225"/>
      <c r="AD166" s="225"/>
      <c r="AE166" s="225"/>
      <c r="AF166" s="225"/>
      <c r="AG166" s="225"/>
      <c r="AH166" s="225"/>
      <c r="AI166" s="225"/>
      <c r="AJ166" s="225"/>
      <c r="AK166" s="323"/>
      <c r="AL166" s="225"/>
    </row>
    <row r="167" ht="13.5" customHeight="1">
      <c r="A167" s="225"/>
      <c r="B167" s="225"/>
      <c r="C167" s="225"/>
      <c r="D167" s="225"/>
      <c r="E167" s="225"/>
      <c r="F167" s="44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  <c r="AC167" s="225"/>
      <c r="AD167" s="225"/>
      <c r="AE167" s="225"/>
      <c r="AF167" s="225"/>
      <c r="AG167" s="225"/>
      <c r="AH167" s="225"/>
      <c r="AI167" s="225"/>
      <c r="AJ167" s="225"/>
      <c r="AK167" s="323"/>
      <c r="AL167" s="225"/>
    </row>
    <row r="168" ht="13.5" customHeight="1">
      <c r="A168" s="225"/>
      <c r="B168" s="225"/>
      <c r="C168" s="225"/>
      <c r="D168" s="225"/>
      <c r="E168" s="225"/>
      <c r="F168" s="44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  <c r="AB168" s="225"/>
      <c r="AC168" s="225"/>
      <c r="AD168" s="225"/>
      <c r="AE168" s="225"/>
      <c r="AF168" s="225"/>
      <c r="AG168" s="225"/>
      <c r="AH168" s="225"/>
      <c r="AI168" s="225"/>
      <c r="AJ168" s="225"/>
      <c r="AK168" s="323"/>
      <c r="AL168" s="225"/>
    </row>
    <row r="169" ht="13.5" customHeight="1">
      <c r="A169" s="225"/>
      <c r="B169" s="225"/>
      <c r="C169" s="225"/>
      <c r="D169" s="225"/>
      <c r="E169" s="225"/>
      <c r="F169" s="44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  <c r="AB169" s="225"/>
      <c r="AC169" s="225"/>
      <c r="AD169" s="225"/>
      <c r="AE169" s="225"/>
      <c r="AF169" s="225"/>
      <c r="AG169" s="225"/>
      <c r="AH169" s="225"/>
      <c r="AI169" s="225"/>
      <c r="AJ169" s="225"/>
      <c r="AK169" s="323"/>
      <c r="AL169" s="225"/>
    </row>
    <row r="170" ht="13.5" customHeight="1">
      <c r="A170" s="225"/>
      <c r="B170" s="225"/>
      <c r="C170" s="225"/>
      <c r="D170" s="225"/>
      <c r="E170" s="225"/>
      <c r="F170" s="44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5"/>
      <c r="AC170" s="225"/>
      <c r="AD170" s="225"/>
      <c r="AE170" s="225"/>
      <c r="AF170" s="225"/>
      <c r="AG170" s="225"/>
      <c r="AH170" s="225"/>
      <c r="AI170" s="225"/>
      <c r="AJ170" s="225"/>
      <c r="AK170" s="323"/>
      <c r="AL170" s="225"/>
    </row>
    <row r="171" ht="13.5" customHeight="1">
      <c r="A171" s="225"/>
      <c r="B171" s="225"/>
      <c r="C171" s="225"/>
      <c r="D171" s="225"/>
      <c r="E171" s="225"/>
      <c r="F171" s="44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B171" s="225"/>
      <c r="AC171" s="225"/>
      <c r="AD171" s="225"/>
      <c r="AE171" s="225"/>
      <c r="AF171" s="225"/>
      <c r="AG171" s="225"/>
      <c r="AH171" s="225"/>
      <c r="AI171" s="225"/>
      <c r="AJ171" s="225"/>
      <c r="AK171" s="323"/>
      <c r="AL171" s="225"/>
    </row>
    <row r="172" ht="13.5" customHeight="1">
      <c r="A172" s="225"/>
      <c r="B172" s="225"/>
      <c r="C172" s="225"/>
      <c r="D172" s="225"/>
      <c r="E172" s="225"/>
      <c r="F172" s="44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B172" s="225"/>
      <c r="AC172" s="225"/>
      <c r="AD172" s="225"/>
      <c r="AE172" s="225"/>
      <c r="AF172" s="225"/>
      <c r="AG172" s="225"/>
      <c r="AH172" s="225"/>
      <c r="AI172" s="225"/>
      <c r="AJ172" s="225"/>
      <c r="AK172" s="323"/>
      <c r="AL172" s="225"/>
    </row>
    <row r="173" ht="13.5" customHeight="1">
      <c r="A173" s="225"/>
      <c r="B173" s="225"/>
      <c r="C173" s="225"/>
      <c r="D173" s="225"/>
      <c r="E173" s="225"/>
      <c r="F173" s="44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323"/>
      <c r="AL173" s="225"/>
    </row>
    <row r="174" ht="13.5" customHeight="1">
      <c r="A174" s="225"/>
      <c r="B174" s="225"/>
      <c r="C174" s="225"/>
      <c r="D174" s="225"/>
      <c r="E174" s="225"/>
      <c r="F174" s="44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  <c r="AB174" s="225"/>
      <c r="AC174" s="225"/>
      <c r="AD174" s="225"/>
      <c r="AE174" s="225"/>
      <c r="AF174" s="225"/>
      <c r="AG174" s="225"/>
      <c r="AH174" s="225"/>
      <c r="AI174" s="225"/>
      <c r="AJ174" s="225"/>
      <c r="AK174" s="323"/>
      <c r="AL174" s="225"/>
    </row>
    <row r="175" ht="13.5" customHeight="1">
      <c r="A175" s="225"/>
      <c r="B175" s="225"/>
      <c r="C175" s="225"/>
      <c r="D175" s="225"/>
      <c r="E175" s="225"/>
      <c r="F175" s="44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  <c r="AB175" s="225"/>
      <c r="AC175" s="225"/>
      <c r="AD175" s="225"/>
      <c r="AE175" s="225"/>
      <c r="AF175" s="225"/>
      <c r="AG175" s="225"/>
      <c r="AH175" s="225"/>
      <c r="AI175" s="225"/>
      <c r="AJ175" s="225"/>
      <c r="AK175" s="323"/>
      <c r="AL175" s="225"/>
    </row>
    <row r="176" ht="13.5" customHeight="1">
      <c r="A176" s="225"/>
      <c r="B176" s="225"/>
      <c r="C176" s="225"/>
      <c r="D176" s="225"/>
      <c r="E176" s="225"/>
      <c r="F176" s="44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  <c r="AB176" s="225"/>
      <c r="AC176" s="225"/>
      <c r="AD176" s="225"/>
      <c r="AE176" s="225"/>
      <c r="AF176" s="225"/>
      <c r="AG176" s="225"/>
      <c r="AH176" s="225"/>
      <c r="AI176" s="225"/>
      <c r="AJ176" s="225"/>
      <c r="AK176" s="323"/>
      <c r="AL176" s="225"/>
    </row>
    <row r="177" ht="13.5" customHeight="1">
      <c r="A177" s="225"/>
      <c r="B177" s="225"/>
      <c r="C177" s="225"/>
      <c r="D177" s="225"/>
      <c r="E177" s="225"/>
      <c r="F177" s="44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  <c r="AB177" s="225"/>
      <c r="AC177" s="225"/>
      <c r="AD177" s="225"/>
      <c r="AE177" s="225"/>
      <c r="AF177" s="225"/>
      <c r="AG177" s="225"/>
      <c r="AH177" s="225"/>
      <c r="AI177" s="225"/>
      <c r="AJ177" s="225"/>
      <c r="AK177" s="323"/>
      <c r="AL177" s="225"/>
    </row>
    <row r="178" ht="13.5" customHeight="1">
      <c r="A178" s="225"/>
      <c r="B178" s="225"/>
      <c r="C178" s="225"/>
      <c r="D178" s="225"/>
      <c r="E178" s="225"/>
      <c r="F178" s="44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  <c r="AB178" s="225"/>
      <c r="AC178" s="225"/>
      <c r="AD178" s="225"/>
      <c r="AE178" s="225"/>
      <c r="AF178" s="225"/>
      <c r="AG178" s="225"/>
      <c r="AH178" s="225"/>
      <c r="AI178" s="225"/>
      <c r="AJ178" s="225"/>
      <c r="AK178" s="323"/>
      <c r="AL178" s="225"/>
    </row>
    <row r="179" ht="13.5" customHeight="1">
      <c r="A179" s="225"/>
      <c r="B179" s="225"/>
      <c r="C179" s="225"/>
      <c r="D179" s="225"/>
      <c r="E179" s="225"/>
      <c r="F179" s="44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  <c r="AB179" s="225"/>
      <c r="AC179" s="225"/>
      <c r="AD179" s="225"/>
      <c r="AE179" s="225"/>
      <c r="AF179" s="225"/>
      <c r="AG179" s="225"/>
      <c r="AH179" s="225"/>
      <c r="AI179" s="225"/>
      <c r="AJ179" s="225"/>
      <c r="AK179" s="323"/>
      <c r="AL179" s="225"/>
    </row>
    <row r="180" ht="13.5" customHeight="1">
      <c r="A180" s="225"/>
      <c r="B180" s="225"/>
      <c r="C180" s="225"/>
      <c r="D180" s="225"/>
      <c r="E180" s="225"/>
      <c r="F180" s="44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  <c r="AB180" s="225"/>
      <c r="AC180" s="225"/>
      <c r="AD180" s="225"/>
      <c r="AE180" s="225"/>
      <c r="AF180" s="225"/>
      <c r="AG180" s="225"/>
      <c r="AH180" s="225"/>
      <c r="AI180" s="225"/>
      <c r="AJ180" s="225"/>
      <c r="AK180" s="323"/>
      <c r="AL180" s="225"/>
    </row>
    <row r="181" ht="13.5" customHeight="1">
      <c r="A181" s="225"/>
      <c r="B181" s="225"/>
      <c r="C181" s="225"/>
      <c r="D181" s="225"/>
      <c r="E181" s="225"/>
      <c r="F181" s="44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  <c r="AB181" s="225"/>
      <c r="AC181" s="225"/>
      <c r="AD181" s="225"/>
      <c r="AE181" s="225"/>
      <c r="AF181" s="225"/>
      <c r="AG181" s="225"/>
      <c r="AH181" s="225"/>
      <c r="AI181" s="225"/>
      <c r="AJ181" s="225"/>
      <c r="AK181" s="323"/>
      <c r="AL181" s="225"/>
    </row>
    <row r="182" ht="13.5" customHeight="1">
      <c r="A182" s="225"/>
      <c r="B182" s="225"/>
      <c r="C182" s="225"/>
      <c r="D182" s="225"/>
      <c r="E182" s="225"/>
      <c r="F182" s="44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5"/>
      <c r="AC182" s="225"/>
      <c r="AD182" s="225"/>
      <c r="AE182" s="225"/>
      <c r="AF182" s="225"/>
      <c r="AG182" s="225"/>
      <c r="AH182" s="225"/>
      <c r="AI182" s="225"/>
      <c r="AJ182" s="225"/>
      <c r="AK182" s="323"/>
      <c r="AL182" s="225"/>
    </row>
    <row r="183" ht="13.5" customHeight="1">
      <c r="A183" s="225"/>
      <c r="B183" s="225"/>
      <c r="C183" s="225"/>
      <c r="D183" s="225"/>
      <c r="E183" s="225"/>
      <c r="F183" s="44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323"/>
      <c r="AL183" s="225"/>
    </row>
    <row r="184" ht="13.5" customHeight="1">
      <c r="A184" s="225"/>
      <c r="B184" s="225"/>
      <c r="C184" s="225"/>
      <c r="D184" s="225"/>
      <c r="E184" s="225"/>
      <c r="F184" s="44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B184" s="225"/>
      <c r="AC184" s="225"/>
      <c r="AD184" s="225"/>
      <c r="AE184" s="225"/>
      <c r="AF184" s="225"/>
      <c r="AG184" s="225"/>
      <c r="AH184" s="225"/>
      <c r="AI184" s="225"/>
      <c r="AJ184" s="225"/>
      <c r="AK184" s="323"/>
      <c r="AL184" s="225"/>
    </row>
    <row r="185" ht="13.5" customHeight="1">
      <c r="A185" s="225"/>
      <c r="B185" s="225"/>
      <c r="C185" s="225"/>
      <c r="D185" s="225"/>
      <c r="E185" s="225"/>
      <c r="F185" s="44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  <c r="AC185" s="225"/>
      <c r="AD185" s="225"/>
      <c r="AE185" s="225"/>
      <c r="AF185" s="225"/>
      <c r="AG185" s="225"/>
      <c r="AH185" s="225"/>
      <c r="AI185" s="225"/>
      <c r="AJ185" s="225"/>
      <c r="AK185" s="323"/>
      <c r="AL185" s="225"/>
    </row>
    <row r="186" ht="13.5" customHeight="1">
      <c r="A186" s="225"/>
      <c r="B186" s="225"/>
      <c r="C186" s="225"/>
      <c r="D186" s="225"/>
      <c r="E186" s="225"/>
      <c r="F186" s="44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  <c r="AB186" s="225"/>
      <c r="AC186" s="225"/>
      <c r="AD186" s="225"/>
      <c r="AE186" s="225"/>
      <c r="AF186" s="225"/>
      <c r="AG186" s="225"/>
      <c r="AH186" s="225"/>
      <c r="AI186" s="225"/>
      <c r="AJ186" s="225"/>
      <c r="AK186" s="323"/>
      <c r="AL186" s="225"/>
    </row>
    <row r="187" ht="13.5" customHeight="1">
      <c r="A187" s="225"/>
      <c r="B187" s="225"/>
      <c r="C187" s="225"/>
      <c r="D187" s="225"/>
      <c r="E187" s="225"/>
      <c r="F187" s="44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  <c r="AB187" s="225"/>
      <c r="AC187" s="225"/>
      <c r="AD187" s="225"/>
      <c r="AE187" s="225"/>
      <c r="AF187" s="225"/>
      <c r="AG187" s="225"/>
      <c r="AH187" s="225"/>
      <c r="AI187" s="225"/>
      <c r="AJ187" s="225"/>
      <c r="AK187" s="323"/>
      <c r="AL187" s="225"/>
    </row>
    <row r="188" ht="13.5" customHeight="1">
      <c r="A188" s="225"/>
      <c r="B188" s="225"/>
      <c r="C188" s="225"/>
      <c r="D188" s="225"/>
      <c r="E188" s="225"/>
      <c r="F188" s="44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  <c r="AB188" s="225"/>
      <c r="AC188" s="225"/>
      <c r="AD188" s="225"/>
      <c r="AE188" s="225"/>
      <c r="AF188" s="225"/>
      <c r="AG188" s="225"/>
      <c r="AH188" s="225"/>
      <c r="AI188" s="225"/>
      <c r="AJ188" s="225"/>
      <c r="AK188" s="323"/>
      <c r="AL188" s="225"/>
    </row>
    <row r="189" ht="13.5" customHeight="1">
      <c r="A189" s="225"/>
      <c r="B189" s="225"/>
      <c r="C189" s="225"/>
      <c r="D189" s="225"/>
      <c r="E189" s="225"/>
      <c r="F189" s="44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  <c r="AB189" s="225"/>
      <c r="AC189" s="225"/>
      <c r="AD189" s="225"/>
      <c r="AE189" s="225"/>
      <c r="AF189" s="225"/>
      <c r="AG189" s="225"/>
      <c r="AH189" s="225"/>
      <c r="AI189" s="225"/>
      <c r="AJ189" s="225"/>
      <c r="AK189" s="323"/>
      <c r="AL189" s="225"/>
    </row>
    <row r="190" ht="13.5" customHeight="1">
      <c r="A190" s="225"/>
      <c r="B190" s="225"/>
      <c r="C190" s="225"/>
      <c r="D190" s="225"/>
      <c r="E190" s="225"/>
      <c r="F190" s="44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  <c r="AB190" s="225"/>
      <c r="AC190" s="225"/>
      <c r="AD190" s="225"/>
      <c r="AE190" s="225"/>
      <c r="AF190" s="225"/>
      <c r="AG190" s="225"/>
      <c r="AH190" s="225"/>
      <c r="AI190" s="225"/>
      <c r="AJ190" s="225"/>
      <c r="AK190" s="323"/>
      <c r="AL190" s="225"/>
    </row>
    <row r="191" ht="13.5" customHeight="1">
      <c r="A191" s="225"/>
      <c r="B191" s="225"/>
      <c r="C191" s="225"/>
      <c r="D191" s="225"/>
      <c r="E191" s="225"/>
      <c r="F191" s="44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  <c r="AB191" s="225"/>
      <c r="AC191" s="225"/>
      <c r="AD191" s="225"/>
      <c r="AE191" s="225"/>
      <c r="AF191" s="225"/>
      <c r="AG191" s="225"/>
      <c r="AH191" s="225"/>
      <c r="AI191" s="225"/>
      <c r="AJ191" s="225"/>
      <c r="AK191" s="323"/>
      <c r="AL191" s="225"/>
    </row>
    <row r="192" ht="13.5" customHeight="1">
      <c r="A192" s="225"/>
      <c r="B192" s="225"/>
      <c r="C192" s="225"/>
      <c r="D192" s="225"/>
      <c r="E192" s="225"/>
      <c r="F192" s="44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  <c r="AB192" s="225"/>
      <c r="AC192" s="225"/>
      <c r="AD192" s="225"/>
      <c r="AE192" s="225"/>
      <c r="AF192" s="225"/>
      <c r="AG192" s="225"/>
      <c r="AH192" s="225"/>
      <c r="AI192" s="225"/>
      <c r="AJ192" s="225"/>
      <c r="AK192" s="323"/>
      <c r="AL192" s="225"/>
    </row>
    <row r="193" ht="13.5" customHeight="1">
      <c r="A193" s="225"/>
      <c r="B193" s="225"/>
      <c r="C193" s="225"/>
      <c r="D193" s="225"/>
      <c r="E193" s="225"/>
      <c r="F193" s="44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  <c r="AB193" s="225"/>
      <c r="AC193" s="225"/>
      <c r="AD193" s="225"/>
      <c r="AE193" s="225"/>
      <c r="AF193" s="225"/>
      <c r="AG193" s="225"/>
      <c r="AH193" s="225"/>
      <c r="AI193" s="225"/>
      <c r="AJ193" s="225"/>
      <c r="AK193" s="323"/>
      <c r="AL193" s="225"/>
    </row>
    <row r="194" ht="13.5" customHeight="1">
      <c r="A194" s="225"/>
      <c r="B194" s="225"/>
      <c r="C194" s="225"/>
      <c r="D194" s="225"/>
      <c r="E194" s="225"/>
      <c r="F194" s="44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  <c r="AB194" s="225"/>
      <c r="AC194" s="225"/>
      <c r="AD194" s="225"/>
      <c r="AE194" s="225"/>
      <c r="AF194" s="225"/>
      <c r="AG194" s="225"/>
      <c r="AH194" s="225"/>
      <c r="AI194" s="225"/>
      <c r="AJ194" s="225"/>
      <c r="AK194" s="323"/>
      <c r="AL194" s="225"/>
    </row>
    <row r="195" ht="13.5" customHeight="1">
      <c r="A195" s="225"/>
      <c r="B195" s="225"/>
      <c r="C195" s="225"/>
      <c r="D195" s="225"/>
      <c r="E195" s="225"/>
      <c r="F195" s="44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  <c r="AB195" s="225"/>
      <c r="AC195" s="225"/>
      <c r="AD195" s="225"/>
      <c r="AE195" s="225"/>
      <c r="AF195" s="225"/>
      <c r="AG195" s="225"/>
      <c r="AH195" s="225"/>
      <c r="AI195" s="225"/>
      <c r="AJ195" s="225"/>
      <c r="AK195" s="323"/>
      <c r="AL195" s="225"/>
    </row>
    <row r="196" ht="13.5" customHeight="1">
      <c r="A196" s="225"/>
      <c r="B196" s="225"/>
      <c r="C196" s="225"/>
      <c r="D196" s="225"/>
      <c r="E196" s="225"/>
      <c r="F196" s="44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  <c r="AB196" s="225"/>
      <c r="AC196" s="225"/>
      <c r="AD196" s="225"/>
      <c r="AE196" s="225"/>
      <c r="AF196" s="225"/>
      <c r="AG196" s="225"/>
      <c r="AH196" s="225"/>
      <c r="AI196" s="225"/>
      <c r="AJ196" s="225"/>
      <c r="AK196" s="323"/>
      <c r="AL196" s="225"/>
    </row>
    <row r="197" ht="13.5" customHeight="1">
      <c r="A197" s="225"/>
      <c r="B197" s="225"/>
      <c r="C197" s="225"/>
      <c r="D197" s="225"/>
      <c r="E197" s="225"/>
      <c r="F197" s="44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  <c r="AB197" s="225"/>
      <c r="AC197" s="225"/>
      <c r="AD197" s="225"/>
      <c r="AE197" s="225"/>
      <c r="AF197" s="225"/>
      <c r="AG197" s="225"/>
      <c r="AH197" s="225"/>
      <c r="AI197" s="225"/>
      <c r="AJ197" s="225"/>
      <c r="AK197" s="323"/>
      <c r="AL197" s="225"/>
    </row>
    <row r="198" ht="13.5" customHeight="1">
      <c r="A198" s="225"/>
      <c r="B198" s="225"/>
      <c r="C198" s="225"/>
      <c r="D198" s="225"/>
      <c r="E198" s="225"/>
      <c r="F198" s="44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  <c r="AA198" s="225"/>
      <c r="AB198" s="225"/>
      <c r="AC198" s="225"/>
      <c r="AD198" s="225"/>
      <c r="AE198" s="225"/>
      <c r="AF198" s="225"/>
      <c r="AG198" s="225"/>
      <c r="AH198" s="225"/>
      <c r="AI198" s="225"/>
      <c r="AJ198" s="225"/>
      <c r="AK198" s="323"/>
      <c r="AL198" s="225"/>
    </row>
    <row r="199" ht="13.5" customHeight="1">
      <c r="A199" s="225"/>
      <c r="B199" s="225"/>
      <c r="C199" s="225"/>
      <c r="D199" s="225"/>
      <c r="E199" s="225"/>
      <c r="F199" s="44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323"/>
      <c r="AL199" s="225"/>
    </row>
    <row r="200" ht="13.5" customHeight="1">
      <c r="A200" s="225"/>
      <c r="B200" s="225"/>
      <c r="C200" s="225"/>
      <c r="D200" s="225"/>
      <c r="E200" s="225"/>
      <c r="F200" s="44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  <c r="AA200" s="225"/>
      <c r="AB200" s="225"/>
      <c r="AC200" s="225"/>
      <c r="AD200" s="225"/>
      <c r="AE200" s="225"/>
      <c r="AF200" s="225"/>
      <c r="AG200" s="225"/>
      <c r="AH200" s="225"/>
      <c r="AI200" s="225"/>
      <c r="AJ200" s="225"/>
      <c r="AK200" s="323"/>
      <c r="AL200" s="225"/>
    </row>
    <row r="201" ht="13.5" customHeight="1">
      <c r="A201" s="225"/>
      <c r="B201" s="225"/>
      <c r="C201" s="225"/>
      <c r="D201" s="225"/>
      <c r="E201" s="225"/>
      <c r="F201" s="44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  <c r="AB201" s="225"/>
      <c r="AC201" s="225"/>
      <c r="AD201" s="225"/>
      <c r="AE201" s="225"/>
      <c r="AF201" s="225"/>
      <c r="AG201" s="225"/>
      <c r="AH201" s="225"/>
      <c r="AI201" s="225"/>
      <c r="AJ201" s="225"/>
      <c r="AK201" s="323"/>
      <c r="AL201" s="225"/>
    </row>
    <row r="202" ht="13.5" customHeight="1">
      <c r="A202" s="225"/>
      <c r="B202" s="225"/>
      <c r="C202" s="225"/>
      <c r="D202" s="225"/>
      <c r="E202" s="225"/>
      <c r="F202" s="44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  <c r="AA202" s="225"/>
      <c r="AB202" s="225"/>
      <c r="AC202" s="225"/>
      <c r="AD202" s="225"/>
      <c r="AE202" s="225"/>
      <c r="AF202" s="225"/>
      <c r="AG202" s="225"/>
      <c r="AH202" s="225"/>
      <c r="AI202" s="225"/>
      <c r="AJ202" s="225"/>
      <c r="AK202" s="323"/>
      <c r="AL202" s="225"/>
    </row>
    <row r="203" ht="13.5" customHeight="1">
      <c r="A203" s="225"/>
      <c r="B203" s="225"/>
      <c r="C203" s="225"/>
      <c r="D203" s="225"/>
      <c r="E203" s="225"/>
      <c r="F203" s="44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  <c r="AB203" s="225"/>
      <c r="AC203" s="225"/>
      <c r="AD203" s="225"/>
      <c r="AE203" s="225"/>
      <c r="AF203" s="225"/>
      <c r="AG203" s="225"/>
      <c r="AH203" s="225"/>
      <c r="AI203" s="225"/>
      <c r="AJ203" s="225"/>
      <c r="AK203" s="323"/>
      <c r="AL203" s="225"/>
    </row>
    <row r="204" ht="13.5" customHeight="1">
      <c r="A204" s="225"/>
      <c r="B204" s="225"/>
      <c r="C204" s="225"/>
      <c r="D204" s="225"/>
      <c r="E204" s="225"/>
      <c r="F204" s="44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  <c r="AA204" s="225"/>
      <c r="AB204" s="225"/>
      <c r="AC204" s="225"/>
      <c r="AD204" s="225"/>
      <c r="AE204" s="225"/>
      <c r="AF204" s="225"/>
      <c r="AG204" s="225"/>
      <c r="AH204" s="225"/>
      <c r="AI204" s="225"/>
      <c r="AJ204" s="225"/>
      <c r="AK204" s="323"/>
      <c r="AL204" s="225"/>
    </row>
    <row r="205" ht="13.5" customHeight="1">
      <c r="A205" s="225"/>
      <c r="B205" s="225"/>
      <c r="C205" s="225"/>
      <c r="D205" s="225"/>
      <c r="E205" s="225"/>
      <c r="F205" s="44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  <c r="AB205" s="225"/>
      <c r="AC205" s="225"/>
      <c r="AD205" s="225"/>
      <c r="AE205" s="225"/>
      <c r="AF205" s="225"/>
      <c r="AG205" s="225"/>
      <c r="AH205" s="225"/>
      <c r="AI205" s="225"/>
      <c r="AJ205" s="225"/>
      <c r="AK205" s="323"/>
      <c r="AL205" s="225"/>
    </row>
    <row r="206" ht="13.5" customHeight="1">
      <c r="A206" s="225"/>
      <c r="B206" s="225"/>
      <c r="C206" s="225"/>
      <c r="D206" s="225"/>
      <c r="E206" s="225"/>
      <c r="F206" s="44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  <c r="AA206" s="225"/>
      <c r="AB206" s="225"/>
      <c r="AC206" s="225"/>
      <c r="AD206" s="225"/>
      <c r="AE206" s="225"/>
      <c r="AF206" s="225"/>
      <c r="AG206" s="225"/>
      <c r="AH206" s="225"/>
      <c r="AI206" s="225"/>
      <c r="AJ206" s="225"/>
      <c r="AK206" s="323"/>
      <c r="AL206" s="225"/>
    </row>
    <row r="207" ht="13.5" customHeight="1">
      <c r="A207" s="225"/>
      <c r="B207" s="225"/>
      <c r="C207" s="225"/>
      <c r="D207" s="225"/>
      <c r="E207" s="225"/>
      <c r="F207" s="44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  <c r="AB207" s="225"/>
      <c r="AC207" s="225"/>
      <c r="AD207" s="225"/>
      <c r="AE207" s="225"/>
      <c r="AF207" s="225"/>
      <c r="AG207" s="225"/>
      <c r="AH207" s="225"/>
      <c r="AI207" s="225"/>
      <c r="AJ207" s="225"/>
      <c r="AK207" s="323"/>
      <c r="AL207" s="225"/>
    </row>
    <row r="208" ht="13.5" customHeight="1">
      <c r="A208" s="225"/>
      <c r="B208" s="225"/>
      <c r="C208" s="225"/>
      <c r="D208" s="225"/>
      <c r="E208" s="225"/>
      <c r="F208" s="44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  <c r="AA208" s="225"/>
      <c r="AB208" s="225"/>
      <c r="AC208" s="225"/>
      <c r="AD208" s="225"/>
      <c r="AE208" s="225"/>
      <c r="AF208" s="225"/>
      <c r="AG208" s="225"/>
      <c r="AH208" s="225"/>
      <c r="AI208" s="225"/>
      <c r="AJ208" s="225"/>
      <c r="AK208" s="323"/>
      <c r="AL208" s="225"/>
    </row>
    <row r="209" ht="13.5" customHeight="1">
      <c r="A209" s="225"/>
      <c r="B209" s="225"/>
      <c r="C209" s="225"/>
      <c r="D209" s="225"/>
      <c r="E209" s="225"/>
      <c r="F209" s="44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  <c r="AB209" s="225"/>
      <c r="AC209" s="225"/>
      <c r="AD209" s="225"/>
      <c r="AE209" s="225"/>
      <c r="AF209" s="225"/>
      <c r="AG209" s="225"/>
      <c r="AH209" s="225"/>
      <c r="AI209" s="225"/>
      <c r="AJ209" s="225"/>
      <c r="AK209" s="323"/>
      <c r="AL209" s="225"/>
    </row>
    <row r="210" ht="13.5" customHeight="1">
      <c r="A210" s="225"/>
      <c r="B210" s="225"/>
      <c r="C210" s="225"/>
      <c r="D210" s="225"/>
      <c r="E210" s="225"/>
      <c r="F210" s="44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  <c r="AB210" s="225"/>
      <c r="AC210" s="225"/>
      <c r="AD210" s="225"/>
      <c r="AE210" s="225"/>
      <c r="AF210" s="225"/>
      <c r="AG210" s="225"/>
      <c r="AH210" s="225"/>
      <c r="AI210" s="225"/>
      <c r="AJ210" s="225"/>
      <c r="AK210" s="323"/>
      <c r="AL210" s="225"/>
    </row>
    <row r="211" ht="13.5" customHeight="1">
      <c r="A211" s="225"/>
      <c r="B211" s="225"/>
      <c r="C211" s="225"/>
      <c r="D211" s="225"/>
      <c r="E211" s="225"/>
      <c r="F211" s="44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  <c r="AB211" s="225"/>
      <c r="AC211" s="225"/>
      <c r="AD211" s="225"/>
      <c r="AE211" s="225"/>
      <c r="AF211" s="225"/>
      <c r="AG211" s="225"/>
      <c r="AH211" s="225"/>
      <c r="AI211" s="225"/>
      <c r="AJ211" s="225"/>
      <c r="AK211" s="323"/>
      <c r="AL211" s="225"/>
    </row>
    <row r="212" ht="13.5" customHeight="1">
      <c r="A212" s="225"/>
      <c r="B212" s="225"/>
      <c r="C212" s="225"/>
      <c r="D212" s="225"/>
      <c r="E212" s="225"/>
      <c r="F212" s="44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  <c r="AA212" s="225"/>
      <c r="AB212" s="225"/>
      <c r="AC212" s="225"/>
      <c r="AD212" s="225"/>
      <c r="AE212" s="225"/>
      <c r="AF212" s="225"/>
      <c r="AG212" s="225"/>
      <c r="AH212" s="225"/>
      <c r="AI212" s="225"/>
      <c r="AJ212" s="225"/>
      <c r="AK212" s="323"/>
      <c r="AL212" s="225"/>
    </row>
    <row r="213" ht="13.5" customHeight="1">
      <c r="A213" s="225"/>
      <c r="B213" s="225"/>
      <c r="C213" s="225"/>
      <c r="D213" s="225"/>
      <c r="E213" s="225"/>
      <c r="F213" s="44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  <c r="AB213" s="225"/>
      <c r="AC213" s="225"/>
      <c r="AD213" s="225"/>
      <c r="AE213" s="225"/>
      <c r="AF213" s="225"/>
      <c r="AG213" s="225"/>
      <c r="AH213" s="225"/>
      <c r="AI213" s="225"/>
      <c r="AJ213" s="225"/>
      <c r="AK213" s="323"/>
      <c r="AL213" s="225"/>
    </row>
    <row r="214" ht="13.5" customHeight="1">
      <c r="A214" s="225"/>
      <c r="B214" s="225"/>
      <c r="C214" s="225"/>
      <c r="D214" s="225"/>
      <c r="E214" s="225"/>
      <c r="F214" s="44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225"/>
      <c r="AB214" s="225"/>
      <c r="AC214" s="225"/>
      <c r="AD214" s="225"/>
      <c r="AE214" s="225"/>
      <c r="AF214" s="225"/>
      <c r="AG214" s="225"/>
      <c r="AH214" s="225"/>
      <c r="AI214" s="225"/>
      <c r="AJ214" s="225"/>
      <c r="AK214" s="323"/>
      <c r="AL214" s="225"/>
    </row>
    <row r="215" ht="13.5" customHeight="1">
      <c r="A215" s="225"/>
      <c r="B215" s="225"/>
      <c r="C215" s="225"/>
      <c r="D215" s="225"/>
      <c r="E215" s="225"/>
      <c r="F215" s="44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  <c r="AB215" s="225"/>
      <c r="AC215" s="225"/>
      <c r="AD215" s="225"/>
      <c r="AE215" s="225"/>
      <c r="AF215" s="225"/>
      <c r="AG215" s="225"/>
      <c r="AH215" s="225"/>
      <c r="AI215" s="225"/>
      <c r="AJ215" s="225"/>
      <c r="AK215" s="323"/>
      <c r="AL215" s="225"/>
    </row>
    <row r="216" ht="13.5" customHeight="1">
      <c r="A216" s="225"/>
      <c r="B216" s="225"/>
      <c r="C216" s="225"/>
      <c r="D216" s="225"/>
      <c r="E216" s="225"/>
      <c r="F216" s="44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  <c r="AA216" s="225"/>
      <c r="AB216" s="225"/>
      <c r="AC216" s="225"/>
      <c r="AD216" s="225"/>
      <c r="AE216" s="225"/>
      <c r="AF216" s="225"/>
      <c r="AG216" s="225"/>
      <c r="AH216" s="225"/>
      <c r="AI216" s="225"/>
      <c r="AJ216" s="225"/>
      <c r="AK216" s="323"/>
      <c r="AL216" s="225"/>
    </row>
    <row r="217" ht="13.5" customHeight="1">
      <c r="A217" s="225"/>
      <c r="B217" s="225"/>
      <c r="C217" s="225"/>
      <c r="D217" s="225"/>
      <c r="E217" s="225"/>
      <c r="F217" s="44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  <c r="AB217" s="225"/>
      <c r="AC217" s="225"/>
      <c r="AD217" s="225"/>
      <c r="AE217" s="225"/>
      <c r="AF217" s="225"/>
      <c r="AG217" s="225"/>
      <c r="AH217" s="225"/>
      <c r="AI217" s="225"/>
      <c r="AJ217" s="225"/>
      <c r="AK217" s="323"/>
      <c r="AL217" s="225"/>
    </row>
    <row r="218" ht="13.5" customHeight="1">
      <c r="A218" s="225"/>
      <c r="B218" s="225"/>
      <c r="C218" s="225"/>
      <c r="D218" s="225"/>
      <c r="E218" s="225"/>
      <c r="F218" s="44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  <c r="AA218" s="225"/>
      <c r="AB218" s="225"/>
      <c r="AC218" s="225"/>
      <c r="AD218" s="225"/>
      <c r="AE218" s="225"/>
      <c r="AF218" s="225"/>
      <c r="AG218" s="225"/>
      <c r="AH218" s="225"/>
      <c r="AI218" s="225"/>
      <c r="AJ218" s="225"/>
      <c r="AK218" s="323"/>
      <c r="AL218" s="225"/>
    </row>
    <row r="219" ht="13.5" customHeight="1">
      <c r="A219" s="225"/>
      <c r="B219" s="225"/>
      <c r="C219" s="225"/>
      <c r="D219" s="225"/>
      <c r="E219" s="225"/>
      <c r="F219" s="44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  <c r="AB219" s="225"/>
      <c r="AC219" s="225"/>
      <c r="AD219" s="225"/>
      <c r="AE219" s="225"/>
      <c r="AF219" s="225"/>
      <c r="AG219" s="225"/>
      <c r="AH219" s="225"/>
      <c r="AI219" s="225"/>
      <c r="AJ219" s="225"/>
      <c r="AK219" s="323"/>
      <c r="AL219" s="225"/>
    </row>
    <row r="220" ht="13.5" customHeight="1">
      <c r="A220" s="225"/>
      <c r="B220" s="225"/>
      <c r="C220" s="225"/>
      <c r="D220" s="225"/>
      <c r="E220" s="225"/>
      <c r="F220" s="44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  <c r="AB220" s="225"/>
      <c r="AC220" s="225"/>
      <c r="AD220" s="225"/>
      <c r="AE220" s="225"/>
      <c r="AF220" s="225"/>
      <c r="AG220" s="225"/>
      <c r="AH220" s="225"/>
      <c r="AI220" s="225"/>
      <c r="AJ220" s="225"/>
      <c r="AK220" s="323"/>
      <c r="AL220" s="225"/>
    </row>
    <row r="221" ht="13.5" customHeight="1">
      <c r="A221" s="225"/>
      <c r="B221" s="225"/>
      <c r="C221" s="225"/>
      <c r="D221" s="225"/>
      <c r="E221" s="225"/>
      <c r="F221" s="44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323"/>
      <c r="AL221" s="225"/>
    </row>
    <row r="222" ht="13.5" customHeight="1">
      <c r="A222" s="225"/>
      <c r="B222" s="225"/>
      <c r="C222" s="225"/>
      <c r="D222" s="225"/>
      <c r="E222" s="225"/>
      <c r="F222" s="44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  <c r="AA222" s="225"/>
      <c r="AB222" s="225"/>
      <c r="AC222" s="225"/>
      <c r="AD222" s="225"/>
      <c r="AE222" s="225"/>
      <c r="AF222" s="225"/>
      <c r="AG222" s="225"/>
      <c r="AH222" s="225"/>
      <c r="AI222" s="225"/>
      <c r="AJ222" s="225"/>
      <c r="AK222" s="323"/>
      <c r="AL222" s="225"/>
    </row>
    <row r="223" ht="13.5" customHeight="1">
      <c r="A223" s="225"/>
      <c r="B223" s="225"/>
      <c r="C223" s="225"/>
      <c r="D223" s="225"/>
      <c r="E223" s="225"/>
      <c r="F223" s="44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  <c r="AA223" s="225"/>
      <c r="AB223" s="225"/>
      <c r="AC223" s="225"/>
      <c r="AD223" s="225"/>
      <c r="AE223" s="225"/>
      <c r="AF223" s="225"/>
      <c r="AG223" s="225"/>
      <c r="AH223" s="225"/>
      <c r="AI223" s="225"/>
      <c r="AJ223" s="225"/>
      <c r="AK223" s="323"/>
      <c r="AL223" s="225"/>
    </row>
    <row r="224" ht="13.5" customHeight="1">
      <c r="A224" s="225"/>
      <c r="B224" s="225"/>
      <c r="C224" s="225"/>
      <c r="D224" s="225"/>
      <c r="E224" s="225"/>
      <c r="F224" s="44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  <c r="AA224" s="225"/>
      <c r="AB224" s="225"/>
      <c r="AC224" s="225"/>
      <c r="AD224" s="225"/>
      <c r="AE224" s="225"/>
      <c r="AF224" s="225"/>
      <c r="AG224" s="225"/>
      <c r="AH224" s="225"/>
      <c r="AI224" s="225"/>
      <c r="AJ224" s="225"/>
      <c r="AK224" s="323"/>
      <c r="AL224" s="225"/>
    </row>
    <row r="225" ht="13.5" customHeight="1">
      <c r="A225" s="225"/>
      <c r="B225" s="225"/>
      <c r="C225" s="225"/>
      <c r="D225" s="225"/>
      <c r="E225" s="225"/>
      <c r="F225" s="44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  <c r="AA225" s="225"/>
      <c r="AB225" s="225"/>
      <c r="AC225" s="225"/>
      <c r="AD225" s="225"/>
      <c r="AE225" s="225"/>
      <c r="AF225" s="225"/>
      <c r="AG225" s="225"/>
      <c r="AH225" s="225"/>
      <c r="AI225" s="225"/>
      <c r="AJ225" s="225"/>
      <c r="AK225" s="323"/>
      <c r="AL225" s="225"/>
    </row>
    <row r="226" ht="13.5" customHeight="1">
      <c r="A226" s="225"/>
      <c r="B226" s="225"/>
      <c r="C226" s="225"/>
      <c r="D226" s="225"/>
      <c r="E226" s="225"/>
      <c r="F226" s="44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  <c r="AA226" s="225"/>
      <c r="AB226" s="225"/>
      <c r="AC226" s="225"/>
      <c r="AD226" s="225"/>
      <c r="AE226" s="225"/>
      <c r="AF226" s="225"/>
      <c r="AG226" s="225"/>
      <c r="AH226" s="225"/>
      <c r="AI226" s="225"/>
      <c r="AJ226" s="225"/>
      <c r="AK226" s="323"/>
      <c r="AL226" s="225"/>
    </row>
    <row r="227" ht="13.5" customHeight="1">
      <c r="A227" s="225"/>
      <c r="B227" s="225"/>
      <c r="C227" s="225"/>
      <c r="D227" s="225"/>
      <c r="E227" s="225"/>
      <c r="F227" s="44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  <c r="AA227" s="225"/>
      <c r="AB227" s="225"/>
      <c r="AC227" s="225"/>
      <c r="AD227" s="225"/>
      <c r="AE227" s="225"/>
      <c r="AF227" s="225"/>
      <c r="AG227" s="225"/>
      <c r="AH227" s="225"/>
      <c r="AI227" s="225"/>
      <c r="AJ227" s="225"/>
      <c r="AK227" s="323"/>
      <c r="AL227" s="225"/>
    </row>
    <row r="228" ht="13.5" customHeight="1">
      <c r="A228" s="225"/>
      <c r="B228" s="225"/>
      <c r="C228" s="225"/>
      <c r="D228" s="225"/>
      <c r="E228" s="225"/>
      <c r="F228" s="44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  <c r="AA228" s="225"/>
      <c r="AB228" s="225"/>
      <c r="AC228" s="225"/>
      <c r="AD228" s="225"/>
      <c r="AE228" s="225"/>
      <c r="AF228" s="225"/>
      <c r="AG228" s="225"/>
      <c r="AH228" s="225"/>
      <c r="AI228" s="225"/>
      <c r="AJ228" s="225"/>
      <c r="AK228" s="323"/>
      <c r="AL228" s="225"/>
    </row>
    <row r="229" ht="13.5" customHeight="1">
      <c r="A229" s="225"/>
      <c r="B229" s="225"/>
      <c r="C229" s="225"/>
      <c r="D229" s="225"/>
      <c r="E229" s="225"/>
      <c r="F229" s="44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  <c r="AA229" s="225"/>
      <c r="AB229" s="225"/>
      <c r="AC229" s="225"/>
      <c r="AD229" s="225"/>
      <c r="AE229" s="225"/>
      <c r="AF229" s="225"/>
      <c r="AG229" s="225"/>
      <c r="AH229" s="225"/>
      <c r="AI229" s="225"/>
      <c r="AJ229" s="225"/>
      <c r="AK229" s="323"/>
      <c r="AL229" s="225"/>
    </row>
    <row r="230" ht="13.5" customHeight="1">
      <c r="A230" s="225"/>
      <c r="B230" s="225"/>
      <c r="C230" s="225"/>
      <c r="D230" s="225"/>
      <c r="E230" s="225"/>
      <c r="F230" s="44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  <c r="AA230" s="225"/>
      <c r="AB230" s="225"/>
      <c r="AC230" s="225"/>
      <c r="AD230" s="225"/>
      <c r="AE230" s="225"/>
      <c r="AF230" s="225"/>
      <c r="AG230" s="225"/>
      <c r="AH230" s="225"/>
      <c r="AI230" s="225"/>
      <c r="AJ230" s="225"/>
      <c r="AK230" s="323"/>
      <c r="AL230" s="225"/>
    </row>
    <row r="231" ht="13.5" customHeight="1">
      <c r="A231" s="225"/>
      <c r="B231" s="225"/>
      <c r="C231" s="225"/>
      <c r="D231" s="225"/>
      <c r="E231" s="225"/>
      <c r="F231" s="44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  <c r="AA231" s="225"/>
      <c r="AB231" s="225"/>
      <c r="AC231" s="225"/>
      <c r="AD231" s="225"/>
      <c r="AE231" s="225"/>
      <c r="AF231" s="225"/>
      <c r="AG231" s="225"/>
      <c r="AH231" s="225"/>
      <c r="AI231" s="225"/>
      <c r="AJ231" s="225"/>
      <c r="AK231" s="323"/>
      <c r="AL231" s="225"/>
    </row>
    <row r="232" ht="13.5" customHeight="1">
      <c r="A232" s="225"/>
      <c r="B232" s="225"/>
      <c r="C232" s="225"/>
      <c r="D232" s="225"/>
      <c r="E232" s="225"/>
      <c r="F232" s="44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  <c r="AA232" s="225"/>
      <c r="AB232" s="225"/>
      <c r="AC232" s="225"/>
      <c r="AD232" s="225"/>
      <c r="AE232" s="225"/>
      <c r="AF232" s="225"/>
      <c r="AG232" s="225"/>
      <c r="AH232" s="225"/>
      <c r="AI232" s="225"/>
      <c r="AJ232" s="225"/>
      <c r="AK232" s="323"/>
      <c r="AL232" s="225"/>
    </row>
    <row r="233" ht="13.5" customHeight="1">
      <c r="A233" s="225"/>
      <c r="B233" s="225"/>
      <c r="C233" s="225"/>
      <c r="D233" s="225"/>
      <c r="E233" s="225"/>
      <c r="F233" s="44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  <c r="AA233" s="225"/>
      <c r="AB233" s="225"/>
      <c r="AC233" s="225"/>
      <c r="AD233" s="225"/>
      <c r="AE233" s="225"/>
      <c r="AF233" s="225"/>
      <c r="AG233" s="225"/>
      <c r="AH233" s="225"/>
      <c r="AI233" s="225"/>
      <c r="AJ233" s="225"/>
      <c r="AK233" s="323"/>
      <c r="AL233" s="225"/>
    </row>
    <row r="234" ht="13.5" customHeight="1">
      <c r="A234" s="225"/>
      <c r="B234" s="225"/>
      <c r="C234" s="225"/>
      <c r="D234" s="225"/>
      <c r="E234" s="225"/>
      <c r="F234" s="44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  <c r="AA234" s="225"/>
      <c r="AB234" s="225"/>
      <c r="AC234" s="225"/>
      <c r="AD234" s="225"/>
      <c r="AE234" s="225"/>
      <c r="AF234" s="225"/>
      <c r="AG234" s="225"/>
      <c r="AH234" s="225"/>
      <c r="AI234" s="225"/>
      <c r="AJ234" s="225"/>
      <c r="AK234" s="323"/>
      <c r="AL234" s="225"/>
    </row>
    <row r="235" ht="13.5" customHeight="1">
      <c r="A235" s="225"/>
      <c r="B235" s="225"/>
      <c r="C235" s="225"/>
      <c r="D235" s="225"/>
      <c r="E235" s="225"/>
      <c r="F235" s="44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  <c r="AA235" s="225"/>
      <c r="AB235" s="225"/>
      <c r="AC235" s="225"/>
      <c r="AD235" s="225"/>
      <c r="AE235" s="225"/>
      <c r="AF235" s="225"/>
      <c r="AG235" s="225"/>
      <c r="AH235" s="225"/>
      <c r="AI235" s="225"/>
      <c r="AJ235" s="225"/>
      <c r="AK235" s="323"/>
      <c r="AL235" s="225"/>
    </row>
    <row r="236" ht="13.5" customHeight="1">
      <c r="A236" s="225"/>
      <c r="B236" s="225"/>
      <c r="C236" s="225"/>
      <c r="D236" s="225"/>
      <c r="E236" s="225"/>
      <c r="F236" s="44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  <c r="AA236" s="225"/>
      <c r="AB236" s="225"/>
      <c r="AC236" s="225"/>
      <c r="AD236" s="225"/>
      <c r="AE236" s="225"/>
      <c r="AF236" s="225"/>
      <c r="AG236" s="225"/>
      <c r="AH236" s="225"/>
      <c r="AI236" s="225"/>
      <c r="AJ236" s="225"/>
      <c r="AK236" s="323"/>
      <c r="AL236" s="225"/>
    </row>
    <row r="237" ht="13.5" customHeight="1">
      <c r="A237" s="225"/>
      <c r="B237" s="225"/>
      <c r="C237" s="225"/>
      <c r="D237" s="225"/>
      <c r="E237" s="225"/>
      <c r="F237" s="44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  <c r="AA237" s="225"/>
      <c r="AB237" s="225"/>
      <c r="AC237" s="225"/>
      <c r="AD237" s="225"/>
      <c r="AE237" s="225"/>
      <c r="AF237" s="225"/>
      <c r="AG237" s="225"/>
      <c r="AH237" s="225"/>
      <c r="AI237" s="225"/>
      <c r="AJ237" s="225"/>
      <c r="AK237" s="323"/>
      <c r="AL237" s="225"/>
    </row>
    <row r="238" ht="13.5" customHeight="1">
      <c r="A238" s="225"/>
      <c r="B238" s="225"/>
      <c r="C238" s="225"/>
      <c r="D238" s="225"/>
      <c r="E238" s="225"/>
      <c r="F238" s="44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  <c r="AA238" s="225"/>
      <c r="AB238" s="225"/>
      <c r="AC238" s="225"/>
      <c r="AD238" s="225"/>
      <c r="AE238" s="225"/>
      <c r="AF238" s="225"/>
      <c r="AG238" s="225"/>
      <c r="AH238" s="225"/>
      <c r="AI238" s="225"/>
      <c r="AJ238" s="225"/>
      <c r="AK238" s="323"/>
      <c r="AL238" s="225"/>
    </row>
    <row r="239" ht="13.5" customHeight="1">
      <c r="A239" s="225"/>
      <c r="B239" s="225"/>
      <c r="C239" s="225"/>
      <c r="D239" s="225"/>
      <c r="E239" s="225"/>
      <c r="F239" s="44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  <c r="AA239" s="225"/>
      <c r="AB239" s="225"/>
      <c r="AC239" s="225"/>
      <c r="AD239" s="225"/>
      <c r="AE239" s="225"/>
      <c r="AF239" s="225"/>
      <c r="AG239" s="225"/>
      <c r="AH239" s="225"/>
      <c r="AI239" s="225"/>
      <c r="AJ239" s="225"/>
      <c r="AK239" s="323"/>
      <c r="AL239" s="225"/>
    </row>
    <row r="240" ht="13.5" customHeight="1">
      <c r="A240" s="225"/>
      <c r="B240" s="225"/>
      <c r="C240" s="225"/>
      <c r="D240" s="225"/>
      <c r="E240" s="225"/>
      <c r="F240" s="44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  <c r="AA240" s="225"/>
      <c r="AB240" s="225"/>
      <c r="AC240" s="225"/>
      <c r="AD240" s="225"/>
      <c r="AE240" s="225"/>
      <c r="AF240" s="225"/>
      <c r="AG240" s="225"/>
      <c r="AH240" s="225"/>
      <c r="AI240" s="225"/>
      <c r="AJ240" s="225"/>
      <c r="AK240" s="323"/>
      <c r="AL240" s="225"/>
    </row>
    <row r="241" ht="13.5" customHeight="1">
      <c r="A241" s="225"/>
      <c r="B241" s="225"/>
      <c r="C241" s="225"/>
      <c r="D241" s="225"/>
      <c r="E241" s="225"/>
      <c r="F241" s="44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  <c r="AA241" s="225"/>
      <c r="AB241" s="225"/>
      <c r="AC241" s="225"/>
      <c r="AD241" s="225"/>
      <c r="AE241" s="225"/>
      <c r="AF241" s="225"/>
      <c r="AG241" s="225"/>
      <c r="AH241" s="225"/>
      <c r="AI241" s="225"/>
      <c r="AJ241" s="225"/>
      <c r="AK241" s="323"/>
      <c r="AL241" s="225"/>
    </row>
    <row r="242" ht="13.5" customHeight="1">
      <c r="A242" s="225"/>
      <c r="B242" s="225"/>
      <c r="C242" s="225"/>
      <c r="D242" s="225"/>
      <c r="E242" s="225"/>
      <c r="F242" s="44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  <c r="AA242" s="225"/>
      <c r="AB242" s="225"/>
      <c r="AC242" s="225"/>
      <c r="AD242" s="225"/>
      <c r="AE242" s="225"/>
      <c r="AF242" s="225"/>
      <c r="AG242" s="225"/>
      <c r="AH242" s="225"/>
      <c r="AI242" s="225"/>
      <c r="AJ242" s="225"/>
      <c r="AK242" s="323"/>
      <c r="AL242" s="225"/>
    </row>
    <row r="243" ht="13.5" customHeight="1">
      <c r="A243" s="225"/>
      <c r="B243" s="225"/>
      <c r="C243" s="225"/>
      <c r="D243" s="225"/>
      <c r="E243" s="225"/>
      <c r="F243" s="44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  <c r="AA243" s="225"/>
      <c r="AB243" s="225"/>
      <c r="AC243" s="225"/>
      <c r="AD243" s="225"/>
      <c r="AE243" s="225"/>
      <c r="AF243" s="225"/>
      <c r="AG243" s="225"/>
      <c r="AH243" s="225"/>
      <c r="AI243" s="225"/>
      <c r="AJ243" s="225"/>
      <c r="AK243" s="323"/>
      <c r="AL243" s="225"/>
    </row>
    <row r="244" ht="13.5" customHeight="1">
      <c r="A244" s="225"/>
      <c r="B244" s="225"/>
      <c r="C244" s="225"/>
      <c r="D244" s="225"/>
      <c r="E244" s="225"/>
      <c r="F244" s="44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  <c r="AA244" s="225"/>
      <c r="AB244" s="225"/>
      <c r="AC244" s="225"/>
      <c r="AD244" s="225"/>
      <c r="AE244" s="225"/>
      <c r="AF244" s="225"/>
      <c r="AG244" s="225"/>
      <c r="AH244" s="225"/>
      <c r="AI244" s="225"/>
      <c r="AJ244" s="225"/>
      <c r="AK244" s="323"/>
      <c r="AL244" s="225"/>
    </row>
    <row r="245" ht="13.5" customHeight="1">
      <c r="A245" s="225"/>
      <c r="B245" s="225"/>
      <c r="C245" s="225"/>
      <c r="D245" s="225"/>
      <c r="E245" s="225"/>
      <c r="F245" s="44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  <c r="AA245" s="225"/>
      <c r="AB245" s="225"/>
      <c r="AC245" s="225"/>
      <c r="AD245" s="225"/>
      <c r="AE245" s="225"/>
      <c r="AF245" s="225"/>
      <c r="AG245" s="225"/>
      <c r="AH245" s="225"/>
      <c r="AI245" s="225"/>
      <c r="AJ245" s="225"/>
      <c r="AK245" s="323"/>
      <c r="AL245" s="225"/>
    </row>
    <row r="246" ht="13.5" customHeight="1">
      <c r="A246" s="225"/>
      <c r="B246" s="225"/>
      <c r="C246" s="225"/>
      <c r="D246" s="225"/>
      <c r="E246" s="225"/>
      <c r="F246" s="44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  <c r="AA246" s="225"/>
      <c r="AB246" s="225"/>
      <c r="AC246" s="225"/>
      <c r="AD246" s="225"/>
      <c r="AE246" s="225"/>
      <c r="AF246" s="225"/>
      <c r="AG246" s="225"/>
      <c r="AH246" s="225"/>
      <c r="AI246" s="225"/>
      <c r="AJ246" s="225"/>
      <c r="AK246" s="323"/>
      <c r="AL246" s="225"/>
    </row>
    <row r="247" ht="13.5" customHeight="1">
      <c r="A247" s="225"/>
      <c r="B247" s="225"/>
      <c r="C247" s="225"/>
      <c r="D247" s="225"/>
      <c r="E247" s="225"/>
      <c r="F247" s="44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  <c r="AA247" s="225"/>
      <c r="AB247" s="225"/>
      <c r="AC247" s="225"/>
      <c r="AD247" s="225"/>
      <c r="AE247" s="225"/>
      <c r="AF247" s="225"/>
      <c r="AG247" s="225"/>
      <c r="AH247" s="225"/>
      <c r="AI247" s="225"/>
      <c r="AJ247" s="225"/>
      <c r="AK247" s="323"/>
      <c r="AL247" s="225"/>
    </row>
    <row r="248" ht="13.5" customHeight="1">
      <c r="A248" s="225"/>
      <c r="B248" s="225"/>
      <c r="C248" s="225"/>
      <c r="D248" s="225"/>
      <c r="E248" s="225"/>
      <c r="F248" s="44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  <c r="AA248" s="225"/>
      <c r="AB248" s="225"/>
      <c r="AC248" s="225"/>
      <c r="AD248" s="225"/>
      <c r="AE248" s="225"/>
      <c r="AF248" s="225"/>
      <c r="AG248" s="225"/>
      <c r="AH248" s="225"/>
      <c r="AI248" s="225"/>
      <c r="AJ248" s="225"/>
      <c r="AK248" s="323"/>
      <c r="AL248" s="225"/>
    </row>
    <row r="249" ht="13.5" customHeight="1">
      <c r="A249" s="225"/>
      <c r="B249" s="225"/>
      <c r="C249" s="225"/>
      <c r="D249" s="225"/>
      <c r="E249" s="225"/>
      <c r="F249" s="44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  <c r="AB249" s="225"/>
      <c r="AC249" s="225"/>
      <c r="AD249" s="225"/>
      <c r="AE249" s="225"/>
      <c r="AF249" s="225"/>
      <c r="AG249" s="225"/>
      <c r="AH249" s="225"/>
      <c r="AI249" s="225"/>
      <c r="AJ249" s="225"/>
      <c r="AK249" s="323"/>
      <c r="AL249" s="225"/>
    </row>
    <row r="250" ht="13.5" customHeight="1">
      <c r="A250" s="225"/>
      <c r="B250" s="225"/>
      <c r="C250" s="225"/>
      <c r="D250" s="225"/>
      <c r="E250" s="225"/>
      <c r="F250" s="44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  <c r="AA250" s="225"/>
      <c r="AB250" s="225"/>
      <c r="AC250" s="225"/>
      <c r="AD250" s="225"/>
      <c r="AE250" s="225"/>
      <c r="AF250" s="225"/>
      <c r="AG250" s="225"/>
      <c r="AH250" s="225"/>
      <c r="AI250" s="225"/>
      <c r="AJ250" s="225"/>
      <c r="AK250" s="323"/>
      <c r="AL250" s="225"/>
    </row>
    <row r="251" ht="13.5" customHeight="1">
      <c r="A251" s="225"/>
      <c r="B251" s="225"/>
      <c r="C251" s="225"/>
      <c r="D251" s="225"/>
      <c r="E251" s="225"/>
      <c r="F251" s="44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  <c r="AA251" s="225"/>
      <c r="AB251" s="225"/>
      <c r="AC251" s="225"/>
      <c r="AD251" s="225"/>
      <c r="AE251" s="225"/>
      <c r="AF251" s="225"/>
      <c r="AG251" s="225"/>
      <c r="AH251" s="225"/>
      <c r="AI251" s="225"/>
      <c r="AJ251" s="225"/>
      <c r="AK251" s="323"/>
      <c r="AL251" s="225"/>
    </row>
    <row r="252" ht="13.5" customHeight="1">
      <c r="A252" s="225"/>
      <c r="B252" s="225"/>
      <c r="C252" s="225"/>
      <c r="D252" s="225"/>
      <c r="E252" s="225"/>
      <c r="F252" s="44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  <c r="AA252" s="225"/>
      <c r="AB252" s="225"/>
      <c r="AC252" s="225"/>
      <c r="AD252" s="225"/>
      <c r="AE252" s="225"/>
      <c r="AF252" s="225"/>
      <c r="AG252" s="225"/>
      <c r="AH252" s="225"/>
      <c r="AI252" s="225"/>
      <c r="AJ252" s="225"/>
      <c r="AK252" s="323"/>
      <c r="AL252" s="225"/>
    </row>
    <row r="253" ht="13.5" customHeight="1">
      <c r="A253" s="225"/>
      <c r="B253" s="225"/>
      <c r="C253" s="225"/>
      <c r="D253" s="225"/>
      <c r="E253" s="225"/>
      <c r="F253" s="44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  <c r="AA253" s="225"/>
      <c r="AB253" s="225"/>
      <c r="AC253" s="225"/>
      <c r="AD253" s="225"/>
      <c r="AE253" s="225"/>
      <c r="AF253" s="225"/>
      <c r="AG253" s="225"/>
      <c r="AH253" s="225"/>
      <c r="AI253" s="225"/>
      <c r="AJ253" s="225"/>
      <c r="AK253" s="323"/>
      <c r="AL253" s="225"/>
    </row>
    <row r="254" ht="13.5" customHeight="1">
      <c r="A254" s="225"/>
      <c r="B254" s="225"/>
      <c r="C254" s="225"/>
      <c r="D254" s="225"/>
      <c r="E254" s="225"/>
      <c r="F254" s="44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  <c r="AA254" s="225"/>
      <c r="AB254" s="225"/>
      <c r="AC254" s="225"/>
      <c r="AD254" s="225"/>
      <c r="AE254" s="225"/>
      <c r="AF254" s="225"/>
      <c r="AG254" s="225"/>
      <c r="AH254" s="225"/>
      <c r="AI254" s="225"/>
      <c r="AJ254" s="225"/>
      <c r="AK254" s="323"/>
      <c r="AL254" s="225"/>
    </row>
    <row r="255" ht="13.5" customHeight="1">
      <c r="A255" s="225"/>
      <c r="B255" s="225"/>
      <c r="C255" s="225"/>
      <c r="D255" s="225"/>
      <c r="E255" s="225"/>
      <c r="F255" s="44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  <c r="AA255" s="225"/>
      <c r="AB255" s="225"/>
      <c r="AC255" s="225"/>
      <c r="AD255" s="225"/>
      <c r="AE255" s="225"/>
      <c r="AF255" s="225"/>
      <c r="AG255" s="225"/>
      <c r="AH255" s="225"/>
      <c r="AI255" s="225"/>
      <c r="AJ255" s="225"/>
      <c r="AK255" s="323"/>
      <c r="AL255" s="225"/>
    </row>
    <row r="256" ht="13.5" customHeight="1">
      <c r="A256" s="225"/>
      <c r="B256" s="225"/>
      <c r="C256" s="225"/>
      <c r="D256" s="225"/>
      <c r="E256" s="225"/>
      <c r="F256" s="44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  <c r="AA256" s="225"/>
      <c r="AB256" s="225"/>
      <c r="AC256" s="225"/>
      <c r="AD256" s="225"/>
      <c r="AE256" s="225"/>
      <c r="AF256" s="225"/>
      <c r="AG256" s="225"/>
      <c r="AH256" s="225"/>
      <c r="AI256" s="225"/>
      <c r="AJ256" s="225"/>
      <c r="AK256" s="323"/>
      <c r="AL256" s="225"/>
    </row>
    <row r="257" ht="13.5" customHeight="1">
      <c r="A257" s="225"/>
      <c r="B257" s="225"/>
      <c r="C257" s="225"/>
      <c r="D257" s="225"/>
      <c r="E257" s="225"/>
      <c r="F257" s="44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  <c r="AA257" s="225"/>
      <c r="AB257" s="225"/>
      <c r="AC257" s="225"/>
      <c r="AD257" s="225"/>
      <c r="AE257" s="225"/>
      <c r="AF257" s="225"/>
      <c r="AG257" s="225"/>
      <c r="AH257" s="225"/>
      <c r="AI257" s="225"/>
      <c r="AJ257" s="225"/>
      <c r="AK257" s="323"/>
      <c r="AL257" s="225"/>
    </row>
    <row r="258" ht="13.5" customHeight="1">
      <c r="A258" s="225"/>
      <c r="B258" s="225"/>
      <c r="C258" s="225"/>
      <c r="D258" s="225"/>
      <c r="E258" s="225"/>
      <c r="F258" s="44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  <c r="AA258" s="225"/>
      <c r="AB258" s="225"/>
      <c r="AC258" s="225"/>
      <c r="AD258" s="225"/>
      <c r="AE258" s="225"/>
      <c r="AF258" s="225"/>
      <c r="AG258" s="225"/>
      <c r="AH258" s="225"/>
      <c r="AI258" s="225"/>
      <c r="AJ258" s="225"/>
      <c r="AK258" s="323"/>
      <c r="AL258" s="225"/>
    </row>
    <row r="259" ht="13.5" customHeight="1">
      <c r="A259" s="225"/>
      <c r="B259" s="225"/>
      <c r="C259" s="225"/>
      <c r="D259" s="225"/>
      <c r="E259" s="225"/>
      <c r="F259" s="44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  <c r="AA259" s="225"/>
      <c r="AB259" s="225"/>
      <c r="AC259" s="225"/>
      <c r="AD259" s="225"/>
      <c r="AE259" s="225"/>
      <c r="AF259" s="225"/>
      <c r="AG259" s="225"/>
      <c r="AH259" s="225"/>
      <c r="AI259" s="225"/>
      <c r="AJ259" s="225"/>
      <c r="AK259" s="323"/>
      <c r="AL259" s="225"/>
    </row>
    <row r="260" ht="13.5" customHeight="1">
      <c r="A260" s="225"/>
      <c r="B260" s="225"/>
      <c r="C260" s="225"/>
      <c r="D260" s="225"/>
      <c r="E260" s="225"/>
      <c r="F260" s="44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  <c r="AA260" s="225"/>
      <c r="AB260" s="225"/>
      <c r="AC260" s="225"/>
      <c r="AD260" s="225"/>
      <c r="AE260" s="225"/>
      <c r="AF260" s="225"/>
      <c r="AG260" s="225"/>
      <c r="AH260" s="225"/>
      <c r="AI260" s="225"/>
      <c r="AJ260" s="225"/>
      <c r="AK260" s="323"/>
      <c r="AL260" s="225"/>
    </row>
    <row r="261" ht="13.5" customHeight="1">
      <c r="A261" s="225"/>
      <c r="B261" s="225"/>
      <c r="C261" s="225"/>
      <c r="D261" s="225"/>
      <c r="E261" s="225"/>
      <c r="F261" s="44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  <c r="AA261" s="225"/>
      <c r="AB261" s="225"/>
      <c r="AC261" s="225"/>
      <c r="AD261" s="225"/>
      <c r="AE261" s="225"/>
      <c r="AF261" s="225"/>
      <c r="AG261" s="225"/>
      <c r="AH261" s="225"/>
      <c r="AI261" s="225"/>
      <c r="AJ261" s="225"/>
      <c r="AK261" s="323"/>
      <c r="AL261" s="225"/>
    </row>
    <row r="262" ht="13.5" customHeight="1">
      <c r="A262" s="225"/>
      <c r="B262" s="225"/>
      <c r="C262" s="225"/>
      <c r="D262" s="225"/>
      <c r="E262" s="225"/>
      <c r="F262" s="44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  <c r="AA262" s="225"/>
      <c r="AB262" s="225"/>
      <c r="AC262" s="225"/>
      <c r="AD262" s="225"/>
      <c r="AE262" s="225"/>
      <c r="AF262" s="225"/>
      <c r="AG262" s="225"/>
      <c r="AH262" s="225"/>
      <c r="AI262" s="225"/>
      <c r="AJ262" s="225"/>
      <c r="AK262" s="323"/>
      <c r="AL262" s="225"/>
    </row>
    <row r="263" ht="13.5" customHeight="1">
      <c r="A263" s="225"/>
      <c r="B263" s="225"/>
      <c r="C263" s="225"/>
      <c r="D263" s="225"/>
      <c r="E263" s="225"/>
      <c r="F263" s="44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  <c r="AA263" s="225"/>
      <c r="AB263" s="225"/>
      <c r="AC263" s="225"/>
      <c r="AD263" s="225"/>
      <c r="AE263" s="225"/>
      <c r="AF263" s="225"/>
      <c r="AG263" s="225"/>
      <c r="AH263" s="225"/>
      <c r="AI263" s="225"/>
      <c r="AJ263" s="225"/>
      <c r="AK263" s="323"/>
      <c r="AL263" s="225"/>
    </row>
    <row r="264" ht="13.5" customHeight="1">
      <c r="A264" s="225"/>
      <c r="B264" s="225"/>
      <c r="C264" s="225"/>
      <c r="D264" s="225"/>
      <c r="E264" s="225"/>
      <c r="F264" s="44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  <c r="AA264" s="225"/>
      <c r="AB264" s="225"/>
      <c r="AC264" s="225"/>
      <c r="AD264" s="225"/>
      <c r="AE264" s="225"/>
      <c r="AF264" s="225"/>
      <c r="AG264" s="225"/>
      <c r="AH264" s="225"/>
      <c r="AI264" s="225"/>
      <c r="AJ264" s="225"/>
      <c r="AK264" s="323"/>
      <c r="AL264" s="225"/>
    </row>
    <row r="265" ht="13.5" customHeight="1">
      <c r="A265" s="225"/>
      <c r="B265" s="225"/>
      <c r="C265" s="225"/>
      <c r="D265" s="225"/>
      <c r="E265" s="225"/>
      <c r="F265" s="44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  <c r="AA265" s="225"/>
      <c r="AB265" s="225"/>
      <c r="AC265" s="225"/>
      <c r="AD265" s="225"/>
      <c r="AE265" s="225"/>
      <c r="AF265" s="225"/>
      <c r="AG265" s="225"/>
      <c r="AH265" s="225"/>
      <c r="AI265" s="225"/>
      <c r="AJ265" s="225"/>
      <c r="AK265" s="323"/>
      <c r="AL265" s="225"/>
    </row>
    <row r="266" ht="13.5" customHeight="1">
      <c r="A266" s="225"/>
      <c r="B266" s="225"/>
      <c r="C266" s="225"/>
      <c r="D266" s="225"/>
      <c r="E266" s="225"/>
      <c r="F266" s="44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  <c r="AA266" s="225"/>
      <c r="AB266" s="225"/>
      <c r="AC266" s="225"/>
      <c r="AD266" s="225"/>
      <c r="AE266" s="225"/>
      <c r="AF266" s="225"/>
      <c r="AG266" s="225"/>
      <c r="AH266" s="225"/>
      <c r="AI266" s="225"/>
      <c r="AJ266" s="225"/>
      <c r="AK266" s="323"/>
      <c r="AL266" s="225"/>
    </row>
    <row r="267" ht="13.5" customHeight="1">
      <c r="A267" s="225"/>
      <c r="B267" s="225"/>
      <c r="C267" s="225"/>
      <c r="D267" s="225"/>
      <c r="E267" s="225"/>
      <c r="F267" s="44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  <c r="AA267" s="225"/>
      <c r="AB267" s="225"/>
      <c r="AC267" s="225"/>
      <c r="AD267" s="225"/>
      <c r="AE267" s="225"/>
      <c r="AF267" s="225"/>
      <c r="AG267" s="225"/>
      <c r="AH267" s="225"/>
      <c r="AI267" s="225"/>
      <c r="AJ267" s="225"/>
      <c r="AK267" s="323"/>
      <c r="AL267" s="225"/>
    </row>
    <row r="268" ht="13.5" customHeight="1">
      <c r="A268" s="225"/>
      <c r="B268" s="225"/>
      <c r="C268" s="225"/>
      <c r="D268" s="225"/>
      <c r="E268" s="225"/>
      <c r="F268" s="44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  <c r="AA268" s="225"/>
      <c r="AB268" s="225"/>
      <c r="AC268" s="225"/>
      <c r="AD268" s="225"/>
      <c r="AE268" s="225"/>
      <c r="AF268" s="225"/>
      <c r="AG268" s="225"/>
      <c r="AH268" s="225"/>
      <c r="AI268" s="225"/>
      <c r="AJ268" s="225"/>
      <c r="AK268" s="323"/>
      <c r="AL268" s="225"/>
    </row>
    <row r="269" ht="13.5" customHeight="1">
      <c r="A269" s="225"/>
      <c r="B269" s="225"/>
      <c r="C269" s="225"/>
      <c r="D269" s="225"/>
      <c r="E269" s="225"/>
      <c r="F269" s="44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  <c r="AA269" s="225"/>
      <c r="AB269" s="225"/>
      <c r="AC269" s="225"/>
      <c r="AD269" s="225"/>
      <c r="AE269" s="225"/>
      <c r="AF269" s="225"/>
      <c r="AG269" s="225"/>
      <c r="AH269" s="225"/>
      <c r="AI269" s="225"/>
      <c r="AJ269" s="225"/>
      <c r="AK269" s="323"/>
      <c r="AL269" s="225"/>
    </row>
    <row r="270" ht="13.5" customHeight="1">
      <c r="A270" s="225"/>
      <c r="B270" s="225"/>
      <c r="C270" s="225"/>
      <c r="D270" s="225"/>
      <c r="E270" s="225"/>
      <c r="F270" s="44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  <c r="AA270" s="225"/>
      <c r="AB270" s="225"/>
      <c r="AC270" s="225"/>
      <c r="AD270" s="225"/>
      <c r="AE270" s="225"/>
      <c r="AF270" s="225"/>
      <c r="AG270" s="225"/>
      <c r="AH270" s="225"/>
      <c r="AI270" s="225"/>
      <c r="AJ270" s="225"/>
      <c r="AK270" s="323"/>
      <c r="AL270" s="225"/>
    </row>
    <row r="271" ht="13.5" customHeight="1">
      <c r="A271" s="225"/>
      <c r="B271" s="225"/>
      <c r="C271" s="225"/>
      <c r="D271" s="225"/>
      <c r="E271" s="225"/>
      <c r="F271" s="44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  <c r="AA271" s="225"/>
      <c r="AB271" s="225"/>
      <c r="AC271" s="225"/>
      <c r="AD271" s="225"/>
      <c r="AE271" s="225"/>
      <c r="AF271" s="225"/>
      <c r="AG271" s="225"/>
      <c r="AH271" s="225"/>
      <c r="AI271" s="225"/>
      <c r="AJ271" s="225"/>
      <c r="AK271" s="323"/>
      <c r="AL271" s="225"/>
    </row>
    <row r="272" ht="13.5" customHeight="1">
      <c r="A272" s="225"/>
      <c r="B272" s="225"/>
      <c r="C272" s="225"/>
      <c r="D272" s="225"/>
      <c r="E272" s="225"/>
      <c r="F272" s="44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  <c r="AA272" s="225"/>
      <c r="AB272" s="225"/>
      <c r="AC272" s="225"/>
      <c r="AD272" s="225"/>
      <c r="AE272" s="225"/>
      <c r="AF272" s="225"/>
      <c r="AG272" s="225"/>
      <c r="AH272" s="225"/>
      <c r="AI272" s="225"/>
      <c r="AJ272" s="225"/>
      <c r="AK272" s="323"/>
      <c r="AL272" s="225"/>
    </row>
    <row r="273" ht="13.5" customHeight="1">
      <c r="A273" s="225"/>
      <c r="B273" s="225"/>
      <c r="C273" s="225"/>
      <c r="D273" s="225"/>
      <c r="E273" s="225"/>
      <c r="F273" s="44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  <c r="AA273" s="225"/>
      <c r="AB273" s="225"/>
      <c r="AC273" s="225"/>
      <c r="AD273" s="225"/>
      <c r="AE273" s="225"/>
      <c r="AF273" s="225"/>
      <c r="AG273" s="225"/>
      <c r="AH273" s="225"/>
      <c r="AI273" s="225"/>
      <c r="AJ273" s="225"/>
      <c r="AK273" s="323"/>
      <c r="AL273" s="225"/>
    </row>
    <row r="274" ht="13.5" customHeight="1">
      <c r="A274" s="225"/>
      <c r="B274" s="225"/>
      <c r="C274" s="225"/>
      <c r="D274" s="225"/>
      <c r="E274" s="225"/>
      <c r="F274" s="44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  <c r="AA274" s="225"/>
      <c r="AB274" s="225"/>
      <c r="AC274" s="225"/>
      <c r="AD274" s="225"/>
      <c r="AE274" s="225"/>
      <c r="AF274" s="225"/>
      <c r="AG274" s="225"/>
      <c r="AH274" s="225"/>
      <c r="AI274" s="225"/>
      <c r="AJ274" s="225"/>
      <c r="AK274" s="323"/>
      <c r="AL274" s="225"/>
    </row>
    <row r="275" ht="13.5" customHeight="1">
      <c r="A275" s="225"/>
      <c r="B275" s="225"/>
      <c r="C275" s="225"/>
      <c r="D275" s="225"/>
      <c r="E275" s="225"/>
      <c r="F275" s="44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  <c r="AA275" s="225"/>
      <c r="AB275" s="225"/>
      <c r="AC275" s="225"/>
      <c r="AD275" s="225"/>
      <c r="AE275" s="225"/>
      <c r="AF275" s="225"/>
      <c r="AG275" s="225"/>
      <c r="AH275" s="225"/>
      <c r="AI275" s="225"/>
      <c r="AJ275" s="225"/>
      <c r="AK275" s="323"/>
      <c r="AL275" s="225"/>
    </row>
    <row r="276" ht="13.5" customHeight="1">
      <c r="A276" s="225"/>
      <c r="B276" s="225"/>
      <c r="C276" s="225"/>
      <c r="D276" s="225"/>
      <c r="E276" s="225"/>
      <c r="F276" s="44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  <c r="AA276" s="225"/>
      <c r="AB276" s="225"/>
      <c r="AC276" s="225"/>
      <c r="AD276" s="225"/>
      <c r="AE276" s="225"/>
      <c r="AF276" s="225"/>
      <c r="AG276" s="225"/>
      <c r="AH276" s="225"/>
      <c r="AI276" s="225"/>
      <c r="AJ276" s="225"/>
      <c r="AK276" s="323"/>
      <c r="AL276" s="225"/>
    </row>
    <row r="277" ht="13.5" customHeight="1">
      <c r="A277" s="225"/>
      <c r="B277" s="225"/>
      <c r="C277" s="225"/>
      <c r="D277" s="225"/>
      <c r="E277" s="225"/>
      <c r="F277" s="44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  <c r="AA277" s="225"/>
      <c r="AB277" s="225"/>
      <c r="AC277" s="225"/>
      <c r="AD277" s="225"/>
      <c r="AE277" s="225"/>
      <c r="AF277" s="225"/>
      <c r="AG277" s="225"/>
      <c r="AH277" s="225"/>
      <c r="AI277" s="225"/>
      <c r="AJ277" s="225"/>
      <c r="AK277" s="323"/>
      <c r="AL277" s="225"/>
    </row>
    <row r="278" ht="13.5" customHeight="1">
      <c r="A278" s="225"/>
      <c r="B278" s="225"/>
      <c r="C278" s="225"/>
      <c r="D278" s="225"/>
      <c r="E278" s="225"/>
      <c r="F278" s="44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  <c r="AA278" s="225"/>
      <c r="AB278" s="225"/>
      <c r="AC278" s="225"/>
      <c r="AD278" s="225"/>
      <c r="AE278" s="225"/>
      <c r="AF278" s="225"/>
      <c r="AG278" s="225"/>
      <c r="AH278" s="225"/>
      <c r="AI278" s="225"/>
      <c r="AJ278" s="225"/>
      <c r="AK278" s="323"/>
      <c r="AL278" s="225"/>
    </row>
    <row r="279" ht="13.5" customHeight="1">
      <c r="A279" s="225"/>
      <c r="B279" s="225"/>
      <c r="C279" s="225"/>
      <c r="D279" s="225"/>
      <c r="E279" s="225"/>
      <c r="F279" s="44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  <c r="AA279" s="225"/>
      <c r="AB279" s="225"/>
      <c r="AC279" s="225"/>
      <c r="AD279" s="225"/>
      <c r="AE279" s="225"/>
      <c r="AF279" s="225"/>
      <c r="AG279" s="225"/>
      <c r="AH279" s="225"/>
      <c r="AI279" s="225"/>
      <c r="AJ279" s="225"/>
      <c r="AK279" s="323"/>
      <c r="AL279" s="225"/>
    </row>
    <row r="280" ht="13.5" customHeight="1">
      <c r="A280" s="225"/>
      <c r="B280" s="225"/>
      <c r="C280" s="225"/>
      <c r="D280" s="225"/>
      <c r="E280" s="225"/>
      <c r="F280" s="44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  <c r="AA280" s="225"/>
      <c r="AB280" s="225"/>
      <c r="AC280" s="225"/>
      <c r="AD280" s="225"/>
      <c r="AE280" s="225"/>
      <c r="AF280" s="225"/>
      <c r="AG280" s="225"/>
      <c r="AH280" s="225"/>
      <c r="AI280" s="225"/>
      <c r="AJ280" s="225"/>
      <c r="AK280" s="323"/>
      <c r="AL280" s="225"/>
    </row>
    <row r="281" ht="13.5" customHeight="1">
      <c r="A281" s="225"/>
      <c r="B281" s="225"/>
      <c r="C281" s="225"/>
      <c r="D281" s="225"/>
      <c r="E281" s="225"/>
      <c r="F281" s="44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  <c r="AA281" s="225"/>
      <c r="AB281" s="225"/>
      <c r="AC281" s="225"/>
      <c r="AD281" s="225"/>
      <c r="AE281" s="225"/>
      <c r="AF281" s="225"/>
      <c r="AG281" s="225"/>
      <c r="AH281" s="225"/>
      <c r="AI281" s="225"/>
      <c r="AJ281" s="225"/>
      <c r="AK281" s="323"/>
      <c r="AL281" s="225"/>
    </row>
    <row r="282" ht="13.5" customHeight="1">
      <c r="A282" s="225"/>
      <c r="B282" s="225"/>
      <c r="C282" s="225"/>
      <c r="D282" s="225"/>
      <c r="E282" s="225"/>
      <c r="F282" s="44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  <c r="AA282" s="225"/>
      <c r="AB282" s="225"/>
      <c r="AC282" s="225"/>
      <c r="AD282" s="225"/>
      <c r="AE282" s="225"/>
      <c r="AF282" s="225"/>
      <c r="AG282" s="225"/>
      <c r="AH282" s="225"/>
      <c r="AI282" s="225"/>
      <c r="AJ282" s="225"/>
      <c r="AK282" s="323"/>
      <c r="AL282" s="225"/>
    </row>
    <row r="283" ht="13.5" customHeight="1">
      <c r="A283" s="225"/>
      <c r="B283" s="225"/>
      <c r="C283" s="225"/>
      <c r="D283" s="225"/>
      <c r="E283" s="225"/>
      <c r="F283" s="44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  <c r="AA283" s="225"/>
      <c r="AB283" s="225"/>
      <c r="AC283" s="225"/>
      <c r="AD283" s="225"/>
      <c r="AE283" s="225"/>
      <c r="AF283" s="225"/>
      <c r="AG283" s="225"/>
      <c r="AH283" s="225"/>
      <c r="AI283" s="225"/>
      <c r="AJ283" s="225"/>
      <c r="AK283" s="323"/>
      <c r="AL283" s="225"/>
    </row>
    <row r="284" ht="13.5" customHeight="1">
      <c r="A284" s="225"/>
      <c r="B284" s="225"/>
      <c r="C284" s="225"/>
      <c r="D284" s="225"/>
      <c r="E284" s="225"/>
      <c r="F284" s="44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  <c r="AA284" s="225"/>
      <c r="AB284" s="225"/>
      <c r="AC284" s="225"/>
      <c r="AD284" s="225"/>
      <c r="AE284" s="225"/>
      <c r="AF284" s="225"/>
      <c r="AG284" s="225"/>
      <c r="AH284" s="225"/>
      <c r="AI284" s="225"/>
      <c r="AJ284" s="225"/>
      <c r="AK284" s="323"/>
      <c r="AL284" s="225"/>
    </row>
    <row r="285" ht="13.5" customHeight="1">
      <c r="A285" s="225"/>
      <c r="B285" s="225"/>
      <c r="C285" s="225"/>
      <c r="D285" s="225"/>
      <c r="E285" s="225"/>
      <c r="F285" s="44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  <c r="AA285" s="225"/>
      <c r="AB285" s="225"/>
      <c r="AC285" s="225"/>
      <c r="AD285" s="225"/>
      <c r="AE285" s="225"/>
      <c r="AF285" s="225"/>
      <c r="AG285" s="225"/>
      <c r="AH285" s="225"/>
      <c r="AI285" s="225"/>
      <c r="AJ285" s="225"/>
      <c r="AK285" s="323"/>
      <c r="AL285" s="225"/>
    </row>
    <row r="286" ht="13.5" customHeight="1">
      <c r="A286" s="225"/>
      <c r="B286" s="225"/>
      <c r="C286" s="225"/>
      <c r="D286" s="225"/>
      <c r="E286" s="225"/>
      <c r="F286" s="44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  <c r="AA286" s="225"/>
      <c r="AB286" s="225"/>
      <c r="AC286" s="225"/>
      <c r="AD286" s="225"/>
      <c r="AE286" s="225"/>
      <c r="AF286" s="225"/>
      <c r="AG286" s="225"/>
      <c r="AH286" s="225"/>
      <c r="AI286" s="225"/>
      <c r="AJ286" s="225"/>
      <c r="AK286" s="323"/>
      <c r="AL286" s="225"/>
    </row>
    <row r="287" ht="13.5" customHeight="1">
      <c r="A287" s="225"/>
      <c r="B287" s="225"/>
      <c r="C287" s="225"/>
      <c r="D287" s="225"/>
      <c r="E287" s="225"/>
      <c r="F287" s="44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  <c r="AA287" s="225"/>
      <c r="AB287" s="225"/>
      <c r="AC287" s="225"/>
      <c r="AD287" s="225"/>
      <c r="AE287" s="225"/>
      <c r="AF287" s="225"/>
      <c r="AG287" s="225"/>
      <c r="AH287" s="225"/>
      <c r="AI287" s="225"/>
      <c r="AJ287" s="225"/>
      <c r="AK287" s="323"/>
      <c r="AL287" s="225"/>
    </row>
    <row r="288" ht="13.5" customHeight="1">
      <c r="A288" s="225"/>
      <c r="B288" s="225"/>
      <c r="C288" s="225"/>
      <c r="D288" s="225"/>
      <c r="E288" s="225"/>
      <c r="F288" s="44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  <c r="AA288" s="225"/>
      <c r="AB288" s="225"/>
      <c r="AC288" s="225"/>
      <c r="AD288" s="225"/>
      <c r="AE288" s="225"/>
      <c r="AF288" s="225"/>
      <c r="AG288" s="225"/>
      <c r="AH288" s="225"/>
      <c r="AI288" s="225"/>
      <c r="AJ288" s="225"/>
      <c r="AK288" s="323"/>
      <c r="AL288" s="225"/>
    </row>
    <row r="289" ht="13.5" customHeight="1">
      <c r="A289" s="225"/>
      <c r="B289" s="225"/>
      <c r="C289" s="225"/>
      <c r="D289" s="225"/>
      <c r="E289" s="225"/>
      <c r="F289" s="44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  <c r="AA289" s="225"/>
      <c r="AB289" s="225"/>
      <c r="AC289" s="225"/>
      <c r="AD289" s="225"/>
      <c r="AE289" s="225"/>
      <c r="AF289" s="225"/>
      <c r="AG289" s="225"/>
      <c r="AH289" s="225"/>
      <c r="AI289" s="225"/>
      <c r="AJ289" s="225"/>
      <c r="AK289" s="323"/>
      <c r="AL289" s="225"/>
    </row>
    <row r="290" ht="13.5" customHeight="1">
      <c r="A290" s="225"/>
      <c r="B290" s="225"/>
      <c r="C290" s="225"/>
      <c r="D290" s="225"/>
      <c r="E290" s="225"/>
      <c r="F290" s="44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  <c r="AA290" s="225"/>
      <c r="AB290" s="225"/>
      <c r="AC290" s="225"/>
      <c r="AD290" s="225"/>
      <c r="AE290" s="225"/>
      <c r="AF290" s="225"/>
      <c r="AG290" s="225"/>
      <c r="AH290" s="225"/>
      <c r="AI290" s="225"/>
      <c r="AJ290" s="225"/>
      <c r="AK290" s="323"/>
      <c r="AL290" s="225"/>
    </row>
    <row r="291" ht="13.5" customHeight="1">
      <c r="A291" s="225"/>
      <c r="B291" s="225"/>
      <c r="C291" s="225"/>
      <c r="D291" s="225"/>
      <c r="E291" s="225"/>
      <c r="F291" s="44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  <c r="AB291" s="225"/>
      <c r="AC291" s="225"/>
      <c r="AD291" s="225"/>
      <c r="AE291" s="225"/>
      <c r="AF291" s="225"/>
      <c r="AG291" s="225"/>
      <c r="AH291" s="225"/>
      <c r="AI291" s="225"/>
      <c r="AJ291" s="225"/>
      <c r="AK291" s="323"/>
      <c r="AL291" s="225"/>
    </row>
    <row r="292" ht="13.5" customHeight="1">
      <c r="A292" s="225"/>
      <c r="B292" s="225"/>
      <c r="C292" s="225"/>
      <c r="D292" s="225"/>
      <c r="E292" s="225"/>
      <c r="F292" s="44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  <c r="AA292" s="225"/>
      <c r="AB292" s="225"/>
      <c r="AC292" s="225"/>
      <c r="AD292" s="225"/>
      <c r="AE292" s="225"/>
      <c r="AF292" s="225"/>
      <c r="AG292" s="225"/>
      <c r="AH292" s="225"/>
      <c r="AI292" s="225"/>
      <c r="AJ292" s="225"/>
      <c r="AK292" s="323"/>
      <c r="AL292" s="225"/>
    </row>
    <row r="293" ht="13.5" customHeight="1">
      <c r="A293" s="225"/>
      <c r="B293" s="225"/>
      <c r="C293" s="225"/>
      <c r="D293" s="225"/>
      <c r="E293" s="225"/>
      <c r="F293" s="44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  <c r="AA293" s="225"/>
      <c r="AB293" s="225"/>
      <c r="AC293" s="225"/>
      <c r="AD293" s="225"/>
      <c r="AE293" s="225"/>
      <c r="AF293" s="225"/>
      <c r="AG293" s="225"/>
      <c r="AH293" s="225"/>
      <c r="AI293" s="225"/>
      <c r="AJ293" s="225"/>
      <c r="AK293" s="323"/>
      <c r="AL293" s="225"/>
    </row>
    <row r="294" ht="13.5" customHeight="1">
      <c r="A294" s="225"/>
      <c r="B294" s="225"/>
      <c r="C294" s="225"/>
      <c r="D294" s="225"/>
      <c r="E294" s="225"/>
      <c r="F294" s="44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  <c r="AA294" s="225"/>
      <c r="AB294" s="225"/>
      <c r="AC294" s="225"/>
      <c r="AD294" s="225"/>
      <c r="AE294" s="225"/>
      <c r="AF294" s="225"/>
      <c r="AG294" s="225"/>
      <c r="AH294" s="225"/>
      <c r="AI294" s="225"/>
      <c r="AJ294" s="225"/>
      <c r="AK294" s="323"/>
      <c r="AL294" s="225"/>
    </row>
    <row r="295" ht="13.5" customHeight="1">
      <c r="A295" s="225"/>
      <c r="B295" s="225"/>
      <c r="C295" s="225"/>
      <c r="D295" s="225"/>
      <c r="E295" s="225"/>
      <c r="F295" s="44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  <c r="AA295" s="225"/>
      <c r="AB295" s="225"/>
      <c r="AC295" s="225"/>
      <c r="AD295" s="225"/>
      <c r="AE295" s="225"/>
      <c r="AF295" s="225"/>
      <c r="AG295" s="225"/>
      <c r="AH295" s="225"/>
      <c r="AI295" s="225"/>
      <c r="AJ295" s="225"/>
      <c r="AK295" s="323"/>
      <c r="AL295" s="225"/>
    </row>
    <row r="296" ht="13.5" customHeight="1">
      <c r="A296" s="225"/>
      <c r="B296" s="225"/>
      <c r="C296" s="225"/>
      <c r="D296" s="225"/>
      <c r="E296" s="225"/>
      <c r="F296" s="44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  <c r="AA296" s="225"/>
      <c r="AB296" s="225"/>
      <c r="AC296" s="225"/>
      <c r="AD296" s="225"/>
      <c r="AE296" s="225"/>
      <c r="AF296" s="225"/>
      <c r="AG296" s="225"/>
      <c r="AH296" s="225"/>
      <c r="AI296" s="225"/>
      <c r="AJ296" s="225"/>
      <c r="AK296" s="323"/>
      <c r="AL296" s="225"/>
    </row>
    <row r="297" ht="13.5" customHeight="1">
      <c r="A297" s="225"/>
      <c r="B297" s="225"/>
      <c r="C297" s="225"/>
      <c r="D297" s="225"/>
      <c r="E297" s="225"/>
      <c r="F297" s="44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  <c r="AA297" s="225"/>
      <c r="AB297" s="225"/>
      <c r="AC297" s="225"/>
      <c r="AD297" s="225"/>
      <c r="AE297" s="225"/>
      <c r="AF297" s="225"/>
      <c r="AG297" s="225"/>
      <c r="AH297" s="225"/>
      <c r="AI297" s="225"/>
      <c r="AJ297" s="225"/>
      <c r="AK297" s="323"/>
      <c r="AL297" s="225"/>
    </row>
    <row r="298" ht="13.5" customHeight="1">
      <c r="A298" s="225"/>
      <c r="B298" s="225"/>
      <c r="C298" s="225"/>
      <c r="D298" s="225"/>
      <c r="E298" s="225"/>
      <c r="F298" s="44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  <c r="AA298" s="225"/>
      <c r="AB298" s="225"/>
      <c r="AC298" s="225"/>
      <c r="AD298" s="225"/>
      <c r="AE298" s="225"/>
      <c r="AF298" s="225"/>
      <c r="AG298" s="225"/>
      <c r="AH298" s="225"/>
      <c r="AI298" s="225"/>
      <c r="AJ298" s="225"/>
      <c r="AK298" s="323"/>
      <c r="AL298" s="225"/>
    </row>
    <row r="299" ht="13.5" customHeight="1">
      <c r="A299" s="225"/>
      <c r="B299" s="225"/>
      <c r="C299" s="225"/>
      <c r="D299" s="225"/>
      <c r="E299" s="225"/>
      <c r="F299" s="44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  <c r="AA299" s="225"/>
      <c r="AB299" s="225"/>
      <c r="AC299" s="225"/>
      <c r="AD299" s="225"/>
      <c r="AE299" s="225"/>
      <c r="AF299" s="225"/>
      <c r="AG299" s="225"/>
      <c r="AH299" s="225"/>
      <c r="AI299" s="225"/>
      <c r="AJ299" s="225"/>
      <c r="AK299" s="323"/>
      <c r="AL299" s="225"/>
    </row>
    <row r="300" ht="13.5" customHeight="1">
      <c r="A300" s="225"/>
      <c r="B300" s="225"/>
      <c r="C300" s="225"/>
      <c r="D300" s="225"/>
      <c r="E300" s="225"/>
      <c r="F300" s="44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  <c r="AA300" s="225"/>
      <c r="AB300" s="225"/>
      <c r="AC300" s="225"/>
      <c r="AD300" s="225"/>
      <c r="AE300" s="225"/>
      <c r="AF300" s="225"/>
      <c r="AG300" s="225"/>
      <c r="AH300" s="225"/>
      <c r="AI300" s="225"/>
      <c r="AJ300" s="225"/>
      <c r="AK300" s="323"/>
      <c r="AL300" s="225"/>
    </row>
    <row r="301" ht="13.5" customHeight="1">
      <c r="A301" s="225"/>
      <c r="B301" s="225"/>
      <c r="C301" s="225"/>
      <c r="D301" s="225"/>
      <c r="E301" s="225"/>
      <c r="F301" s="44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  <c r="AA301" s="225"/>
      <c r="AB301" s="225"/>
      <c r="AC301" s="225"/>
      <c r="AD301" s="225"/>
      <c r="AE301" s="225"/>
      <c r="AF301" s="225"/>
      <c r="AG301" s="225"/>
      <c r="AH301" s="225"/>
      <c r="AI301" s="225"/>
      <c r="AJ301" s="225"/>
      <c r="AK301" s="323"/>
      <c r="AL301" s="225"/>
    </row>
    <row r="302" ht="13.5" customHeight="1">
      <c r="A302" s="225"/>
      <c r="B302" s="225"/>
      <c r="C302" s="225"/>
      <c r="D302" s="225"/>
      <c r="E302" s="225"/>
      <c r="F302" s="44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  <c r="AA302" s="225"/>
      <c r="AB302" s="225"/>
      <c r="AC302" s="225"/>
      <c r="AD302" s="225"/>
      <c r="AE302" s="225"/>
      <c r="AF302" s="225"/>
      <c r="AG302" s="225"/>
      <c r="AH302" s="225"/>
      <c r="AI302" s="225"/>
      <c r="AJ302" s="225"/>
      <c r="AK302" s="323"/>
      <c r="AL302" s="225"/>
    </row>
    <row r="303" ht="13.5" customHeight="1">
      <c r="A303" s="225"/>
      <c r="B303" s="225"/>
      <c r="C303" s="225"/>
      <c r="D303" s="225"/>
      <c r="E303" s="225"/>
      <c r="F303" s="44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  <c r="AA303" s="225"/>
      <c r="AB303" s="225"/>
      <c r="AC303" s="225"/>
      <c r="AD303" s="225"/>
      <c r="AE303" s="225"/>
      <c r="AF303" s="225"/>
      <c r="AG303" s="225"/>
      <c r="AH303" s="225"/>
      <c r="AI303" s="225"/>
      <c r="AJ303" s="225"/>
      <c r="AK303" s="323"/>
      <c r="AL303" s="225"/>
    </row>
    <row r="304" ht="13.5" customHeight="1">
      <c r="A304" s="225"/>
      <c r="B304" s="225"/>
      <c r="C304" s="225"/>
      <c r="D304" s="225"/>
      <c r="E304" s="225"/>
      <c r="F304" s="44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  <c r="AA304" s="225"/>
      <c r="AB304" s="225"/>
      <c r="AC304" s="225"/>
      <c r="AD304" s="225"/>
      <c r="AE304" s="225"/>
      <c r="AF304" s="225"/>
      <c r="AG304" s="225"/>
      <c r="AH304" s="225"/>
      <c r="AI304" s="225"/>
      <c r="AJ304" s="225"/>
      <c r="AK304" s="323"/>
      <c r="AL304" s="225"/>
    </row>
    <row r="305" ht="13.5" customHeight="1">
      <c r="A305" s="225"/>
      <c r="B305" s="225"/>
      <c r="C305" s="225"/>
      <c r="D305" s="225"/>
      <c r="E305" s="225"/>
      <c r="F305" s="44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  <c r="AA305" s="225"/>
      <c r="AB305" s="225"/>
      <c r="AC305" s="225"/>
      <c r="AD305" s="225"/>
      <c r="AE305" s="225"/>
      <c r="AF305" s="225"/>
      <c r="AG305" s="225"/>
      <c r="AH305" s="225"/>
      <c r="AI305" s="225"/>
      <c r="AJ305" s="225"/>
      <c r="AK305" s="323"/>
      <c r="AL305" s="225"/>
    </row>
    <row r="306" ht="13.5" customHeight="1">
      <c r="A306" s="225"/>
      <c r="B306" s="225"/>
      <c r="C306" s="225"/>
      <c r="D306" s="225"/>
      <c r="E306" s="225"/>
      <c r="F306" s="44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  <c r="AA306" s="225"/>
      <c r="AB306" s="225"/>
      <c r="AC306" s="225"/>
      <c r="AD306" s="225"/>
      <c r="AE306" s="225"/>
      <c r="AF306" s="225"/>
      <c r="AG306" s="225"/>
      <c r="AH306" s="225"/>
      <c r="AI306" s="225"/>
      <c r="AJ306" s="225"/>
      <c r="AK306" s="323"/>
      <c r="AL306" s="225"/>
    </row>
    <row r="307" ht="13.5" customHeight="1">
      <c r="A307" s="225"/>
      <c r="B307" s="225"/>
      <c r="C307" s="225"/>
      <c r="D307" s="225"/>
      <c r="E307" s="225"/>
      <c r="F307" s="44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  <c r="AA307" s="225"/>
      <c r="AB307" s="225"/>
      <c r="AC307" s="225"/>
      <c r="AD307" s="225"/>
      <c r="AE307" s="225"/>
      <c r="AF307" s="225"/>
      <c r="AG307" s="225"/>
      <c r="AH307" s="225"/>
      <c r="AI307" s="225"/>
      <c r="AJ307" s="225"/>
      <c r="AK307" s="323"/>
      <c r="AL307" s="225"/>
    </row>
    <row r="308" ht="13.5" customHeight="1">
      <c r="A308" s="225"/>
      <c r="B308" s="225"/>
      <c r="C308" s="225"/>
      <c r="D308" s="225"/>
      <c r="E308" s="225"/>
      <c r="F308" s="44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  <c r="AA308" s="225"/>
      <c r="AB308" s="225"/>
      <c r="AC308" s="225"/>
      <c r="AD308" s="225"/>
      <c r="AE308" s="225"/>
      <c r="AF308" s="225"/>
      <c r="AG308" s="225"/>
      <c r="AH308" s="225"/>
      <c r="AI308" s="225"/>
      <c r="AJ308" s="225"/>
      <c r="AK308" s="323"/>
      <c r="AL308" s="225"/>
    </row>
    <row r="309" ht="13.5" customHeight="1">
      <c r="A309" s="225"/>
      <c r="B309" s="225"/>
      <c r="C309" s="225"/>
      <c r="D309" s="225"/>
      <c r="E309" s="225"/>
      <c r="F309" s="44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  <c r="AA309" s="225"/>
      <c r="AB309" s="225"/>
      <c r="AC309" s="225"/>
      <c r="AD309" s="225"/>
      <c r="AE309" s="225"/>
      <c r="AF309" s="225"/>
      <c r="AG309" s="225"/>
      <c r="AH309" s="225"/>
      <c r="AI309" s="225"/>
      <c r="AJ309" s="225"/>
      <c r="AK309" s="323"/>
      <c r="AL309" s="225"/>
    </row>
    <row r="310" ht="13.5" customHeight="1">
      <c r="A310" s="225"/>
      <c r="B310" s="225"/>
      <c r="C310" s="225"/>
      <c r="D310" s="225"/>
      <c r="E310" s="225"/>
      <c r="F310" s="44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  <c r="AA310" s="225"/>
      <c r="AB310" s="225"/>
      <c r="AC310" s="225"/>
      <c r="AD310" s="225"/>
      <c r="AE310" s="225"/>
      <c r="AF310" s="225"/>
      <c r="AG310" s="225"/>
      <c r="AH310" s="225"/>
      <c r="AI310" s="225"/>
      <c r="AJ310" s="225"/>
      <c r="AK310" s="323"/>
      <c r="AL310" s="225"/>
    </row>
    <row r="311" ht="13.5" customHeight="1">
      <c r="A311" s="225"/>
      <c r="B311" s="225"/>
      <c r="C311" s="225"/>
      <c r="D311" s="225"/>
      <c r="E311" s="225"/>
      <c r="F311" s="44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  <c r="AA311" s="225"/>
      <c r="AB311" s="225"/>
      <c r="AC311" s="225"/>
      <c r="AD311" s="225"/>
      <c r="AE311" s="225"/>
      <c r="AF311" s="225"/>
      <c r="AG311" s="225"/>
      <c r="AH311" s="225"/>
      <c r="AI311" s="225"/>
      <c r="AJ311" s="225"/>
      <c r="AK311" s="323"/>
      <c r="AL311" s="225"/>
    </row>
    <row r="312" ht="13.5" customHeight="1">
      <c r="A312" s="225"/>
      <c r="B312" s="225"/>
      <c r="C312" s="225"/>
      <c r="D312" s="225"/>
      <c r="E312" s="225"/>
      <c r="F312" s="44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  <c r="AA312" s="225"/>
      <c r="AB312" s="225"/>
      <c r="AC312" s="225"/>
      <c r="AD312" s="225"/>
      <c r="AE312" s="225"/>
      <c r="AF312" s="225"/>
      <c r="AG312" s="225"/>
      <c r="AH312" s="225"/>
      <c r="AI312" s="225"/>
      <c r="AJ312" s="225"/>
      <c r="AK312" s="323"/>
      <c r="AL312" s="225"/>
    </row>
    <row r="313" ht="13.5" customHeight="1">
      <c r="A313" s="225"/>
      <c r="B313" s="225"/>
      <c r="C313" s="225"/>
      <c r="D313" s="225"/>
      <c r="E313" s="225"/>
      <c r="F313" s="44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  <c r="AA313" s="225"/>
      <c r="AB313" s="225"/>
      <c r="AC313" s="225"/>
      <c r="AD313" s="225"/>
      <c r="AE313" s="225"/>
      <c r="AF313" s="225"/>
      <c r="AG313" s="225"/>
      <c r="AH313" s="225"/>
      <c r="AI313" s="225"/>
      <c r="AJ313" s="225"/>
      <c r="AK313" s="323"/>
      <c r="AL313" s="225"/>
    </row>
    <row r="314" ht="13.5" customHeight="1">
      <c r="A314" s="225"/>
      <c r="B314" s="225"/>
      <c r="C314" s="225"/>
      <c r="D314" s="225"/>
      <c r="E314" s="225"/>
      <c r="F314" s="44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  <c r="AA314" s="225"/>
      <c r="AB314" s="225"/>
      <c r="AC314" s="225"/>
      <c r="AD314" s="225"/>
      <c r="AE314" s="225"/>
      <c r="AF314" s="225"/>
      <c r="AG314" s="225"/>
      <c r="AH314" s="225"/>
      <c r="AI314" s="225"/>
      <c r="AJ314" s="225"/>
      <c r="AK314" s="323"/>
      <c r="AL314" s="225"/>
    </row>
    <row r="315" ht="13.5" customHeight="1">
      <c r="A315" s="225"/>
      <c r="B315" s="225"/>
      <c r="C315" s="225"/>
      <c r="D315" s="225"/>
      <c r="E315" s="225"/>
      <c r="F315" s="44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  <c r="AA315" s="225"/>
      <c r="AB315" s="225"/>
      <c r="AC315" s="225"/>
      <c r="AD315" s="225"/>
      <c r="AE315" s="225"/>
      <c r="AF315" s="225"/>
      <c r="AG315" s="225"/>
      <c r="AH315" s="225"/>
      <c r="AI315" s="225"/>
      <c r="AJ315" s="225"/>
      <c r="AK315" s="323"/>
      <c r="AL315" s="225"/>
    </row>
    <row r="316" ht="13.5" customHeight="1">
      <c r="A316" s="225"/>
      <c r="B316" s="225"/>
      <c r="C316" s="225"/>
      <c r="D316" s="225"/>
      <c r="E316" s="225"/>
      <c r="F316" s="44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  <c r="AA316" s="225"/>
      <c r="AB316" s="225"/>
      <c r="AC316" s="225"/>
      <c r="AD316" s="225"/>
      <c r="AE316" s="225"/>
      <c r="AF316" s="225"/>
      <c r="AG316" s="225"/>
      <c r="AH316" s="225"/>
      <c r="AI316" s="225"/>
      <c r="AJ316" s="225"/>
      <c r="AK316" s="323"/>
      <c r="AL316" s="225"/>
    </row>
    <row r="317" ht="13.5" customHeight="1">
      <c r="A317" s="225"/>
      <c r="B317" s="225"/>
      <c r="C317" s="225"/>
      <c r="D317" s="225"/>
      <c r="E317" s="225"/>
      <c r="F317" s="44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  <c r="AA317" s="225"/>
      <c r="AB317" s="225"/>
      <c r="AC317" s="225"/>
      <c r="AD317" s="225"/>
      <c r="AE317" s="225"/>
      <c r="AF317" s="225"/>
      <c r="AG317" s="225"/>
      <c r="AH317" s="225"/>
      <c r="AI317" s="225"/>
      <c r="AJ317" s="225"/>
      <c r="AK317" s="323"/>
      <c r="AL317" s="225"/>
    </row>
    <row r="318" ht="13.5" customHeight="1">
      <c r="A318" s="225"/>
      <c r="B318" s="225"/>
      <c r="C318" s="225"/>
      <c r="D318" s="225"/>
      <c r="E318" s="225"/>
      <c r="F318" s="44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  <c r="AA318" s="225"/>
      <c r="AB318" s="225"/>
      <c r="AC318" s="225"/>
      <c r="AD318" s="225"/>
      <c r="AE318" s="225"/>
      <c r="AF318" s="225"/>
      <c r="AG318" s="225"/>
      <c r="AH318" s="225"/>
      <c r="AI318" s="225"/>
      <c r="AJ318" s="225"/>
      <c r="AK318" s="323"/>
      <c r="AL318" s="225"/>
    </row>
    <row r="319" ht="13.5" customHeight="1">
      <c r="A319" s="225"/>
      <c r="B319" s="225"/>
      <c r="C319" s="225"/>
      <c r="D319" s="225"/>
      <c r="E319" s="225"/>
      <c r="F319" s="44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  <c r="AA319" s="225"/>
      <c r="AB319" s="225"/>
      <c r="AC319" s="225"/>
      <c r="AD319" s="225"/>
      <c r="AE319" s="225"/>
      <c r="AF319" s="225"/>
      <c r="AG319" s="225"/>
      <c r="AH319" s="225"/>
      <c r="AI319" s="225"/>
      <c r="AJ319" s="225"/>
      <c r="AK319" s="323"/>
      <c r="AL319" s="225"/>
    </row>
    <row r="320" ht="13.5" customHeight="1">
      <c r="A320" s="225"/>
      <c r="B320" s="225"/>
      <c r="C320" s="225"/>
      <c r="D320" s="225"/>
      <c r="E320" s="225"/>
      <c r="F320" s="44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  <c r="AB320" s="225"/>
      <c r="AC320" s="225"/>
      <c r="AD320" s="225"/>
      <c r="AE320" s="225"/>
      <c r="AF320" s="225"/>
      <c r="AG320" s="225"/>
      <c r="AH320" s="225"/>
      <c r="AI320" s="225"/>
      <c r="AJ320" s="225"/>
      <c r="AK320" s="323"/>
      <c r="AL320" s="225"/>
    </row>
    <row r="321" ht="13.5" customHeight="1">
      <c r="A321" s="225"/>
      <c r="B321" s="225"/>
      <c r="C321" s="225"/>
      <c r="D321" s="225"/>
      <c r="E321" s="225"/>
      <c r="F321" s="44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  <c r="AA321" s="225"/>
      <c r="AB321" s="225"/>
      <c r="AC321" s="225"/>
      <c r="AD321" s="225"/>
      <c r="AE321" s="225"/>
      <c r="AF321" s="225"/>
      <c r="AG321" s="225"/>
      <c r="AH321" s="225"/>
      <c r="AI321" s="225"/>
      <c r="AJ321" s="225"/>
      <c r="AK321" s="323"/>
      <c r="AL321" s="225"/>
    </row>
    <row r="322" ht="13.5" customHeight="1">
      <c r="A322" s="225"/>
      <c r="B322" s="225"/>
      <c r="C322" s="225"/>
      <c r="D322" s="225"/>
      <c r="E322" s="225"/>
      <c r="F322" s="44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  <c r="AA322" s="225"/>
      <c r="AB322" s="225"/>
      <c r="AC322" s="225"/>
      <c r="AD322" s="225"/>
      <c r="AE322" s="225"/>
      <c r="AF322" s="225"/>
      <c r="AG322" s="225"/>
      <c r="AH322" s="225"/>
      <c r="AI322" s="225"/>
      <c r="AJ322" s="225"/>
      <c r="AK322" s="323"/>
      <c r="AL322" s="225"/>
    </row>
    <row r="323" ht="13.5" customHeight="1">
      <c r="A323" s="225"/>
      <c r="B323" s="225"/>
      <c r="C323" s="225"/>
      <c r="D323" s="225"/>
      <c r="E323" s="225"/>
      <c r="F323" s="44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  <c r="AA323" s="225"/>
      <c r="AB323" s="225"/>
      <c r="AC323" s="225"/>
      <c r="AD323" s="225"/>
      <c r="AE323" s="225"/>
      <c r="AF323" s="225"/>
      <c r="AG323" s="225"/>
      <c r="AH323" s="225"/>
      <c r="AI323" s="225"/>
      <c r="AJ323" s="225"/>
      <c r="AK323" s="323"/>
      <c r="AL323" s="225"/>
    </row>
    <row r="324" ht="13.5" customHeight="1">
      <c r="A324" s="225"/>
      <c r="B324" s="225"/>
      <c r="C324" s="225"/>
      <c r="D324" s="225"/>
      <c r="E324" s="225"/>
      <c r="F324" s="44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  <c r="AA324" s="225"/>
      <c r="AB324" s="225"/>
      <c r="AC324" s="225"/>
      <c r="AD324" s="225"/>
      <c r="AE324" s="225"/>
      <c r="AF324" s="225"/>
      <c r="AG324" s="225"/>
      <c r="AH324" s="225"/>
      <c r="AI324" s="225"/>
      <c r="AJ324" s="225"/>
      <c r="AK324" s="323"/>
      <c r="AL324" s="225"/>
    </row>
    <row r="325" ht="13.5" customHeight="1">
      <c r="A325" s="225"/>
      <c r="B325" s="225"/>
      <c r="C325" s="225"/>
      <c r="D325" s="225"/>
      <c r="E325" s="225"/>
      <c r="F325" s="44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  <c r="AA325" s="225"/>
      <c r="AB325" s="225"/>
      <c r="AC325" s="225"/>
      <c r="AD325" s="225"/>
      <c r="AE325" s="225"/>
      <c r="AF325" s="225"/>
      <c r="AG325" s="225"/>
      <c r="AH325" s="225"/>
      <c r="AI325" s="225"/>
      <c r="AJ325" s="225"/>
      <c r="AK325" s="323"/>
      <c r="AL325" s="225"/>
    </row>
    <row r="326" ht="13.5" customHeight="1">
      <c r="A326" s="225"/>
      <c r="B326" s="225"/>
      <c r="C326" s="225"/>
      <c r="D326" s="225"/>
      <c r="E326" s="225"/>
      <c r="F326" s="44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  <c r="AA326" s="225"/>
      <c r="AB326" s="225"/>
      <c r="AC326" s="225"/>
      <c r="AD326" s="225"/>
      <c r="AE326" s="225"/>
      <c r="AF326" s="225"/>
      <c r="AG326" s="225"/>
      <c r="AH326" s="225"/>
      <c r="AI326" s="225"/>
      <c r="AJ326" s="225"/>
      <c r="AK326" s="323"/>
      <c r="AL326" s="225"/>
    </row>
    <row r="327" ht="13.5" customHeight="1">
      <c r="A327" s="225"/>
      <c r="B327" s="225"/>
      <c r="C327" s="225"/>
      <c r="D327" s="225"/>
      <c r="E327" s="225"/>
      <c r="F327" s="44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  <c r="AA327" s="225"/>
      <c r="AB327" s="225"/>
      <c r="AC327" s="225"/>
      <c r="AD327" s="225"/>
      <c r="AE327" s="225"/>
      <c r="AF327" s="225"/>
      <c r="AG327" s="225"/>
      <c r="AH327" s="225"/>
      <c r="AI327" s="225"/>
      <c r="AJ327" s="225"/>
      <c r="AK327" s="323"/>
      <c r="AL327" s="225"/>
    </row>
    <row r="328" ht="13.5" customHeight="1">
      <c r="A328" s="225"/>
      <c r="B328" s="225"/>
      <c r="C328" s="225"/>
      <c r="D328" s="225"/>
      <c r="E328" s="225"/>
      <c r="F328" s="44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  <c r="AB328" s="225"/>
      <c r="AC328" s="225"/>
      <c r="AD328" s="225"/>
      <c r="AE328" s="225"/>
      <c r="AF328" s="225"/>
      <c r="AG328" s="225"/>
      <c r="AH328" s="225"/>
      <c r="AI328" s="225"/>
      <c r="AJ328" s="225"/>
      <c r="AK328" s="323"/>
      <c r="AL328" s="225"/>
    </row>
    <row r="329" ht="13.5" customHeight="1">
      <c r="A329" s="225"/>
      <c r="B329" s="225"/>
      <c r="C329" s="225"/>
      <c r="D329" s="225"/>
      <c r="E329" s="225"/>
      <c r="F329" s="44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  <c r="AA329" s="225"/>
      <c r="AB329" s="225"/>
      <c r="AC329" s="225"/>
      <c r="AD329" s="225"/>
      <c r="AE329" s="225"/>
      <c r="AF329" s="225"/>
      <c r="AG329" s="225"/>
      <c r="AH329" s="225"/>
      <c r="AI329" s="225"/>
      <c r="AJ329" s="225"/>
      <c r="AK329" s="323"/>
      <c r="AL329" s="225"/>
    </row>
    <row r="330" ht="13.5" customHeight="1">
      <c r="A330" s="225"/>
      <c r="B330" s="225"/>
      <c r="C330" s="225"/>
      <c r="D330" s="225"/>
      <c r="E330" s="225"/>
      <c r="F330" s="44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  <c r="AA330" s="225"/>
      <c r="AB330" s="225"/>
      <c r="AC330" s="225"/>
      <c r="AD330" s="225"/>
      <c r="AE330" s="225"/>
      <c r="AF330" s="225"/>
      <c r="AG330" s="225"/>
      <c r="AH330" s="225"/>
      <c r="AI330" s="225"/>
      <c r="AJ330" s="225"/>
      <c r="AK330" s="323"/>
      <c r="AL330" s="225"/>
    </row>
    <row r="331" ht="13.5" customHeight="1">
      <c r="A331" s="225"/>
      <c r="B331" s="225"/>
      <c r="C331" s="225"/>
      <c r="D331" s="225"/>
      <c r="E331" s="225"/>
      <c r="F331" s="44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  <c r="AA331" s="225"/>
      <c r="AB331" s="225"/>
      <c r="AC331" s="225"/>
      <c r="AD331" s="225"/>
      <c r="AE331" s="225"/>
      <c r="AF331" s="225"/>
      <c r="AG331" s="225"/>
      <c r="AH331" s="225"/>
      <c r="AI331" s="225"/>
      <c r="AJ331" s="225"/>
      <c r="AK331" s="323"/>
      <c r="AL331" s="225"/>
    </row>
    <row r="332" ht="13.5" customHeight="1">
      <c r="A332" s="225"/>
      <c r="B332" s="225"/>
      <c r="C332" s="225"/>
      <c r="D332" s="225"/>
      <c r="E332" s="225"/>
      <c r="F332" s="44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  <c r="AA332" s="225"/>
      <c r="AB332" s="225"/>
      <c r="AC332" s="225"/>
      <c r="AD332" s="225"/>
      <c r="AE332" s="225"/>
      <c r="AF332" s="225"/>
      <c r="AG332" s="225"/>
      <c r="AH332" s="225"/>
      <c r="AI332" s="225"/>
      <c r="AJ332" s="225"/>
      <c r="AK332" s="323"/>
      <c r="AL332" s="225"/>
    </row>
    <row r="333" ht="13.5" customHeight="1">
      <c r="A333" s="225"/>
      <c r="B333" s="225"/>
      <c r="C333" s="225"/>
      <c r="D333" s="225"/>
      <c r="E333" s="225"/>
      <c r="F333" s="44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  <c r="AA333" s="225"/>
      <c r="AB333" s="225"/>
      <c r="AC333" s="225"/>
      <c r="AD333" s="225"/>
      <c r="AE333" s="225"/>
      <c r="AF333" s="225"/>
      <c r="AG333" s="225"/>
      <c r="AH333" s="225"/>
      <c r="AI333" s="225"/>
      <c r="AJ333" s="225"/>
      <c r="AK333" s="323"/>
      <c r="AL333" s="225"/>
    </row>
    <row r="334" ht="13.5" customHeight="1">
      <c r="A334" s="225"/>
      <c r="B334" s="225"/>
      <c r="C334" s="225"/>
      <c r="D334" s="225"/>
      <c r="E334" s="225"/>
      <c r="F334" s="44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  <c r="AA334" s="225"/>
      <c r="AB334" s="225"/>
      <c r="AC334" s="225"/>
      <c r="AD334" s="225"/>
      <c r="AE334" s="225"/>
      <c r="AF334" s="225"/>
      <c r="AG334" s="225"/>
      <c r="AH334" s="225"/>
      <c r="AI334" s="225"/>
      <c r="AJ334" s="225"/>
      <c r="AK334" s="323"/>
      <c r="AL334" s="225"/>
    </row>
    <row r="335" ht="13.5" customHeight="1">
      <c r="A335" s="225"/>
      <c r="B335" s="225"/>
      <c r="C335" s="225"/>
      <c r="D335" s="225"/>
      <c r="E335" s="225"/>
      <c r="F335" s="44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  <c r="AA335" s="225"/>
      <c r="AB335" s="225"/>
      <c r="AC335" s="225"/>
      <c r="AD335" s="225"/>
      <c r="AE335" s="225"/>
      <c r="AF335" s="225"/>
      <c r="AG335" s="225"/>
      <c r="AH335" s="225"/>
      <c r="AI335" s="225"/>
      <c r="AJ335" s="225"/>
      <c r="AK335" s="323"/>
      <c r="AL335" s="225"/>
    </row>
    <row r="336" ht="13.5" customHeight="1">
      <c r="A336" s="225"/>
      <c r="B336" s="225"/>
      <c r="C336" s="225"/>
      <c r="D336" s="225"/>
      <c r="E336" s="225"/>
      <c r="F336" s="44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  <c r="AA336" s="225"/>
      <c r="AB336" s="225"/>
      <c r="AC336" s="225"/>
      <c r="AD336" s="225"/>
      <c r="AE336" s="225"/>
      <c r="AF336" s="225"/>
      <c r="AG336" s="225"/>
      <c r="AH336" s="225"/>
      <c r="AI336" s="225"/>
      <c r="AJ336" s="225"/>
      <c r="AK336" s="323"/>
      <c r="AL336" s="225"/>
    </row>
    <row r="337" ht="13.5" customHeight="1">
      <c r="A337" s="225"/>
      <c r="B337" s="225"/>
      <c r="C337" s="225"/>
      <c r="D337" s="225"/>
      <c r="E337" s="225"/>
      <c r="F337" s="44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  <c r="AA337" s="225"/>
      <c r="AB337" s="225"/>
      <c r="AC337" s="225"/>
      <c r="AD337" s="225"/>
      <c r="AE337" s="225"/>
      <c r="AF337" s="225"/>
      <c r="AG337" s="225"/>
      <c r="AH337" s="225"/>
      <c r="AI337" s="225"/>
      <c r="AJ337" s="225"/>
      <c r="AK337" s="323"/>
      <c r="AL337" s="225"/>
    </row>
    <row r="338" ht="13.5" customHeight="1">
      <c r="A338" s="225"/>
      <c r="B338" s="225"/>
      <c r="C338" s="225"/>
      <c r="D338" s="225"/>
      <c r="E338" s="225"/>
      <c r="F338" s="44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  <c r="AA338" s="225"/>
      <c r="AB338" s="225"/>
      <c r="AC338" s="225"/>
      <c r="AD338" s="225"/>
      <c r="AE338" s="225"/>
      <c r="AF338" s="225"/>
      <c r="AG338" s="225"/>
      <c r="AH338" s="225"/>
      <c r="AI338" s="225"/>
      <c r="AJ338" s="225"/>
      <c r="AK338" s="323"/>
      <c r="AL338" s="225"/>
    </row>
    <row r="339" ht="13.5" customHeight="1">
      <c r="A339" s="225"/>
      <c r="B339" s="225"/>
      <c r="C339" s="225"/>
      <c r="D339" s="225"/>
      <c r="E339" s="225"/>
      <c r="F339" s="44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  <c r="AA339" s="225"/>
      <c r="AB339" s="225"/>
      <c r="AC339" s="225"/>
      <c r="AD339" s="225"/>
      <c r="AE339" s="225"/>
      <c r="AF339" s="225"/>
      <c r="AG339" s="225"/>
      <c r="AH339" s="225"/>
      <c r="AI339" s="225"/>
      <c r="AJ339" s="225"/>
      <c r="AK339" s="323"/>
      <c r="AL339" s="225"/>
    </row>
    <row r="340" ht="13.5" customHeight="1">
      <c r="A340" s="225"/>
      <c r="B340" s="225"/>
      <c r="C340" s="225"/>
      <c r="D340" s="225"/>
      <c r="E340" s="225"/>
      <c r="F340" s="44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  <c r="AA340" s="225"/>
      <c r="AB340" s="225"/>
      <c r="AC340" s="225"/>
      <c r="AD340" s="225"/>
      <c r="AE340" s="225"/>
      <c r="AF340" s="225"/>
      <c r="AG340" s="225"/>
      <c r="AH340" s="225"/>
      <c r="AI340" s="225"/>
      <c r="AJ340" s="225"/>
      <c r="AK340" s="323"/>
      <c r="AL340" s="225"/>
    </row>
    <row r="341" ht="13.5" customHeight="1">
      <c r="A341" s="225"/>
      <c r="B341" s="225"/>
      <c r="C341" s="225"/>
      <c r="D341" s="225"/>
      <c r="E341" s="225"/>
      <c r="F341" s="44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  <c r="AA341" s="225"/>
      <c r="AB341" s="225"/>
      <c r="AC341" s="225"/>
      <c r="AD341" s="225"/>
      <c r="AE341" s="225"/>
      <c r="AF341" s="225"/>
      <c r="AG341" s="225"/>
      <c r="AH341" s="225"/>
      <c r="AI341" s="225"/>
      <c r="AJ341" s="225"/>
      <c r="AK341" s="323"/>
      <c r="AL341" s="225"/>
    </row>
    <row r="342" ht="13.5" customHeight="1">
      <c r="A342" s="225"/>
      <c r="B342" s="225"/>
      <c r="C342" s="225"/>
      <c r="D342" s="225"/>
      <c r="E342" s="225"/>
      <c r="F342" s="44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  <c r="AA342" s="225"/>
      <c r="AB342" s="225"/>
      <c r="AC342" s="225"/>
      <c r="AD342" s="225"/>
      <c r="AE342" s="225"/>
      <c r="AF342" s="225"/>
      <c r="AG342" s="225"/>
      <c r="AH342" s="225"/>
      <c r="AI342" s="225"/>
      <c r="AJ342" s="225"/>
      <c r="AK342" s="323"/>
      <c r="AL342" s="225"/>
    </row>
    <row r="343" ht="13.5" customHeight="1">
      <c r="A343" s="225"/>
      <c r="B343" s="225"/>
      <c r="C343" s="225"/>
      <c r="D343" s="225"/>
      <c r="E343" s="225"/>
      <c r="F343" s="44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  <c r="AA343" s="225"/>
      <c r="AB343" s="225"/>
      <c r="AC343" s="225"/>
      <c r="AD343" s="225"/>
      <c r="AE343" s="225"/>
      <c r="AF343" s="225"/>
      <c r="AG343" s="225"/>
      <c r="AH343" s="225"/>
      <c r="AI343" s="225"/>
      <c r="AJ343" s="225"/>
      <c r="AK343" s="323"/>
      <c r="AL343" s="225"/>
    </row>
    <row r="344" ht="13.5" customHeight="1">
      <c r="A344" s="225"/>
      <c r="B344" s="225"/>
      <c r="C344" s="225"/>
      <c r="D344" s="225"/>
      <c r="E344" s="225"/>
      <c r="F344" s="44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  <c r="AA344" s="225"/>
      <c r="AB344" s="225"/>
      <c r="AC344" s="225"/>
      <c r="AD344" s="225"/>
      <c r="AE344" s="225"/>
      <c r="AF344" s="225"/>
      <c r="AG344" s="225"/>
      <c r="AH344" s="225"/>
      <c r="AI344" s="225"/>
      <c r="AJ344" s="225"/>
      <c r="AK344" s="323"/>
      <c r="AL344" s="225"/>
    </row>
    <row r="345" ht="13.5" customHeight="1">
      <c r="A345" s="225"/>
      <c r="B345" s="225"/>
      <c r="C345" s="225"/>
      <c r="D345" s="225"/>
      <c r="E345" s="225"/>
      <c r="F345" s="44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  <c r="AA345" s="225"/>
      <c r="AB345" s="225"/>
      <c r="AC345" s="225"/>
      <c r="AD345" s="225"/>
      <c r="AE345" s="225"/>
      <c r="AF345" s="225"/>
      <c r="AG345" s="225"/>
      <c r="AH345" s="225"/>
      <c r="AI345" s="225"/>
      <c r="AJ345" s="225"/>
      <c r="AK345" s="323"/>
      <c r="AL345" s="225"/>
    </row>
    <row r="346" ht="13.5" customHeight="1">
      <c r="A346" s="225"/>
      <c r="B346" s="225"/>
      <c r="C346" s="225"/>
      <c r="D346" s="225"/>
      <c r="E346" s="225"/>
      <c r="F346" s="44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  <c r="AA346" s="225"/>
      <c r="AB346" s="225"/>
      <c r="AC346" s="225"/>
      <c r="AD346" s="225"/>
      <c r="AE346" s="225"/>
      <c r="AF346" s="225"/>
      <c r="AG346" s="225"/>
      <c r="AH346" s="225"/>
      <c r="AI346" s="225"/>
      <c r="AJ346" s="225"/>
      <c r="AK346" s="323"/>
      <c r="AL346" s="225"/>
    </row>
    <row r="347" ht="13.5" customHeight="1">
      <c r="A347" s="225"/>
      <c r="B347" s="225"/>
      <c r="C347" s="225"/>
      <c r="D347" s="225"/>
      <c r="E347" s="225"/>
      <c r="F347" s="44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  <c r="AA347" s="225"/>
      <c r="AB347" s="225"/>
      <c r="AC347" s="225"/>
      <c r="AD347" s="225"/>
      <c r="AE347" s="225"/>
      <c r="AF347" s="225"/>
      <c r="AG347" s="225"/>
      <c r="AH347" s="225"/>
      <c r="AI347" s="225"/>
      <c r="AJ347" s="225"/>
      <c r="AK347" s="323"/>
      <c r="AL347" s="225"/>
    </row>
    <row r="348" ht="13.5" customHeight="1">
      <c r="A348" s="225"/>
      <c r="B348" s="225"/>
      <c r="C348" s="225"/>
      <c r="D348" s="225"/>
      <c r="E348" s="225"/>
      <c r="F348" s="44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  <c r="AA348" s="225"/>
      <c r="AB348" s="225"/>
      <c r="AC348" s="225"/>
      <c r="AD348" s="225"/>
      <c r="AE348" s="225"/>
      <c r="AF348" s="225"/>
      <c r="AG348" s="225"/>
      <c r="AH348" s="225"/>
      <c r="AI348" s="225"/>
      <c r="AJ348" s="225"/>
      <c r="AK348" s="323"/>
      <c r="AL348" s="225"/>
    </row>
    <row r="349" ht="13.5" customHeight="1">
      <c r="A349" s="225"/>
      <c r="B349" s="225"/>
      <c r="C349" s="225"/>
      <c r="D349" s="225"/>
      <c r="E349" s="225"/>
      <c r="F349" s="44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  <c r="AA349" s="225"/>
      <c r="AB349" s="225"/>
      <c r="AC349" s="225"/>
      <c r="AD349" s="225"/>
      <c r="AE349" s="225"/>
      <c r="AF349" s="225"/>
      <c r="AG349" s="225"/>
      <c r="AH349" s="225"/>
      <c r="AI349" s="225"/>
      <c r="AJ349" s="225"/>
      <c r="AK349" s="323"/>
      <c r="AL349" s="225"/>
    </row>
    <row r="350" ht="13.5" customHeight="1">
      <c r="A350" s="225"/>
      <c r="B350" s="225"/>
      <c r="C350" s="225"/>
      <c r="D350" s="225"/>
      <c r="E350" s="225"/>
      <c r="F350" s="44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  <c r="AA350" s="225"/>
      <c r="AB350" s="225"/>
      <c r="AC350" s="225"/>
      <c r="AD350" s="225"/>
      <c r="AE350" s="225"/>
      <c r="AF350" s="225"/>
      <c r="AG350" s="225"/>
      <c r="AH350" s="225"/>
      <c r="AI350" s="225"/>
      <c r="AJ350" s="225"/>
      <c r="AK350" s="323"/>
      <c r="AL350" s="225"/>
    </row>
    <row r="351" ht="13.5" customHeight="1">
      <c r="A351" s="225"/>
      <c r="B351" s="225"/>
      <c r="C351" s="225"/>
      <c r="D351" s="225"/>
      <c r="E351" s="225"/>
      <c r="F351" s="44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  <c r="AA351" s="225"/>
      <c r="AB351" s="225"/>
      <c r="AC351" s="225"/>
      <c r="AD351" s="225"/>
      <c r="AE351" s="225"/>
      <c r="AF351" s="225"/>
      <c r="AG351" s="225"/>
      <c r="AH351" s="225"/>
      <c r="AI351" s="225"/>
      <c r="AJ351" s="225"/>
      <c r="AK351" s="323"/>
      <c r="AL351" s="225"/>
    </row>
    <row r="352" ht="13.5" customHeight="1">
      <c r="A352" s="225"/>
      <c r="B352" s="225"/>
      <c r="C352" s="225"/>
      <c r="D352" s="225"/>
      <c r="E352" s="225"/>
      <c r="F352" s="44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  <c r="AA352" s="225"/>
      <c r="AB352" s="225"/>
      <c r="AC352" s="225"/>
      <c r="AD352" s="225"/>
      <c r="AE352" s="225"/>
      <c r="AF352" s="225"/>
      <c r="AG352" s="225"/>
      <c r="AH352" s="225"/>
      <c r="AI352" s="225"/>
      <c r="AJ352" s="225"/>
      <c r="AK352" s="323"/>
      <c r="AL352" s="225"/>
    </row>
    <row r="353" ht="13.5" customHeight="1">
      <c r="A353" s="225"/>
      <c r="B353" s="225"/>
      <c r="C353" s="225"/>
      <c r="D353" s="225"/>
      <c r="E353" s="225"/>
      <c r="F353" s="44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  <c r="AA353" s="225"/>
      <c r="AB353" s="225"/>
      <c r="AC353" s="225"/>
      <c r="AD353" s="225"/>
      <c r="AE353" s="225"/>
      <c r="AF353" s="225"/>
      <c r="AG353" s="225"/>
      <c r="AH353" s="225"/>
      <c r="AI353" s="225"/>
      <c r="AJ353" s="225"/>
      <c r="AK353" s="323"/>
      <c r="AL353" s="225"/>
    </row>
    <row r="354" ht="13.5" customHeight="1">
      <c r="A354" s="225"/>
      <c r="B354" s="225"/>
      <c r="C354" s="225"/>
      <c r="D354" s="225"/>
      <c r="E354" s="225"/>
      <c r="F354" s="44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  <c r="AA354" s="225"/>
      <c r="AB354" s="225"/>
      <c r="AC354" s="225"/>
      <c r="AD354" s="225"/>
      <c r="AE354" s="225"/>
      <c r="AF354" s="225"/>
      <c r="AG354" s="225"/>
      <c r="AH354" s="225"/>
      <c r="AI354" s="225"/>
      <c r="AJ354" s="225"/>
      <c r="AK354" s="323"/>
      <c r="AL354" s="225"/>
    </row>
    <row r="355" ht="13.5" customHeight="1">
      <c r="A355" s="225"/>
      <c r="B355" s="225"/>
      <c r="C355" s="225"/>
      <c r="D355" s="225"/>
      <c r="E355" s="225"/>
      <c r="F355" s="44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  <c r="AB355" s="225"/>
      <c r="AC355" s="225"/>
      <c r="AD355" s="225"/>
      <c r="AE355" s="225"/>
      <c r="AF355" s="225"/>
      <c r="AG355" s="225"/>
      <c r="AH355" s="225"/>
      <c r="AI355" s="225"/>
      <c r="AJ355" s="225"/>
      <c r="AK355" s="323"/>
      <c r="AL355" s="225"/>
    </row>
    <row r="356" ht="13.5" customHeight="1">
      <c r="A356" s="225"/>
      <c r="B356" s="225"/>
      <c r="C356" s="225"/>
      <c r="D356" s="225"/>
      <c r="E356" s="225"/>
      <c r="F356" s="44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  <c r="AA356" s="225"/>
      <c r="AB356" s="225"/>
      <c r="AC356" s="225"/>
      <c r="AD356" s="225"/>
      <c r="AE356" s="225"/>
      <c r="AF356" s="225"/>
      <c r="AG356" s="225"/>
      <c r="AH356" s="225"/>
      <c r="AI356" s="225"/>
      <c r="AJ356" s="225"/>
      <c r="AK356" s="323"/>
      <c r="AL356" s="225"/>
    </row>
    <row r="357" ht="13.5" customHeight="1">
      <c r="A357" s="225"/>
      <c r="B357" s="225"/>
      <c r="C357" s="225"/>
      <c r="D357" s="225"/>
      <c r="E357" s="225"/>
      <c r="F357" s="44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  <c r="AB357" s="225"/>
      <c r="AC357" s="225"/>
      <c r="AD357" s="225"/>
      <c r="AE357" s="225"/>
      <c r="AF357" s="225"/>
      <c r="AG357" s="225"/>
      <c r="AH357" s="225"/>
      <c r="AI357" s="225"/>
      <c r="AJ357" s="225"/>
      <c r="AK357" s="323"/>
      <c r="AL357" s="225"/>
    </row>
    <row r="358" ht="13.5" customHeight="1">
      <c r="A358" s="225"/>
      <c r="B358" s="225"/>
      <c r="C358" s="225"/>
      <c r="D358" s="225"/>
      <c r="E358" s="225"/>
      <c r="F358" s="44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  <c r="AB358" s="225"/>
      <c r="AC358" s="225"/>
      <c r="AD358" s="225"/>
      <c r="AE358" s="225"/>
      <c r="AF358" s="225"/>
      <c r="AG358" s="225"/>
      <c r="AH358" s="225"/>
      <c r="AI358" s="225"/>
      <c r="AJ358" s="225"/>
      <c r="AK358" s="323"/>
      <c r="AL358" s="225"/>
    </row>
    <row r="359" ht="13.5" customHeight="1">
      <c r="A359" s="225"/>
      <c r="B359" s="225"/>
      <c r="C359" s="225"/>
      <c r="D359" s="225"/>
      <c r="E359" s="225"/>
      <c r="F359" s="44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  <c r="AA359" s="225"/>
      <c r="AB359" s="225"/>
      <c r="AC359" s="225"/>
      <c r="AD359" s="225"/>
      <c r="AE359" s="225"/>
      <c r="AF359" s="225"/>
      <c r="AG359" s="225"/>
      <c r="AH359" s="225"/>
      <c r="AI359" s="225"/>
      <c r="AJ359" s="225"/>
      <c r="AK359" s="323"/>
      <c r="AL359" s="225"/>
    </row>
    <row r="360" ht="13.5" customHeight="1">
      <c r="A360" s="225"/>
      <c r="B360" s="225"/>
      <c r="C360" s="225"/>
      <c r="D360" s="225"/>
      <c r="E360" s="225"/>
      <c r="F360" s="44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  <c r="AA360" s="225"/>
      <c r="AB360" s="225"/>
      <c r="AC360" s="225"/>
      <c r="AD360" s="225"/>
      <c r="AE360" s="225"/>
      <c r="AF360" s="225"/>
      <c r="AG360" s="225"/>
      <c r="AH360" s="225"/>
      <c r="AI360" s="225"/>
      <c r="AJ360" s="225"/>
      <c r="AK360" s="323"/>
      <c r="AL360" s="225"/>
    </row>
    <row r="361" ht="13.5" customHeight="1">
      <c r="A361" s="225"/>
      <c r="B361" s="225"/>
      <c r="C361" s="225"/>
      <c r="D361" s="225"/>
      <c r="E361" s="225"/>
      <c r="F361" s="44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  <c r="AA361" s="225"/>
      <c r="AB361" s="225"/>
      <c r="AC361" s="225"/>
      <c r="AD361" s="225"/>
      <c r="AE361" s="225"/>
      <c r="AF361" s="225"/>
      <c r="AG361" s="225"/>
      <c r="AH361" s="225"/>
      <c r="AI361" s="225"/>
      <c r="AJ361" s="225"/>
      <c r="AK361" s="323"/>
      <c r="AL361" s="225"/>
    </row>
    <row r="362" ht="13.5" customHeight="1">
      <c r="A362" s="225"/>
      <c r="B362" s="225"/>
      <c r="C362" s="225"/>
      <c r="D362" s="225"/>
      <c r="E362" s="225"/>
      <c r="F362" s="44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  <c r="AB362" s="225"/>
      <c r="AC362" s="225"/>
      <c r="AD362" s="225"/>
      <c r="AE362" s="225"/>
      <c r="AF362" s="225"/>
      <c r="AG362" s="225"/>
      <c r="AH362" s="225"/>
      <c r="AI362" s="225"/>
      <c r="AJ362" s="225"/>
      <c r="AK362" s="323"/>
      <c r="AL362" s="225"/>
    </row>
    <row r="363" ht="13.5" customHeight="1">
      <c r="A363" s="225"/>
      <c r="B363" s="225"/>
      <c r="C363" s="225"/>
      <c r="D363" s="225"/>
      <c r="E363" s="225"/>
      <c r="F363" s="44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  <c r="AB363" s="225"/>
      <c r="AC363" s="225"/>
      <c r="AD363" s="225"/>
      <c r="AE363" s="225"/>
      <c r="AF363" s="225"/>
      <c r="AG363" s="225"/>
      <c r="AH363" s="225"/>
      <c r="AI363" s="225"/>
      <c r="AJ363" s="225"/>
      <c r="AK363" s="323"/>
      <c r="AL363" s="225"/>
    </row>
    <row r="364" ht="13.5" customHeight="1">
      <c r="A364" s="225"/>
      <c r="B364" s="225"/>
      <c r="C364" s="225"/>
      <c r="D364" s="225"/>
      <c r="E364" s="225"/>
      <c r="F364" s="44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  <c r="AB364" s="225"/>
      <c r="AC364" s="225"/>
      <c r="AD364" s="225"/>
      <c r="AE364" s="225"/>
      <c r="AF364" s="225"/>
      <c r="AG364" s="225"/>
      <c r="AH364" s="225"/>
      <c r="AI364" s="225"/>
      <c r="AJ364" s="225"/>
      <c r="AK364" s="323"/>
      <c r="AL364" s="225"/>
    </row>
    <row r="365" ht="13.5" customHeight="1">
      <c r="A365" s="225"/>
      <c r="B365" s="225"/>
      <c r="C365" s="225"/>
      <c r="D365" s="225"/>
      <c r="E365" s="225"/>
      <c r="F365" s="44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  <c r="AB365" s="225"/>
      <c r="AC365" s="225"/>
      <c r="AD365" s="225"/>
      <c r="AE365" s="225"/>
      <c r="AF365" s="225"/>
      <c r="AG365" s="225"/>
      <c r="AH365" s="225"/>
      <c r="AI365" s="225"/>
      <c r="AJ365" s="225"/>
      <c r="AK365" s="323"/>
      <c r="AL365" s="225"/>
    </row>
    <row r="366" ht="13.5" customHeight="1">
      <c r="A366" s="225"/>
      <c r="B366" s="225"/>
      <c r="C366" s="225"/>
      <c r="D366" s="225"/>
      <c r="E366" s="225"/>
      <c r="F366" s="44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  <c r="AB366" s="225"/>
      <c r="AC366" s="225"/>
      <c r="AD366" s="225"/>
      <c r="AE366" s="225"/>
      <c r="AF366" s="225"/>
      <c r="AG366" s="225"/>
      <c r="AH366" s="225"/>
      <c r="AI366" s="225"/>
      <c r="AJ366" s="225"/>
      <c r="AK366" s="323"/>
      <c r="AL366" s="225"/>
    </row>
    <row r="367" ht="13.5" customHeight="1">
      <c r="A367" s="225"/>
      <c r="B367" s="225"/>
      <c r="C367" s="225"/>
      <c r="D367" s="225"/>
      <c r="E367" s="225"/>
      <c r="F367" s="44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  <c r="AA367" s="225"/>
      <c r="AB367" s="225"/>
      <c r="AC367" s="225"/>
      <c r="AD367" s="225"/>
      <c r="AE367" s="225"/>
      <c r="AF367" s="225"/>
      <c r="AG367" s="225"/>
      <c r="AH367" s="225"/>
      <c r="AI367" s="225"/>
      <c r="AJ367" s="225"/>
      <c r="AK367" s="323"/>
      <c r="AL367" s="225"/>
    </row>
    <row r="368" ht="13.5" customHeight="1">
      <c r="A368" s="225"/>
      <c r="B368" s="225"/>
      <c r="C368" s="225"/>
      <c r="D368" s="225"/>
      <c r="E368" s="225"/>
      <c r="F368" s="44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  <c r="AB368" s="225"/>
      <c r="AC368" s="225"/>
      <c r="AD368" s="225"/>
      <c r="AE368" s="225"/>
      <c r="AF368" s="225"/>
      <c r="AG368" s="225"/>
      <c r="AH368" s="225"/>
      <c r="AI368" s="225"/>
      <c r="AJ368" s="225"/>
      <c r="AK368" s="323"/>
      <c r="AL368" s="225"/>
    </row>
    <row r="369" ht="13.5" customHeight="1">
      <c r="A369" s="225"/>
      <c r="B369" s="225"/>
      <c r="C369" s="225"/>
      <c r="D369" s="225"/>
      <c r="E369" s="225"/>
      <c r="F369" s="44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  <c r="AA369" s="225"/>
      <c r="AB369" s="225"/>
      <c r="AC369" s="225"/>
      <c r="AD369" s="225"/>
      <c r="AE369" s="225"/>
      <c r="AF369" s="225"/>
      <c r="AG369" s="225"/>
      <c r="AH369" s="225"/>
      <c r="AI369" s="225"/>
      <c r="AJ369" s="225"/>
      <c r="AK369" s="323"/>
      <c r="AL369" s="225"/>
    </row>
    <row r="370" ht="13.5" customHeight="1">
      <c r="A370" s="225"/>
      <c r="B370" s="225"/>
      <c r="C370" s="225"/>
      <c r="D370" s="225"/>
      <c r="E370" s="225"/>
      <c r="F370" s="44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  <c r="AA370" s="225"/>
      <c r="AB370" s="225"/>
      <c r="AC370" s="225"/>
      <c r="AD370" s="225"/>
      <c r="AE370" s="225"/>
      <c r="AF370" s="225"/>
      <c r="AG370" s="225"/>
      <c r="AH370" s="225"/>
      <c r="AI370" s="225"/>
      <c r="AJ370" s="225"/>
      <c r="AK370" s="323"/>
      <c r="AL370" s="225"/>
    </row>
    <row r="371" ht="13.5" customHeight="1">
      <c r="A371" s="225"/>
      <c r="B371" s="225"/>
      <c r="C371" s="225"/>
      <c r="D371" s="225"/>
      <c r="E371" s="225"/>
      <c r="F371" s="44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  <c r="AB371" s="225"/>
      <c r="AC371" s="225"/>
      <c r="AD371" s="225"/>
      <c r="AE371" s="225"/>
      <c r="AF371" s="225"/>
      <c r="AG371" s="225"/>
      <c r="AH371" s="225"/>
      <c r="AI371" s="225"/>
      <c r="AJ371" s="225"/>
      <c r="AK371" s="323"/>
      <c r="AL371" s="225"/>
    </row>
    <row r="372" ht="13.5" customHeight="1">
      <c r="A372" s="225"/>
      <c r="B372" s="225"/>
      <c r="C372" s="225"/>
      <c r="D372" s="225"/>
      <c r="E372" s="225"/>
      <c r="F372" s="44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  <c r="AB372" s="225"/>
      <c r="AC372" s="225"/>
      <c r="AD372" s="225"/>
      <c r="AE372" s="225"/>
      <c r="AF372" s="225"/>
      <c r="AG372" s="225"/>
      <c r="AH372" s="225"/>
      <c r="AI372" s="225"/>
      <c r="AJ372" s="225"/>
      <c r="AK372" s="323"/>
      <c r="AL372" s="225"/>
    </row>
    <row r="373" ht="13.5" customHeight="1">
      <c r="A373" s="225"/>
      <c r="B373" s="225"/>
      <c r="C373" s="225"/>
      <c r="D373" s="225"/>
      <c r="E373" s="225"/>
      <c r="F373" s="44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  <c r="AB373" s="225"/>
      <c r="AC373" s="225"/>
      <c r="AD373" s="225"/>
      <c r="AE373" s="225"/>
      <c r="AF373" s="225"/>
      <c r="AG373" s="225"/>
      <c r="AH373" s="225"/>
      <c r="AI373" s="225"/>
      <c r="AJ373" s="225"/>
      <c r="AK373" s="323"/>
      <c r="AL373" s="225"/>
    </row>
    <row r="374" ht="13.5" customHeight="1">
      <c r="A374" s="225"/>
      <c r="B374" s="225"/>
      <c r="C374" s="225"/>
      <c r="D374" s="225"/>
      <c r="E374" s="225"/>
      <c r="F374" s="44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  <c r="AB374" s="225"/>
      <c r="AC374" s="225"/>
      <c r="AD374" s="225"/>
      <c r="AE374" s="225"/>
      <c r="AF374" s="225"/>
      <c r="AG374" s="225"/>
      <c r="AH374" s="225"/>
      <c r="AI374" s="225"/>
      <c r="AJ374" s="225"/>
      <c r="AK374" s="323"/>
      <c r="AL374" s="225"/>
    </row>
    <row r="375" ht="13.5" customHeight="1">
      <c r="A375" s="225"/>
      <c r="B375" s="225"/>
      <c r="C375" s="225"/>
      <c r="D375" s="225"/>
      <c r="E375" s="225"/>
      <c r="F375" s="44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  <c r="AA375" s="225"/>
      <c r="AB375" s="225"/>
      <c r="AC375" s="225"/>
      <c r="AD375" s="225"/>
      <c r="AE375" s="225"/>
      <c r="AF375" s="225"/>
      <c r="AG375" s="225"/>
      <c r="AH375" s="225"/>
      <c r="AI375" s="225"/>
      <c r="AJ375" s="225"/>
      <c r="AK375" s="323"/>
      <c r="AL375" s="225"/>
    </row>
    <row r="376" ht="13.5" customHeight="1">
      <c r="A376" s="225"/>
      <c r="B376" s="225"/>
      <c r="C376" s="225"/>
      <c r="D376" s="225"/>
      <c r="E376" s="225"/>
      <c r="F376" s="44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  <c r="AA376" s="225"/>
      <c r="AB376" s="225"/>
      <c r="AC376" s="225"/>
      <c r="AD376" s="225"/>
      <c r="AE376" s="225"/>
      <c r="AF376" s="225"/>
      <c r="AG376" s="225"/>
      <c r="AH376" s="225"/>
      <c r="AI376" s="225"/>
      <c r="AJ376" s="225"/>
      <c r="AK376" s="323"/>
      <c r="AL376" s="225"/>
    </row>
    <row r="377" ht="13.5" customHeight="1">
      <c r="A377" s="225"/>
      <c r="B377" s="225"/>
      <c r="C377" s="225"/>
      <c r="D377" s="225"/>
      <c r="E377" s="225"/>
      <c r="F377" s="44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  <c r="AA377" s="225"/>
      <c r="AB377" s="225"/>
      <c r="AC377" s="225"/>
      <c r="AD377" s="225"/>
      <c r="AE377" s="225"/>
      <c r="AF377" s="225"/>
      <c r="AG377" s="225"/>
      <c r="AH377" s="225"/>
      <c r="AI377" s="225"/>
      <c r="AJ377" s="225"/>
      <c r="AK377" s="323"/>
      <c r="AL377" s="225"/>
    </row>
    <row r="378" ht="13.5" customHeight="1">
      <c r="A378" s="225"/>
      <c r="B378" s="225"/>
      <c r="C378" s="225"/>
      <c r="D378" s="225"/>
      <c r="E378" s="225"/>
      <c r="F378" s="44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  <c r="AA378" s="225"/>
      <c r="AB378" s="225"/>
      <c r="AC378" s="225"/>
      <c r="AD378" s="225"/>
      <c r="AE378" s="225"/>
      <c r="AF378" s="225"/>
      <c r="AG378" s="225"/>
      <c r="AH378" s="225"/>
      <c r="AI378" s="225"/>
      <c r="AJ378" s="225"/>
      <c r="AK378" s="323"/>
      <c r="AL378" s="225"/>
    </row>
    <row r="379" ht="13.5" customHeight="1">
      <c r="A379" s="225"/>
      <c r="B379" s="225"/>
      <c r="C379" s="225"/>
      <c r="D379" s="225"/>
      <c r="E379" s="225"/>
      <c r="F379" s="44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  <c r="AA379" s="225"/>
      <c r="AB379" s="225"/>
      <c r="AC379" s="225"/>
      <c r="AD379" s="225"/>
      <c r="AE379" s="225"/>
      <c r="AF379" s="225"/>
      <c r="AG379" s="225"/>
      <c r="AH379" s="225"/>
      <c r="AI379" s="225"/>
      <c r="AJ379" s="225"/>
      <c r="AK379" s="323"/>
      <c r="AL379" s="225"/>
    </row>
    <row r="380" ht="13.5" customHeight="1">
      <c r="A380" s="225"/>
      <c r="B380" s="225"/>
      <c r="C380" s="225"/>
      <c r="D380" s="225"/>
      <c r="E380" s="225"/>
      <c r="F380" s="44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  <c r="AA380" s="225"/>
      <c r="AB380" s="225"/>
      <c r="AC380" s="225"/>
      <c r="AD380" s="225"/>
      <c r="AE380" s="225"/>
      <c r="AF380" s="225"/>
      <c r="AG380" s="225"/>
      <c r="AH380" s="225"/>
      <c r="AI380" s="225"/>
      <c r="AJ380" s="225"/>
      <c r="AK380" s="323"/>
      <c r="AL380" s="225"/>
    </row>
    <row r="381" ht="13.5" customHeight="1">
      <c r="A381" s="225"/>
      <c r="B381" s="225"/>
      <c r="C381" s="225"/>
      <c r="D381" s="225"/>
      <c r="E381" s="225"/>
      <c r="F381" s="44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  <c r="AA381" s="225"/>
      <c r="AB381" s="225"/>
      <c r="AC381" s="225"/>
      <c r="AD381" s="225"/>
      <c r="AE381" s="225"/>
      <c r="AF381" s="225"/>
      <c r="AG381" s="225"/>
      <c r="AH381" s="225"/>
      <c r="AI381" s="225"/>
      <c r="AJ381" s="225"/>
      <c r="AK381" s="323"/>
      <c r="AL381" s="225"/>
    </row>
    <row r="382" ht="13.5" customHeight="1">
      <c r="A382" s="225"/>
      <c r="B382" s="225"/>
      <c r="C382" s="225"/>
      <c r="D382" s="225"/>
      <c r="E382" s="225"/>
      <c r="F382" s="44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  <c r="AB382" s="225"/>
      <c r="AC382" s="225"/>
      <c r="AD382" s="225"/>
      <c r="AE382" s="225"/>
      <c r="AF382" s="225"/>
      <c r="AG382" s="225"/>
      <c r="AH382" s="225"/>
      <c r="AI382" s="225"/>
      <c r="AJ382" s="225"/>
      <c r="AK382" s="323"/>
      <c r="AL382" s="225"/>
    </row>
    <row r="383" ht="13.5" customHeight="1">
      <c r="A383" s="225"/>
      <c r="B383" s="225"/>
      <c r="C383" s="225"/>
      <c r="D383" s="225"/>
      <c r="E383" s="225"/>
      <c r="F383" s="44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  <c r="AA383" s="225"/>
      <c r="AB383" s="225"/>
      <c r="AC383" s="225"/>
      <c r="AD383" s="225"/>
      <c r="AE383" s="225"/>
      <c r="AF383" s="225"/>
      <c r="AG383" s="225"/>
      <c r="AH383" s="225"/>
      <c r="AI383" s="225"/>
      <c r="AJ383" s="225"/>
      <c r="AK383" s="323"/>
      <c r="AL383" s="225"/>
    </row>
    <row r="384" ht="13.5" customHeight="1">
      <c r="A384" s="225"/>
      <c r="B384" s="225"/>
      <c r="C384" s="225"/>
      <c r="D384" s="225"/>
      <c r="E384" s="225"/>
      <c r="F384" s="44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  <c r="AB384" s="225"/>
      <c r="AC384" s="225"/>
      <c r="AD384" s="225"/>
      <c r="AE384" s="225"/>
      <c r="AF384" s="225"/>
      <c r="AG384" s="225"/>
      <c r="AH384" s="225"/>
      <c r="AI384" s="225"/>
      <c r="AJ384" s="225"/>
      <c r="AK384" s="323"/>
      <c r="AL384" s="225"/>
    </row>
    <row r="385" ht="13.5" customHeight="1">
      <c r="A385" s="225"/>
      <c r="B385" s="225"/>
      <c r="C385" s="225"/>
      <c r="D385" s="225"/>
      <c r="E385" s="225"/>
      <c r="F385" s="44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  <c r="AA385" s="225"/>
      <c r="AB385" s="225"/>
      <c r="AC385" s="225"/>
      <c r="AD385" s="225"/>
      <c r="AE385" s="225"/>
      <c r="AF385" s="225"/>
      <c r="AG385" s="225"/>
      <c r="AH385" s="225"/>
      <c r="AI385" s="225"/>
      <c r="AJ385" s="225"/>
      <c r="AK385" s="323"/>
      <c r="AL385" s="225"/>
    </row>
    <row r="386" ht="13.5" customHeight="1">
      <c r="A386" s="225"/>
      <c r="B386" s="225"/>
      <c r="C386" s="225"/>
      <c r="D386" s="225"/>
      <c r="E386" s="225"/>
      <c r="F386" s="44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  <c r="AB386" s="225"/>
      <c r="AC386" s="225"/>
      <c r="AD386" s="225"/>
      <c r="AE386" s="225"/>
      <c r="AF386" s="225"/>
      <c r="AG386" s="225"/>
      <c r="AH386" s="225"/>
      <c r="AI386" s="225"/>
      <c r="AJ386" s="225"/>
      <c r="AK386" s="323"/>
      <c r="AL386" s="225"/>
    </row>
    <row r="387" ht="13.5" customHeight="1">
      <c r="A387" s="225"/>
      <c r="B387" s="225"/>
      <c r="C387" s="225"/>
      <c r="D387" s="225"/>
      <c r="E387" s="225"/>
      <c r="F387" s="44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  <c r="AB387" s="225"/>
      <c r="AC387" s="225"/>
      <c r="AD387" s="225"/>
      <c r="AE387" s="225"/>
      <c r="AF387" s="225"/>
      <c r="AG387" s="225"/>
      <c r="AH387" s="225"/>
      <c r="AI387" s="225"/>
      <c r="AJ387" s="225"/>
      <c r="AK387" s="323"/>
      <c r="AL387" s="225"/>
    </row>
    <row r="388" ht="13.5" customHeight="1">
      <c r="A388" s="225"/>
      <c r="B388" s="225"/>
      <c r="C388" s="225"/>
      <c r="D388" s="225"/>
      <c r="E388" s="225"/>
      <c r="F388" s="44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  <c r="AB388" s="225"/>
      <c r="AC388" s="225"/>
      <c r="AD388" s="225"/>
      <c r="AE388" s="225"/>
      <c r="AF388" s="225"/>
      <c r="AG388" s="225"/>
      <c r="AH388" s="225"/>
      <c r="AI388" s="225"/>
      <c r="AJ388" s="225"/>
      <c r="AK388" s="323"/>
      <c r="AL388" s="225"/>
    </row>
    <row r="389" ht="13.5" customHeight="1">
      <c r="A389" s="225"/>
      <c r="B389" s="225"/>
      <c r="C389" s="225"/>
      <c r="D389" s="225"/>
      <c r="E389" s="225"/>
      <c r="F389" s="44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  <c r="AB389" s="225"/>
      <c r="AC389" s="225"/>
      <c r="AD389" s="225"/>
      <c r="AE389" s="225"/>
      <c r="AF389" s="225"/>
      <c r="AG389" s="225"/>
      <c r="AH389" s="225"/>
      <c r="AI389" s="225"/>
      <c r="AJ389" s="225"/>
      <c r="AK389" s="323"/>
      <c r="AL389" s="225"/>
    </row>
    <row r="390" ht="13.5" customHeight="1">
      <c r="A390" s="225"/>
      <c r="B390" s="225"/>
      <c r="C390" s="225"/>
      <c r="D390" s="225"/>
      <c r="E390" s="225"/>
      <c r="F390" s="44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  <c r="AB390" s="225"/>
      <c r="AC390" s="225"/>
      <c r="AD390" s="225"/>
      <c r="AE390" s="225"/>
      <c r="AF390" s="225"/>
      <c r="AG390" s="225"/>
      <c r="AH390" s="225"/>
      <c r="AI390" s="225"/>
      <c r="AJ390" s="225"/>
      <c r="AK390" s="323"/>
      <c r="AL390" s="225"/>
    </row>
    <row r="391" ht="13.5" customHeight="1">
      <c r="A391" s="225"/>
      <c r="B391" s="225"/>
      <c r="C391" s="225"/>
      <c r="D391" s="225"/>
      <c r="E391" s="225"/>
      <c r="F391" s="44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  <c r="AA391" s="225"/>
      <c r="AB391" s="225"/>
      <c r="AC391" s="225"/>
      <c r="AD391" s="225"/>
      <c r="AE391" s="225"/>
      <c r="AF391" s="225"/>
      <c r="AG391" s="225"/>
      <c r="AH391" s="225"/>
      <c r="AI391" s="225"/>
      <c r="AJ391" s="225"/>
      <c r="AK391" s="323"/>
      <c r="AL391" s="225"/>
    </row>
    <row r="392" ht="13.5" customHeight="1">
      <c r="A392" s="225"/>
      <c r="B392" s="225"/>
      <c r="C392" s="225"/>
      <c r="D392" s="225"/>
      <c r="E392" s="225"/>
      <c r="F392" s="44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  <c r="AB392" s="225"/>
      <c r="AC392" s="225"/>
      <c r="AD392" s="225"/>
      <c r="AE392" s="225"/>
      <c r="AF392" s="225"/>
      <c r="AG392" s="225"/>
      <c r="AH392" s="225"/>
      <c r="AI392" s="225"/>
      <c r="AJ392" s="225"/>
      <c r="AK392" s="323"/>
      <c r="AL392" s="225"/>
    </row>
    <row r="393" ht="13.5" customHeight="1">
      <c r="A393" s="225"/>
      <c r="B393" s="225"/>
      <c r="C393" s="225"/>
      <c r="D393" s="225"/>
      <c r="E393" s="225"/>
      <c r="F393" s="44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  <c r="AA393" s="225"/>
      <c r="AB393" s="225"/>
      <c r="AC393" s="225"/>
      <c r="AD393" s="225"/>
      <c r="AE393" s="225"/>
      <c r="AF393" s="225"/>
      <c r="AG393" s="225"/>
      <c r="AH393" s="225"/>
      <c r="AI393" s="225"/>
      <c r="AJ393" s="225"/>
      <c r="AK393" s="323"/>
      <c r="AL393" s="225"/>
    </row>
    <row r="394" ht="13.5" customHeight="1">
      <c r="A394" s="225"/>
      <c r="B394" s="225"/>
      <c r="C394" s="225"/>
      <c r="D394" s="225"/>
      <c r="E394" s="225"/>
      <c r="F394" s="44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  <c r="AA394" s="225"/>
      <c r="AB394" s="225"/>
      <c r="AC394" s="225"/>
      <c r="AD394" s="225"/>
      <c r="AE394" s="225"/>
      <c r="AF394" s="225"/>
      <c r="AG394" s="225"/>
      <c r="AH394" s="225"/>
      <c r="AI394" s="225"/>
      <c r="AJ394" s="225"/>
      <c r="AK394" s="323"/>
      <c r="AL394" s="225"/>
    </row>
    <row r="395" ht="13.5" customHeight="1">
      <c r="A395" s="225"/>
      <c r="B395" s="225"/>
      <c r="C395" s="225"/>
      <c r="D395" s="225"/>
      <c r="E395" s="225"/>
      <c r="F395" s="44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  <c r="AA395" s="225"/>
      <c r="AB395" s="225"/>
      <c r="AC395" s="225"/>
      <c r="AD395" s="225"/>
      <c r="AE395" s="225"/>
      <c r="AF395" s="225"/>
      <c r="AG395" s="225"/>
      <c r="AH395" s="225"/>
      <c r="AI395" s="225"/>
      <c r="AJ395" s="225"/>
      <c r="AK395" s="323"/>
      <c r="AL395" s="225"/>
    </row>
    <row r="396" ht="13.5" customHeight="1">
      <c r="A396" s="225"/>
      <c r="B396" s="225"/>
      <c r="C396" s="225"/>
      <c r="D396" s="225"/>
      <c r="E396" s="225"/>
      <c r="F396" s="44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  <c r="AA396" s="225"/>
      <c r="AB396" s="225"/>
      <c r="AC396" s="225"/>
      <c r="AD396" s="225"/>
      <c r="AE396" s="225"/>
      <c r="AF396" s="225"/>
      <c r="AG396" s="225"/>
      <c r="AH396" s="225"/>
      <c r="AI396" s="225"/>
      <c r="AJ396" s="225"/>
      <c r="AK396" s="323"/>
      <c r="AL396" s="225"/>
    </row>
    <row r="397" ht="13.5" customHeight="1">
      <c r="A397" s="225"/>
      <c r="B397" s="225"/>
      <c r="C397" s="225"/>
      <c r="D397" s="225"/>
      <c r="E397" s="225"/>
      <c r="F397" s="44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  <c r="AA397" s="225"/>
      <c r="AB397" s="225"/>
      <c r="AC397" s="225"/>
      <c r="AD397" s="225"/>
      <c r="AE397" s="225"/>
      <c r="AF397" s="225"/>
      <c r="AG397" s="225"/>
      <c r="AH397" s="225"/>
      <c r="AI397" s="225"/>
      <c r="AJ397" s="225"/>
      <c r="AK397" s="323"/>
      <c r="AL397" s="225"/>
    </row>
    <row r="398" ht="13.5" customHeight="1">
      <c r="A398" s="225"/>
      <c r="B398" s="225"/>
      <c r="C398" s="225"/>
      <c r="D398" s="225"/>
      <c r="E398" s="225"/>
      <c r="F398" s="44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  <c r="AA398" s="225"/>
      <c r="AB398" s="225"/>
      <c r="AC398" s="225"/>
      <c r="AD398" s="225"/>
      <c r="AE398" s="225"/>
      <c r="AF398" s="225"/>
      <c r="AG398" s="225"/>
      <c r="AH398" s="225"/>
      <c r="AI398" s="225"/>
      <c r="AJ398" s="225"/>
      <c r="AK398" s="323"/>
      <c r="AL398" s="225"/>
    </row>
    <row r="399" ht="13.5" customHeight="1">
      <c r="A399" s="225"/>
      <c r="B399" s="225"/>
      <c r="C399" s="225"/>
      <c r="D399" s="225"/>
      <c r="E399" s="225"/>
      <c r="F399" s="44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  <c r="AA399" s="225"/>
      <c r="AB399" s="225"/>
      <c r="AC399" s="225"/>
      <c r="AD399" s="225"/>
      <c r="AE399" s="225"/>
      <c r="AF399" s="225"/>
      <c r="AG399" s="225"/>
      <c r="AH399" s="225"/>
      <c r="AI399" s="225"/>
      <c r="AJ399" s="225"/>
      <c r="AK399" s="323"/>
      <c r="AL399" s="225"/>
    </row>
    <row r="400" ht="13.5" customHeight="1">
      <c r="A400" s="225"/>
      <c r="B400" s="225"/>
      <c r="C400" s="225"/>
      <c r="D400" s="225"/>
      <c r="E400" s="225"/>
      <c r="F400" s="44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  <c r="AA400" s="225"/>
      <c r="AB400" s="225"/>
      <c r="AC400" s="225"/>
      <c r="AD400" s="225"/>
      <c r="AE400" s="225"/>
      <c r="AF400" s="225"/>
      <c r="AG400" s="225"/>
      <c r="AH400" s="225"/>
      <c r="AI400" s="225"/>
      <c r="AJ400" s="225"/>
      <c r="AK400" s="323"/>
      <c r="AL400" s="225"/>
    </row>
    <row r="401" ht="13.5" customHeight="1">
      <c r="A401" s="225"/>
      <c r="B401" s="225"/>
      <c r="C401" s="225"/>
      <c r="D401" s="225"/>
      <c r="E401" s="225"/>
      <c r="F401" s="44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  <c r="AA401" s="225"/>
      <c r="AB401" s="225"/>
      <c r="AC401" s="225"/>
      <c r="AD401" s="225"/>
      <c r="AE401" s="225"/>
      <c r="AF401" s="225"/>
      <c r="AG401" s="225"/>
      <c r="AH401" s="225"/>
      <c r="AI401" s="225"/>
      <c r="AJ401" s="225"/>
      <c r="AK401" s="323"/>
      <c r="AL401" s="225"/>
    </row>
    <row r="402" ht="13.5" customHeight="1">
      <c r="A402" s="225"/>
      <c r="B402" s="225"/>
      <c r="C402" s="225"/>
      <c r="D402" s="225"/>
      <c r="E402" s="225"/>
      <c r="F402" s="44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  <c r="AA402" s="225"/>
      <c r="AB402" s="225"/>
      <c r="AC402" s="225"/>
      <c r="AD402" s="225"/>
      <c r="AE402" s="225"/>
      <c r="AF402" s="225"/>
      <c r="AG402" s="225"/>
      <c r="AH402" s="225"/>
      <c r="AI402" s="225"/>
      <c r="AJ402" s="225"/>
      <c r="AK402" s="323"/>
      <c r="AL402" s="225"/>
    </row>
    <row r="403" ht="13.5" customHeight="1">
      <c r="A403" s="225"/>
      <c r="B403" s="225"/>
      <c r="C403" s="225"/>
      <c r="D403" s="225"/>
      <c r="E403" s="225"/>
      <c r="F403" s="44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  <c r="AA403" s="225"/>
      <c r="AB403" s="225"/>
      <c r="AC403" s="225"/>
      <c r="AD403" s="225"/>
      <c r="AE403" s="225"/>
      <c r="AF403" s="225"/>
      <c r="AG403" s="225"/>
      <c r="AH403" s="225"/>
      <c r="AI403" s="225"/>
      <c r="AJ403" s="225"/>
      <c r="AK403" s="323"/>
      <c r="AL403" s="225"/>
    </row>
    <row r="404" ht="13.5" customHeight="1">
      <c r="A404" s="225"/>
      <c r="B404" s="225"/>
      <c r="C404" s="225"/>
      <c r="D404" s="225"/>
      <c r="E404" s="225"/>
      <c r="F404" s="44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  <c r="AA404" s="225"/>
      <c r="AB404" s="225"/>
      <c r="AC404" s="225"/>
      <c r="AD404" s="225"/>
      <c r="AE404" s="225"/>
      <c r="AF404" s="225"/>
      <c r="AG404" s="225"/>
      <c r="AH404" s="225"/>
      <c r="AI404" s="225"/>
      <c r="AJ404" s="225"/>
      <c r="AK404" s="323"/>
      <c r="AL404" s="225"/>
    </row>
    <row r="405" ht="13.5" customHeight="1">
      <c r="A405" s="225"/>
      <c r="B405" s="225"/>
      <c r="C405" s="225"/>
      <c r="D405" s="225"/>
      <c r="E405" s="225"/>
      <c r="F405" s="44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  <c r="AA405" s="225"/>
      <c r="AB405" s="225"/>
      <c r="AC405" s="225"/>
      <c r="AD405" s="225"/>
      <c r="AE405" s="225"/>
      <c r="AF405" s="225"/>
      <c r="AG405" s="225"/>
      <c r="AH405" s="225"/>
      <c r="AI405" s="225"/>
      <c r="AJ405" s="225"/>
      <c r="AK405" s="323"/>
      <c r="AL405" s="225"/>
    </row>
    <row r="406" ht="13.5" customHeight="1">
      <c r="A406" s="225"/>
      <c r="B406" s="225"/>
      <c r="C406" s="225"/>
      <c r="D406" s="225"/>
      <c r="E406" s="225"/>
      <c r="F406" s="44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  <c r="AA406" s="225"/>
      <c r="AB406" s="225"/>
      <c r="AC406" s="225"/>
      <c r="AD406" s="225"/>
      <c r="AE406" s="225"/>
      <c r="AF406" s="225"/>
      <c r="AG406" s="225"/>
      <c r="AH406" s="225"/>
      <c r="AI406" s="225"/>
      <c r="AJ406" s="225"/>
      <c r="AK406" s="323"/>
      <c r="AL406" s="225"/>
    </row>
    <row r="407" ht="13.5" customHeight="1">
      <c r="A407" s="225"/>
      <c r="B407" s="225"/>
      <c r="C407" s="225"/>
      <c r="D407" s="225"/>
      <c r="E407" s="225"/>
      <c r="F407" s="44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  <c r="AA407" s="225"/>
      <c r="AB407" s="225"/>
      <c r="AC407" s="225"/>
      <c r="AD407" s="225"/>
      <c r="AE407" s="225"/>
      <c r="AF407" s="225"/>
      <c r="AG407" s="225"/>
      <c r="AH407" s="225"/>
      <c r="AI407" s="225"/>
      <c r="AJ407" s="225"/>
      <c r="AK407" s="323"/>
      <c r="AL407" s="225"/>
    </row>
    <row r="408" ht="13.5" customHeight="1">
      <c r="A408" s="225"/>
      <c r="B408" s="225"/>
      <c r="C408" s="225"/>
      <c r="D408" s="225"/>
      <c r="E408" s="225"/>
      <c r="F408" s="44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  <c r="AA408" s="225"/>
      <c r="AB408" s="225"/>
      <c r="AC408" s="225"/>
      <c r="AD408" s="225"/>
      <c r="AE408" s="225"/>
      <c r="AF408" s="225"/>
      <c r="AG408" s="225"/>
      <c r="AH408" s="225"/>
      <c r="AI408" s="225"/>
      <c r="AJ408" s="225"/>
      <c r="AK408" s="323"/>
      <c r="AL408" s="225"/>
    </row>
    <row r="409" ht="13.5" customHeight="1">
      <c r="A409" s="225"/>
      <c r="B409" s="225"/>
      <c r="C409" s="225"/>
      <c r="D409" s="225"/>
      <c r="E409" s="225"/>
      <c r="F409" s="44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  <c r="AA409" s="225"/>
      <c r="AB409" s="225"/>
      <c r="AC409" s="225"/>
      <c r="AD409" s="225"/>
      <c r="AE409" s="225"/>
      <c r="AF409" s="225"/>
      <c r="AG409" s="225"/>
      <c r="AH409" s="225"/>
      <c r="AI409" s="225"/>
      <c r="AJ409" s="225"/>
      <c r="AK409" s="323"/>
      <c r="AL409" s="225"/>
    </row>
    <row r="410" ht="13.5" customHeight="1">
      <c r="A410" s="225"/>
      <c r="B410" s="225"/>
      <c r="C410" s="225"/>
      <c r="D410" s="225"/>
      <c r="E410" s="225"/>
      <c r="F410" s="44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  <c r="AB410" s="225"/>
      <c r="AC410" s="225"/>
      <c r="AD410" s="225"/>
      <c r="AE410" s="225"/>
      <c r="AF410" s="225"/>
      <c r="AG410" s="225"/>
      <c r="AH410" s="225"/>
      <c r="AI410" s="225"/>
      <c r="AJ410" s="225"/>
      <c r="AK410" s="323"/>
      <c r="AL410" s="225"/>
    </row>
    <row r="411" ht="13.5" customHeight="1">
      <c r="A411" s="225"/>
      <c r="B411" s="225"/>
      <c r="C411" s="225"/>
      <c r="D411" s="225"/>
      <c r="E411" s="225"/>
      <c r="F411" s="44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  <c r="AB411" s="225"/>
      <c r="AC411" s="225"/>
      <c r="AD411" s="225"/>
      <c r="AE411" s="225"/>
      <c r="AF411" s="225"/>
      <c r="AG411" s="225"/>
      <c r="AH411" s="225"/>
      <c r="AI411" s="225"/>
      <c r="AJ411" s="225"/>
      <c r="AK411" s="323"/>
      <c r="AL411" s="225"/>
    </row>
    <row r="412" ht="13.5" customHeight="1">
      <c r="A412" s="225"/>
      <c r="B412" s="225"/>
      <c r="C412" s="225"/>
      <c r="D412" s="225"/>
      <c r="E412" s="225"/>
      <c r="F412" s="44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  <c r="AB412" s="225"/>
      <c r="AC412" s="225"/>
      <c r="AD412" s="225"/>
      <c r="AE412" s="225"/>
      <c r="AF412" s="225"/>
      <c r="AG412" s="225"/>
      <c r="AH412" s="225"/>
      <c r="AI412" s="225"/>
      <c r="AJ412" s="225"/>
      <c r="AK412" s="323"/>
      <c r="AL412" s="225"/>
    </row>
    <row r="413" ht="13.5" customHeight="1">
      <c r="A413" s="225"/>
      <c r="B413" s="225"/>
      <c r="C413" s="225"/>
      <c r="D413" s="225"/>
      <c r="E413" s="225"/>
      <c r="F413" s="44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  <c r="AB413" s="225"/>
      <c r="AC413" s="225"/>
      <c r="AD413" s="225"/>
      <c r="AE413" s="225"/>
      <c r="AF413" s="225"/>
      <c r="AG413" s="225"/>
      <c r="AH413" s="225"/>
      <c r="AI413" s="225"/>
      <c r="AJ413" s="225"/>
      <c r="AK413" s="323"/>
      <c r="AL413" s="225"/>
    </row>
    <row r="414" ht="13.5" customHeight="1">
      <c r="A414" s="225"/>
      <c r="B414" s="225"/>
      <c r="C414" s="225"/>
      <c r="D414" s="225"/>
      <c r="E414" s="225"/>
      <c r="F414" s="44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  <c r="AB414" s="225"/>
      <c r="AC414" s="225"/>
      <c r="AD414" s="225"/>
      <c r="AE414" s="225"/>
      <c r="AF414" s="225"/>
      <c r="AG414" s="225"/>
      <c r="AH414" s="225"/>
      <c r="AI414" s="225"/>
      <c r="AJ414" s="225"/>
      <c r="AK414" s="323"/>
      <c r="AL414" s="225"/>
    </row>
    <row r="415" ht="13.5" customHeight="1">
      <c r="A415" s="225"/>
      <c r="B415" s="225"/>
      <c r="C415" s="225"/>
      <c r="D415" s="225"/>
      <c r="E415" s="225"/>
      <c r="F415" s="44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  <c r="AA415" s="225"/>
      <c r="AB415" s="225"/>
      <c r="AC415" s="225"/>
      <c r="AD415" s="225"/>
      <c r="AE415" s="225"/>
      <c r="AF415" s="225"/>
      <c r="AG415" s="225"/>
      <c r="AH415" s="225"/>
      <c r="AI415" s="225"/>
      <c r="AJ415" s="225"/>
      <c r="AK415" s="323"/>
      <c r="AL415" s="225"/>
    </row>
    <row r="416" ht="13.5" customHeight="1">
      <c r="A416" s="225"/>
      <c r="B416" s="225"/>
      <c r="C416" s="225"/>
      <c r="D416" s="225"/>
      <c r="E416" s="225"/>
      <c r="F416" s="44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  <c r="AB416" s="225"/>
      <c r="AC416" s="225"/>
      <c r="AD416" s="225"/>
      <c r="AE416" s="225"/>
      <c r="AF416" s="225"/>
      <c r="AG416" s="225"/>
      <c r="AH416" s="225"/>
      <c r="AI416" s="225"/>
      <c r="AJ416" s="225"/>
      <c r="AK416" s="323"/>
      <c r="AL416" s="225"/>
    </row>
    <row r="417" ht="13.5" customHeight="1">
      <c r="A417" s="225"/>
      <c r="B417" s="225"/>
      <c r="C417" s="225"/>
      <c r="D417" s="225"/>
      <c r="E417" s="225"/>
      <c r="F417" s="44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  <c r="AB417" s="225"/>
      <c r="AC417" s="225"/>
      <c r="AD417" s="225"/>
      <c r="AE417" s="225"/>
      <c r="AF417" s="225"/>
      <c r="AG417" s="225"/>
      <c r="AH417" s="225"/>
      <c r="AI417" s="225"/>
      <c r="AJ417" s="225"/>
      <c r="AK417" s="323"/>
      <c r="AL417" s="225"/>
    </row>
    <row r="418" ht="13.5" customHeight="1">
      <c r="A418" s="225"/>
      <c r="B418" s="225"/>
      <c r="C418" s="225"/>
      <c r="D418" s="225"/>
      <c r="E418" s="225"/>
      <c r="F418" s="44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  <c r="AA418" s="225"/>
      <c r="AB418" s="225"/>
      <c r="AC418" s="225"/>
      <c r="AD418" s="225"/>
      <c r="AE418" s="225"/>
      <c r="AF418" s="225"/>
      <c r="AG418" s="225"/>
      <c r="AH418" s="225"/>
      <c r="AI418" s="225"/>
      <c r="AJ418" s="225"/>
      <c r="AK418" s="323"/>
      <c r="AL418" s="225"/>
    </row>
    <row r="419" ht="13.5" customHeight="1">
      <c r="A419" s="225"/>
      <c r="B419" s="225"/>
      <c r="C419" s="225"/>
      <c r="D419" s="225"/>
      <c r="E419" s="225"/>
      <c r="F419" s="44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  <c r="AA419" s="225"/>
      <c r="AB419" s="225"/>
      <c r="AC419" s="225"/>
      <c r="AD419" s="225"/>
      <c r="AE419" s="225"/>
      <c r="AF419" s="225"/>
      <c r="AG419" s="225"/>
      <c r="AH419" s="225"/>
      <c r="AI419" s="225"/>
      <c r="AJ419" s="225"/>
      <c r="AK419" s="323"/>
      <c r="AL419" s="225"/>
    </row>
    <row r="420" ht="13.5" customHeight="1">
      <c r="A420" s="225"/>
      <c r="B420" s="225"/>
      <c r="C420" s="225"/>
      <c r="D420" s="225"/>
      <c r="E420" s="225"/>
      <c r="F420" s="44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  <c r="AA420" s="225"/>
      <c r="AB420" s="225"/>
      <c r="AC420" s="225"/>
      <c r="AD420" s="225"/>
      <c r="AE420" s="225"/>
      <c r="AF420" s="225"/>
      <c r="AG420" s="225"/>
      <c r="AH420" s="225"/>
      <c r="AI420" s="225"/>
      <c r="AJ420" s="225"/>
      <c r="AK420" s="323"/>
      <c r="AL420" s="225"/>
    </row>
    <row r="421" ht="13.5" customHeight="1">
      <c r="A421" s="225"/>
      <c r="B421" s="225"/>
      <c r="C421" s="225"/>
      <c r="D421" s="225"/>
      <c r="E421" s="225"/>
      <c r="F421" s="44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  <c r="AA421" s="225"/>
      <c r="AB421" s="225"/>
      <c r="AC421" s="225"/>
      <c r="AD421" s="225"/>
      <c r="AE421" s="225"/>
      <c r="AF421" s="225"/>
      <c r="AG421" s="225"/>
      <c r="AH421" s="225"/>
      <c r="AI421" s="225"/>
      <c r="AJ421" s="225"/>
      <c r="AK421" s="323"/>
      <c r="AL421" s="225"/>
    </row>
    <row r="422" ht="13.5" customHeight="1">
      <c r="A422" s="225"/>
      <c r="B422" s="225"/>
      <c r="C422" s="225"/>
      <c r="D422" s="225"/>
      <c r="E422" s="225"/>
      <c r="F422" s="44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  <c r="AA422" s="225"/>
      <c r="AB422" s="225"/>
      <c r="AC422" s="225"/>
      <c r="AD422" s="225"/>
      <c r="AE422" s="225"/>
      <c r="AF422" s="225"/>
      <c r="AG422" s="225"/>
      <c r="AH422" s="225"/>
      <c r="AI422" s="225"/>
      <c r="AJ422" s="225"/>
      <c r="AK422" s="323"/>
      <c r="AL422" s="225"/>
    </row>
    <row r="423" ht="13.5" customHeight="1">
      <c r="A423" s="225"/>
      <c r="B423" s="225"/>
      <c r="C423" s="225"/>
      <c r="D423" s="225"/>
      <c r="E423" s="225"/>
      <c r="F423" s="44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  <c r="AA423" s="225"/>
      <c r="AB423" s="225"/>
      <c r="AC423" s="225"/>
      <c r="AD423" s="225"/>
      <c r="AE423" s="225"/>
      <c r="AF423" s="225"/>
      <c r="AG423" s="225"/>
      <c r="AH423" s="225"/>
      <c r="AI423" s="225"/>
      <c r="AJ423" s="225"/>
      <c r="AK423" s="323"/>
      <c r="AL423" s="225"/>
    </row>
    <row r="424" ht="13.5" customHeight="1">
      <c r="A424" s="225"/>
      <c r="B424" s="225"/>
      <c r="C424" s="225"/>
      <c r="D424" s="225"/>
      <c r="E424" s="225"/>
      <c r="F424" s="44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  <c r="AA424" s="225"/>
      <c r="AB424" s="225"/>
      <c r="AC424" s="225"/>
      <c r="AD424" s="225"/>
      <c r="AE424" s="225"/>
      <c r="AF424" s="225"/>
      <c r="AG424" s="225"/>
      <c r="AH424" s="225"/>
      <c r="AI424" s="225"/>
      <c r="AJ424" s="225"/>
      <c r="AK424" s="323"/>
      <c r="AL424" s="225"/>
    </row>
    <row r="425" ht="13.5" customHeight="1">
      <c r="A425" s="225"/>
      <c r="B425" s="225"/>
      <c r="C425" s="225"/>
      <c r="D425" s="225"/>
      <c r="E425" s="225"/>
      <c r="F425" s="44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  <c r="AA425" s="225"/>
      <c r="AB425" s="225"/>
      <c r="AC425" s="225"/>
      <c r="AD425" s="225"/>
      <c r="AE425" s="225"/>
      <c r="AF425" s="225"/>
      <c r="AG425" s="225"/>
      <c r="AH425" s="225"/>
      <c r="AI425" s="225"/>
      <c r="AJ425" s="225"/>
      <c r="AK425" s="323"/>
      <c r="AL425" s="225"/>
    </row>
    <row r="426" ht="13.5" customHeight="1">
      <c r="A426" s="225"/>
      <c r="B426" s="225"/>
      <c r="C426" s="225"/>
      <c r="D426" s="225"/>
      <c r="E426" s="225"/>
      <c r="F426" s="44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  <c r="AA426" s="225"/>
      <c r="AB426" s="225"/>
      <c r="AC426" s="225"/>
      <c r="AD426" s="225"/>
      <c r="AE426" s="225"/>
      <c r="AF426" s="225"/>
      <c r="AG426" s="225"/>
      <c r="AH426" s="225"/>
      <c r="AI426" s="225"/>
      <c r="AJ426" s="225"/>
      <c r="AK426" s="323"/>
      <c r="AL426" s="225"/>
    </row>
    <row r="427" ht="13.5" customHeight="1">
      <c r="A427" s="225"/>
      <c r="B427" s="225"/>
      <c r="C427" s="225"/>
      <c r="D427" s="225"/>
      <c r="E427" s="225"/>
      <c r="F427" s="44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  <c r="AA427" s="225"/>
      <c r="AB427" s="225"/>
      <c r="AC427" s="225"/>
      <c r="AD427" s="225"/>
      <c r="AE427" s="225"/>
      <c r="AF427" s="225"/>
      <c r="AG427" s="225"/>
      <c r="AH427" s="225"/>
      <c r="AI427" s="225"/>
      <c r="AJ427" s="225"/>
      <c r="AK427" s="323"/>
      <c r="AL427" s="225"/>
    </row>
    <row r="428" ht="13.5" customHeight="1">
      <c r="A428" s="225"/>
      <c r="B428" s="225"/>
      <c r="C428" s="225"/>
      <c r="D428" s="225"/>
      <c r="E428" s="225"/>
      <c r="F428" s="44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  <c r="AA428" s="225"/>
      <c r="AB428" s="225"/>
      <c r="AC428" s="225"/>
      <c r="AD428" s="225"/>
      <c r="AE428" s="225"/>
      <c r="AF428" s="225"/>
      <c r="AG428" s="225"/>
      <c r="AH428" s="225"/>
      <c r="AI428" s="225"/>
      <c r="AJ428" s="225"/>
      <c r="AK428" s="323"/>
      <c r="AL428" s="225"/>
    </row>
    <row r="429" ht="13.5" customHeight="1">
      <c r="A429" s="225"/>
      <c r="B429" s="225"/>
      <c r="C429" s="225"/>
      <c r="D429" s="225"/>
      <c r="E429" s="225"/>
      <c r="F429" s="44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  <c r="AA429" s="225"/>
      <c r="AB429" s="225"/>
      <c r="AC429" s="225"/>
      <c r="AD429" s="225"/>
      <c r="AE429" s="225"/>
      <c r="AF429" s="225"/>
      <c r="AG429" s="225"/>
      <c r="AH429" s="225"/>
      <c r="AI429" s="225"/>
      <c r="AJ429" s="225"/>
      <c r="AK429" s="323"/>
      <c r="AL429" s="225"/>
    </row>
    <row r="430" ht="13.5" customHeight="1">
      <c r="A430" s="225"/>
      <c r="B430" s="225"/>
      <c r="C430" s="225"/>
      <c r="D430" s="225"/>
      <c r="E430" s="225"/>
      <c r="F430" s="44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  <c r="AA430" s="225"/>
      <c r="AB430" s="225"/>
      <c r="AC430" s="225"/>
      <c r="AD430" s="225"/>
      <c r="AE430" s="225"/>
      <c r="AF430" s="225"/>
      <c r="AG430" s="225"/>
      <c r="AH430" s="225"/>
      <c r="AI430" s="225"/>
      <c r="AJ430" s="225"/>
      <c r="AK430" s="323"/>
      <c r="AL430" s="225"/>
    </row>
    <row r="431" ht="13.5" customHeight="1">
      <c r="A431" s="225"/>
      <c r="B431" s="225"/>
      <c r="C431" s="225"/>
      <c r="D431" s="225"/>
      <c r="E431" s="225"/>
      <c r="F431" s="44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  <c r="AA431" s="225"/>
      <c r="AB431" s="225"/>
      <c r="AC431" s="225"/>
      <c r="AD431" s="225"/>
      <c r="AE431" s="225"/>
      <c r="AF431" s="225"/>
      <c r="AG431" s="225"/>
      <c r="AH431" s="225"/>
      <c r="AI431" s="225"/>
      <c r="AJ431" s="225"/>
      <c r="AK431" s="323"/>
      <c r="AL431" s="225"/>
    </row>
    <row r="432" ht="13.5" customHeight="1">
      <c r="A432" s="225"/>
      <c r="B432" s="225"/>
      <c r="C432" s="225"/>
      <c r="D432" s="225"/>
      <c r="E432" s="225"/>
      <c r="F432" s="44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  <c r="AA432" s="225"/>
      <c r="AB432" s="225"/>
      <c r="AC432" s="225"/>
      <c r="AD432" s="225"/>
      <c r="AE432" s="225"/>
      <c r="AF432" s="225"/>
      <c r="AG432" s="225"/>
      <c r="AH432" s="225"/>
      <c r="AI432" s="225"/>
      <c r="AJ432" s="225"/>
      <c r="AK432" s="323"/>
      <c r="AL432" s="225"/>
    </row>
    <row r="433" ht="13.5" customHeight="1">
      <c r="A433" s="225"/>
      <c r="B433" s="225"/>
      <c r="C433" s="225"/>
      <c r="D433" s="225"/>
      <c r="E433" s="225"/>
      <c r="F433" s="44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  <c r="AA433" s="225"/>
      <c r="AB433" s="225"/>
      <c r="AC433" s="225"/>
      <c r="AD433" s="225"/>
      <c r="AE433" s="225"/>
      <c r="AF433" s="225"/>
      <c r="AG433" s="225"/>
      <c r="AH433" s="225"/>
      <c r="AI433" s="225"/>
      <c r="AJ433" s="225"/>
      <c r="AK433" s="323"/>
      <c r="AL433" s="225"/>
    </row>
    <row r="434" ht="13.5" customHeight="1">
      <c r="A434" s="225"/>
      <c r="B434" s="225"/>
      <c r="C434" s="225"/>
      <c r="D434" s="225"/>
      <c r="E434" s="225"/>
      <c r="F434" s="44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  <c r="AA434" s="225"/>
      <c r="AB434" s="225"/>
      <c r="AC434" s="225"/>
      <c r="AD434" s="225"/>
      <c r="AE434" s="225"/>
      <c r="AF434" s="225"/>
      <c r="AG434" s="225"/>
      <c r="AH434" s="225"/>
      <c r="AI434" s="225"/>
      <c r="AJ434" s="225"/>
      <c r="AK434" s="323"/>
      <c r="AL434" s="225"/>
    </row>
    <row r="435" ht="13.5" customHeight="1">
      <c r="A435" s="225"/>
      <c r="B435" s="225"/>
      <c r="C435" s="225"/>
      <c r="D435" s="225"/>
      <c r="E435" s="225"/>
      <c r="F435" s="44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  <c r="AA435" s="225"/>
      <c r="AB435" s="225"/>
      <c r="AC435" s="225"/>
      <c r="AD435" s="225"/>
      <c r="AE435" s="225"/>
      <c r="AF435" s="225"/>
      <c r="AG435" s="225"/>
      <c r="AH435" s="225"/>
      <c r="AI435" s="225"/>
      <c r="AJ435" s="225"/>
      <c r="AK435" s="323"/>
      <c r="AL435" s="225"/>
    </row>
    <row r="436" ht="13.5" customHeight="1">
      <c r="A436" s="225"/>
      <c r="B436" s="225"/>
      <c r="C436" s="225"/>
      <c r="D436" s="225"/>
      <c r="E436" s="225"/>
      <c r="F436" s="44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  <c r="AA436" s="225"/>
      <c r="AB436" s="225"/>
      <c r="AC436" s="225"/>
      <c r="AD436" s="225"/>
      <c r="AE436" s="225"/>
      <c r="AF436" s="225"/>
      <c r="AG436" s="225"/>
      <c r="AH436" s="225"/>
      <c r="AI436" s="225"/>
      <c r="AJ436" s="225"/>
      <c r="AK436" s="323"/>
      <c r="AL436" s="225"/>
    </row>
    <row r="437" ht="13.5" customHeight="1">
      <c r="A437" s="225"/>
      <c r="B437" s="225"/>
      <c r="C437" s="225"/>
      <c r="D437" s="225"/>
      <c r="E437" s="225"/>
      <c r="F437" s="44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  <c r="AA437" s="225"/>
      <c r="AB437" s="225"/>
      <c r="AC437" s="225"/>
      <c r="AD437" s="225"/>
      <c r="AE437" s="225"/>
      <c r="AF437" s="225"/>
      <c r="AG437" s="225"/>
      <c r="AH437" s="225"/>
      <c r="AI437" s="225"/>
      <c r="AJ437" s="225"/>
      <c r="AK437" s="323"/>
      <c r="AL437" s="225"/>
    </row>
    <row r="438" ht="13.5" customHeight="1">
      <c r="A438" s="225"/>
      <c r="B438" s="225"/>
      <c r="C438" s="225"/>
      <c r="D438" s="225"/>
      <c r="E438" s="225"/>
      <c r="F438" s="44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  <c r="AA438" s="225"/>
      <c r="AB438" s="225"/>
      <c r="AC438" s="225"/>
      <c r="AD438" s="225"/>
      <c r="AE438" s="225"/>
      <c r="AF438" s="225"/>
      <c r="AG438" s="225"/>
      <c r="AH438" s="225"/>
      <c r="AI438" s="225"/>
      <c r="AJ438" s="225"/>
      <c r="AK438" s="323"/>
      <c r="AL438" s="225"/>
    </row>
    <row r="439" ht="13.5" customHeight="1">
      <c r="A439" s="225"/>
      <c r="B439" s="225"/>
      <c r="C439" s="225"/>
      <c r="D439" s="225"/>
      <c r="E439" s="225"/>
      <c r="F439" s="44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  <c r="AA439" s="225"/>
      <c r="AB439" s="225"/>
      <c r="AC439" s="225"/>
      <c r="AD439" s="225"/>
      <c r="AE439" s="225"/>
      <c r="AF439" s="225"/>
      <c r="AG439" s="225"/>
      <c r="AH439" s="225"/>
      <c r="AI439" s="225"/>
      <c r="AJ439" s="225"/>
      <c r="AK439" s="323"/>
      <c r="AL439" s="225"/>
    </row>
    <row r="440" ht="13.5" customHeight="1">
      <c r="A440" s="225"/>
      <c r="B440" s="225"/>
      <c r="C440" s="225"/>
      <c r="D440" s="225"/>
      <c r="E440" s="225"/>
      <c r="F440" s="44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  <c r="AA440" s="225"/>
      <c r="AB440" s="225"/>
      <c r="AC440" s="225"/>
      <c r="AD440" s="225"/>
      <c r="AE440" s="225"/>
      <c r="AF440" s="225"/>
      <c r="AG440" s="225"/>
      <c r="AH440" s="225"/>
      <c r="AI440" s="225"/>
      <c r="AJ440" s="225"/>
      <c r="AK440" s="323"/>
      <c r="AL440" s="225"/>
    </row>
    <row r="441" ht="13.5" customHeight="1">
      <c r="A441" s="225"/>
      <c r="B441" s="225"/>
      <c r="C441" s="225"/>
      <c r="D441" s="225"/>
      <c r="E441" s="225"/>
      <c r="F441" s="44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  <c r="AA441" s="225"/>
      <c r="AB441" s="225"/>
      <c r="AC441" s="225"/>
      <c r="AD441" s="225"/>
      <c r="AE441" s="225"/>
      <c r="AF441" s="225"/>
      <c r="AG441" s="225"/>
      <c r="AH441" s="225"/>
      <c r="AI441" s="225"/>
      <c r="AJ441" s="225"/>
      <c r="AK441" s="323"/>
      <c r="AL441" s="225"/>
    </row>
    <row r="442" ht="13.5" customHeight="1">
      <c r="A442" s="225"/>
      <c r="B442" s="225"/>
      <c r="C442" s="225"/>
      <c r="D442" s="225"/>
      <c r="E442" s="225"/>
      <c r="F442" s="44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  <c r="AA442" s="225"/>
      <c r="AB442" s="225"/>
      <c r="AC442" s="225"/>
      <c r="AD442" s="225"/>
      <c r="AE442" s="225"/>
      <c r="AF442" s="225"/>
      <c r="AG442" s="225"/>
      <c r="AH442" s="225"/>
      <c r="AI442" s="225"/>
      <c r="AJ442" s="225"/>
      <c r="AK442" s="323"/>
      <c r="AL442" s="225"/>
    </row>
    <row r="443" ht="13.5" customHeight="1">
      <c r="A443" s="225"/>
      <c r="B443" s="225"/>
      <c r="C443" s="225"/>
      <c r="D443" s="225"/>
      <c r="E443" s="225"/>
      <c r="F443" s="44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  <c r="AA443" s="225"/>
      <c r="AB443" s="225"/>
      <c r="AC443" s="225"/>
      <c r="AD443" s="225"/>
      <c r="AE443" s="225"/>
      <c r="AF443" s="225"/>
      <c r="AG443" s="225"/>
      <c r="AH443" s="225"/>
      <c r="AI443" s="225"/>
      <c r="AJ443" s="225"/>
      <c r="AK443" s="323"/>
      <c r="AL443" s="225"/>
    </row>
    <row r="444" ht="13.5" customHeight="1">
      <c r="A444" s="225"/>
      <c r="B444" s="225"/>
      <c r="C444" s="225"/>
      <c r="D444" s="225"/>
      <c r="E444" s="225"/>
      <c r="F444" s="44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  <c r="AA444" s="225"/>
      <c r="AB444" s="225"/>
      <c r="AC444" s="225"/>
      <c r="AD444" s="225"/>
      <c r="AE444" s="225"/>
      <c r="AF444" s="225"/>
      <c r="AG444" s="225"/>
      <c r="AH444" s="225"/>
      <c r="AI444" s="225"/>
      <c r="AJ444" s="225"/>
      <c r="AK444" s="323"/>
      <c r="AL444" s="225"/>
    </row>
    <row r="445" ht="13.5" customHeight="1">
      <c r="A445" s="225"/>
      <c r="B445" s="225"/>
      <c r="C445" s="225"/>
      <c r="D445" s="225"/>
      <c r="E445" s="225"/>
      <c r="F445" s="44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  <c r="AA445" s="225"/>
      <c r="AB445" s="225"/>
      <c r="AC445" s="225"/>
      <c r="AD445" s="225"/>
      <c r="AE445" s="225"/>
      <c r="AF445" s="225"/>
      <c r="AG445" s="225"/>
      <c r="AH445" s="225"/>
      <c r="AI445" s="225"/>
      <c r="AJ445" s="225"/>
      <c r="AK445" s="323"/>
      <c r="AL445" s="225"/>
    </row>
    <row r="446" ht="13.5" customHeight="1">
      <c r="A446" s="225"/>
      <c r="B446" s="225"/>
      <c r="C446" s="225"/>
      <c r="D446" s="225"/>
      <c r="E446" s="225"/>
      <c r="F446" s="44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  <c r="AA446" s="225"/>
      <c r="AB446" s="225"/>
      <c r="AC446" s="225"/>
      <c r="AD446" s="225"/>
      <c r="AE446" s="225"/>
      <c r="AF446" s="225"/>
      <c r="AG446" s="225"/>
      <c r="AH446" s="225"/>
      <c r="AI446" s="225"/>
      <c r="AJ446" s="225"/>
      <c r="AK446" s="323"/>
      <c r="AL446" s="225"/>
    </row>
    <row r="447" ht="13.5" customHeight="1">
      <c r="A447" s="225"/>
      <c r="B447" s="225"/>
      <c r="C447" s="225"/>
      <c r="D447" s="225"/>
      <c r="E447" s="225"/>
      <c r="F447" s="44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  <c r="AA447" s="225"/>
      <c r="AB447" s="225"/>
      <c r="AC447" s="225"/>
      <c r="AD447" s="225"/>
      <c r="AE447" s="225"/>
      <c r="AF447" s="225"/>
      <c r="AG447" s="225"/>
      <c r="AH447" s="225"/>
      <c r="AI447" s="225"/>
      <c r="AJ447" s="225"/>
      <c r="AK447" s="323"/>
      <c r="AL447" s="225"/>
    </row>
    <row r="448" ht="13.5" customHeight="1">
      <c r="A448" s="225"/>
      <c r="B448" s="225"/>
      <c r="C448" s="225"/>
      <c r="D448" s="225"/>
      <c r="E448" s="225"/>
      <c r="F448" s="44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  <c r="AA448" s="225"/>
      <c r="AB448" s="225"/>
      <c r="AC448" s="225"/>
      <c r="AD448" s="225"/>
      <c r="AE448" s="225"/>
      <c r="AF448" s="225"/>
      <c r="AG448" s="225"/>
      <c r="AH448" s="225"/>
      <c r="AI448" s="225"/>
      <c r="AJ448" s="225"/>
      <c r="AK448" s="323"/>
      <c r="AL448" s="225"/>
    </row>
    <row r="449" ht="13.5" customHeight="1">
      <c r="A449" s="225"/>
      <c r="B449" s="225"/>
      <c r="C449" s="225"/>
      <c r="D449" s="225"/>
      <c r="E449" s="225"/>
      <c r="F449" s="44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  <c r="AA449" s="225"/>
      <c r="AB449" s="225"/>
      <c r="AC449" s="225"/>
      <c r="AD449" s="225"/>
      <c r="AE449" s="225"/>
      <c r="AF449" s="225"/>
      <c r="AG449" s="225"/>
      <c r="AH449" s="225"/>
      <c r="AI449" s="225"/>
      <c r="AJ449" s="225"/>
      <c r="AK449" s="323"/>
      <c r="AL449" s="225"/>
    </row>
    <row r="450" ht="13.5" customHeight="1">
      <c r="A450" s="225"/>
      <c r="B450" s="225"/>
      <c r="C450" s="225"/>
      <c r="D450" s="225"/>
      <c r="E450" s="225"/>
      <c r="F450" s="44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  <c r="AA450" s="225"/>
      <c r="AB450" s="225"/>
      <c r="AC450" s="225"/>
      <c r="AD450" s="225"/>
      <c r="AE450" s="225"/>
      <c r="AF450" s="225"/>
      <c r="AG450" s="225"/>
      <c r="AH450" s="225"/>
      <c r="AI450" s="225"/>
      <c r="AJ450" s="225"/>
      <c r="AK450" s="323"/>
      <c r="AL450" s="225"/>
    </row>
    <row r="451" ht="13.5" customHeight="1">
      <c r="A451" s="225"/>
      <c r="B451" s="225"/>
      <c r="C451" s="225"/>
      <c r="D451" s="225"/>
      <c r="E451" s="225"/>
      <c r="F451" s="44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  <c r="AA451" s="225"/>
      <c r="AB451" s="225"/>
      <c r="AC451" s="225"/>
      <c r="AD451" s="225"/>
      <c r="AE451" s="225"/>
      <c r="AF451" s="225"/>
      <c r="AG451" s="225"/>
      <c r="AH451" s="225"/>
      <c r="AI451" s="225"/>
      <c r="AJ451" s="225"/>
      <c r="AK451" s="323"/>
      <c r="AL451" s="225"/>
    </row>
    <row r="452" ht="13.5" customHeight="1">
      <c r="A452" s="225"/>
      <c r="B452" s="225"/>
      <c r="C452" s="225"/>
      <c r="D452" s="225"/>
      <c r="E452" s="225"/>
      <c r="F452" s="44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  <c r="AB452" s="225"/>
      <c r="AC452" s="225"/>
      <c r="AD452" s="225"/>
      <c r="AE452" s="225"/>
      <c r="AF452" s="225"/>
      <c r="AG452" s="225"/>
      <c r="AH452" s="225"/>
      <c r="AI452" s="225"/>
      <c r="AJ452" s="225"/>
      <c r="AK452" s="323"/>
      <c r="AL452" s="225"/>
    </row>
    <row r="453" ht="13.5" customHeight="1">
      <c r="A453" s="225"/>
      <c r="B453" s="225"/>
      <c r="C453" s="225"/>
      <c r="D453" s="225"/>
      <c r="E453" s="225"/>
      <c r="F453" s="44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  <c r="AA453" s="225"/>
      <c r="AB453" s="225"/>
      <c r="AC453" s="225"/>
      <c r="AD453" s="225"/>
      <c r="AE453" s="225"/>
      <c r="AF453" s="225"/>
      <c r="AG453" s="225"/>
      <c r="AH453" s="225"/>
      <c r="AI453" s="225"/>
      <c r="AJ453" s="225"/>
      <c r="AK453" s="323"/>
      <c r="AL453" s="225"/>
    </row>
    <row r="454" ht="13.5" customHeight="1">
      <c r="A454" s="225"/>
      <c r="B454" s="225"/>
      <c r="C454" s="225"/>
      <c r="D454" s="225"/>
      <c r="E454" s="225"/>
      <c r="F454" s="44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  <c r="AA454" s="225"/>
      <c r="AB454" s="225"/>
      <c r="AC454" s="225"/>
      <c r="AD454" s="225"/>
      <c r="AE454" s="225"/>
      <c r="AF454" s="225"/>
      <c r="AG454" s="225"/>
      <c r="AH454" s="225"/>
      <c r="AI454" s="225"/>
      <c r="AJ454" s="225"/>
      <c r="AK454" s="323"/>
      <c r="AL454" s="225"/>
    </row>
    <row r="455" ht="13.5" customHeight="1">
      <c r="A455" s="225"/>
      <c r="B455" s="225"/>
      <c r="C455" s="225"/>
      <c r="D455" s="225"/>
      <c r="E455" s="225"/>
      <c r="F455" s="44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  <c r="AA455" s="225"/>
      <c r="AB455" s="225"/>
      <c r="AC455" s="225"/>
      <c r="AD455" s="225"/>
      <c r="AE455" s="225"/>
      <c r="AF455" s="225"/>
      <c r="AG455" s="225"/>
      <c r="AH455" s="225"/>
      <c r="AI455" s="225"/>
      <c r="AJ455" s="225"/>
      <c r="AK455" s="323"/>
      <c r="AL455" s="225"/>
    </row>
    <row r="456" ht="13.5" customHeight="1">
      <c r="A456" s="225"/>
      <c r="B456" s="225"/>
      <c r="C456" s="225"/>
      <c r="D456" s="225"/>
      <c r="E456" s="225"/>
      <c r="F456" s="44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  <c r="AA456" s="225"/>
      <c r="AB456" s="225"/>
      <c r="AC456" s="225"/>
      <c r="AD456" s="225"/>
      <c r="AE456" s="225"/>
      <c r="AF456" s="225"/>
      <c r="AG456" s="225"/>
      <c r="AH456" s="225"/>
      <c r="AI456" s="225"/>
      <c r="AJ456" s="225"/>
      <c r="AK456" s="323"/>
      <c r="AL456" s="225"/>
    </row>
    <row r="457" ht="13.5" customHeight="1">
      <c r="A457" s="225"/>
      <c r="B457" s="225"/>
      <c r="C457" s="225"/>
      <c r="D457" s="225"/>
      <c r="E457" s="225"/>
      <c r="F457" s="44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  <c r="AA457" s="225"/>
      <c r="AB457" s="225"/>
      <c r="AC457" s="225"/>
      <c r="AD457" s="225"/>
      <c r="AE457" s="225"/>
      <c r="AF457" s="225"/>
      <c r="AG457" s="225"/>
      <c r="AH457" s="225"/>
      <c r="AI457" s="225"/>
      <c r="AJ457" s="225"/>
      <c r="AK457" s="323"/>
      <c r="AL457" s="225"/>
    </row>
    <row r="458" ht="13.5" customHeight="1">
      <c r="A458" s="225"/>
      <c r="B458" s="225"/>
      <c r="C458" s="225"/>
      <c r="D458" s="225"/>
      <c r="E458" s="225"/>
      <c r="F458" s="44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  <c r="AA458" s="225"/>
      <c r="AB458" s="225"/>
      <c r="AC458" s="225"/>
      <c r="AD458" s="225"/>
      <c r="AE458" s="225"/>
      <c r="AF458" s="225"/>
      <c r="AG458" s="225"/>
      <c r="AH458" s="225"/>
      <c r="AI458" s="225"/>
      <c r="AJ458" s="225"/>
      <c r="AK458" s="323"/>
      <c r="AL458" s="225"/>
    </row>
    <row r="459" ht="13.5" customHeight="1">
      <c r="A459" s="225"/>
      <c r="B459" s="225"/>
      <c r="C459" s="225"/>
      <c r="D459" s="225"/>
      <c r="E459" s="225"/>
      <c r="F459" s="44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  <c r="AB459" s="225"/>
      <c r="AC459" s="225"/>
      <c r="AD459" s="225"/>
      <c r="AE459" s="225"/>
      <c r="AF459" s="225"/>
      <c r="AG459" s="225"/>
      <c r="AH459" s="225"/>
      <c r="AI459" s="225"/>
      <c r="AJ459" s="225"/>
      <c r="AK459" s="323"/>
      <c r="AL459" s="225"/>
    </row>
    <row r="460" ht="13.5" customHeight="1">
      <c r="A460" s="225"/>
      <c r="B460" s="225"/>
      <c r="C460" s="225"/>
      <c r="D460" s="225"/>
      <c r="E460" s="225"/>
      <c r="F460" s="44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  <c r="AB460" s="225"/>
      <c r="AC460" s="225"/>
      <c r="AD460" s="225"/>
      <c r="AE460" s="225"/>
      <c r="AF460" s="225"/>
      <c r="AG460" s="225"/>
      <c r="AH460" s="225"/>
      <c r="AI460" s="225"/>
      <c r="AJ460" s="225"/>
      <c r="AK460" s="323"/>
      <c r="AL460" s="225"/>
    </row>
    <row r="461" ht="13.5" customHeight="1">
      <c r="A461" s="225"/>
      <c r="B461" s="225"/>
      <c r="C461" s="225"/>
      <c r="D461" s="225"/>
      <c r="E461" s="225"/>
      <c r="F461" s="44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  <c r="AA461" s="225"/>
      <c r="AB461" s="225"/>
      <c r="AC461" s="225"/>
      <c r="AD461" s="225"/>
      <c r="AE461" s="225"/>
      <c r="AF461" s="225"/>
      <c r="AG461" s="225"/>
      <c r="AH461" s="225"/>
      <c r="AI461" s="225"/>
      <c r="AJ461" s="225"/>
      <c r="AK461" s="323"/>
      <c r="AL461" s="225"/>
    </row>
    <row r="462" ht="13.5" customHeight="1">
      <c r="A462" s="225"/>
      <c r="B462" s="225"/>
      <c r="C462" s="225"/>
      <c r="D462" s="225"/>
      <c r="E462" s="225"/>
      <c r="F462" s="44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  <c r="AA462" s="225"/>
      <c r="AB462" s="225"/>
      <c r="AC462" s="225"/>
      <c r="AD462" s="225"/>
      <c r="AE462" s="225"/>
      <c r="AF462" s="225"/>
      <c r="AG462" s="225"/>
      <c r="AH462" s="225"/>
      <c r="AI462" s="225"/>
      <c r="AJ462" s="225"/>
      <c r="AK462" s="323"/>
      <c r="AL462" s="225"/>
    </row>
    <row r="463" ht="13.5" customHeight="1">
      <c r="A463" s="225"/>
      <c r="B463" s="225"/>
      <c r="C463" s="225"/>
      <c r="D463" s="225"/>
      <c r="E463" s="225"/>
      <c r="F463" s="44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  <c r="AA463" s="225"/>
      <c r="AB463" s="225"/>
      <c r="AC463" s="225"/>
      <c r="AD463" s="225"/>
      <c r="AE463" s="225"/>
      <c r="AF463" s="225"/>
      <c r="AG463" s="225"/>
      <c r="AH463" s="225"/>
      <c r="AI463" s="225"/>
      <c r="AJ463" s="225"/>
      <c r="AK463" s="323"/>
      <c r="AL463" s="225"/>
    </row>
    <row r="464" ht="13.5" customHeight="1">
      <c r="A464" s="225"/>
      <c r="B464" s="225"/>
      <c r="C464" s="225"/>
      <c r="D464" s="225"/>
      <c r="E464" s="225"/>
      <c r="F464" s="44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  <c r="AA464" s="225"/>
      <c r="AB464" s="225"/>
      <c r="AC464" s="225"/>
      <c r="AD464" s="225"/>
      <c r="AE464" s="225"/>
      <c r="AF464" s="225"/>
      <c r="AG464" s="225"/>
      <c r="AH464" s="225"/>
      <c r="AI464" s="225"/>
      <c r="AJ464" s="225"/>
      <c r="AK464" s="323"/>
      <c r="AL464" s="225"/>
    </row>
    <row r="465" ht="13.5" customHeight="1">
      <c r="A465" s="225"/>
      <c r="B465" s="225"/>
      <c r="C465" s="225"/>
      <c r="D465" s="225"/>
      <c r="E465" s="225"/>
      <c r="F465" s="44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  <c r="AA465" s="225"/>
      <c r="AB465" s="225"/>
      <c r="AC465" s="225"/>
      <c r="AD465" s="225"/>
      <c r="AE465" s="225"/>
      <c r="AF465" s="225"/>
      <c r="AG465" s="225"/>
      <c r="AH465" s="225"/>
      <c r="AI465" s="225"/>
      <c r="AJ465" s="225"/>
      <c r="AK465" s="323"/>
      <c r="AL465" s="225"/>
    </row>
    <row r="466" ht="13.5" customHeight="1">
      <c r="A466" s="225"/>
      <c r="B466" s="225"/>
      <c r="C466" s="225"/>
      <c r="D466" s="225"/>
      <c r="E466" s="225"/>
      <c r="F466" s="44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  <c r="AA466" s="225"/>
      <c r="AB466" s="225"/>
      <c r="AC466" s="225"/>
      <c r="AD466" s="225"/>
      <c r="AE466" s="225"/>
      <c r="AF466" s="225"/>
      <c r="AG466" s="225"/>
      <c r="AH466" s="225"/>
      <c r="AI466" s="225"/>
      <c r="AJ466" s="225"/>
      <c r="AK466" s="323"/>
      <c r="AL466" s="225"/>
    </row>
    <row r="467" ht="13.5" customHeight="1">
      <c r="A467" s="225"/>
      <c r="B467" s="225"/>
      <c r="C467" s="225"/>
      <c r="D467" s="225"/>
      <c r="E467" s="225"/>
      <c r="F467" s="44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  <c r="AA467" s="225"/>
      <c r="AB467" s="225"/>
      <c r="AC467" s="225"/>
      <c r="AD467" s="225"/>
      <c r="AE467" s="225"/>
      <c r="AF467" s="225"/>
      <c r="AG467" s="225"/>
      <c r="AH467" s="225"/>
      <c r="AI467" s="225"/>
      <c r="AJ467" s="225"/>
      <c r="AK467" s="323"/>
      <c r="AL467" s="225"/>
    </row>
    <row r="468" ht="13.5" customHeight="1">
      <c r="A468" s="225"/>
      <c r="B468" s="225"/>
      <c r="C468" s="225"/>
      <c r="D468" s="225"/>
      <c r="E468" s="225"/>
      <c r="F468" s="44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  <c r="AB468" s="225"/>
      <c r="AC468" s="225"/>
      <c r="AD468" s="225"/>
      <c r="AE468" s="225"/>
      <c r="AF468" s="225"/>
      <c r="AG468" s="225"/>
      <c r="AH468" s="225"/>
      <c r="AI468" s="225"/>
      <c r="AJ468" s="225"/>
      <c r="AK468" s="323"/>
      <c r="AL468" s="225"/>
    </row>
    <row r="469" ht="13.5" customHeight="1">
      <c r="A469" s="225"/>
      <c r="B469" s="225"/>
      <c r="C469" s="225"/>
      <c r="D469" s="225"/>
      <c r="E469" s="225"/>
      <c r="F469" s="44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  <c r="AA469" s="225"/>
      <c r="AB469" s="225"/>
      <c r="AC469" s="225"/>
      <c r="AD469" s="225"/>
      <c r="AE469" s="225"/>
      <c r="AF469" s="225"/>
      <c r="AG469" s="225"/>
      <c r="AH469" s="225"/>
      <c r="AI469" s="225"/>
      <c r="AJ469" s="225"/>
      <c r="AK469" s="323"/>
      <c r="AL469" s="225"/>
    </row>
    <row r="470" ht="13.5" customHeight="1">
      <c r="A470" s="225"/>
      <c r="B470" s="225"/>
      <c r="C470" s="225"/>
      <c r="D470" s="225"/>
      <c r="E470" s="225"/>
      <c r="F470" s="44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  <c r="AB470" s="225"/>
      <c r="AC470" s="225"/>
      <c r="AD470" s="225"/>
      <c r="AE470" s="225"/>
      <c r="AF470" s="225"/>
      <c r="AG470" s="225"/>
      <c r="AH470" s="225"/>
      <c r="AI470" s="225"/>
      <c r="AJ470" s="225"/>
      <c r="AK470" s="323"/>
      <c r="AL470" s="225"/>
    </row>
    <row r="471" ht="13.5" customHeight="1">
      <c r="A471" s="225"/>
      <c r="B471" s="225"/>
      <c r="C471" s="225"/>
      <c r="D471" s="225"/>
      <c r="E471" s="225"/>
      <c r="F471" s="44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  <c r="AA471" s="225"/>
      <c r="AB471" s="225"/>
      <c r="AC471" s="225"/>
      <c r="AD471" s="225"/>
      <c r="AE471" s="225"/>
      <c r="AF471" s="225"/>
      <c r="AG471" s="225"/>
      <c r="AH471" s="225"/>
      <c r="AI471" s="225"/>
      <c r="AJ471" s="225"/>
      <c r="AK471" s="323"/>
      <c r="AL471" s="225"/>
    </row>
    <row r="472" ht="13.5" customHeight="1">
      <c r="A472" s="225"/>
      <c r="B472" s="225"/>
      <c r="C472" s="225"/>
      <c r="D472" s="225"/>
      <c r="E472" s="225"/>
      <c r="F472" s="44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  <c r="AA472" s="225"/>
      <c r="AB472" s="225"/>
      <c r="AC472" s="225"/>
      <c r="AD472" s="225"/>
      <c r="AE472" s="225"/>
      <c r="AF472" s="225"/>
      <c r="AG472" s="225"/>
      <c r="AH472" s="225"/>
      <c r="AI472" s="225"/>
      <c r="AJ472" s="225"/>
      <c r="AK472" s="323"/>
      <c r="AL472" s="225"/>
    </row>
    <row r="473" ht="13.5" customHeight="1">
      <c r="A473" s="225"/>
      <c r="B473" s="225"/>
      <c r="C473" s="225"/>
      <c r="D473" s="225"/>
      <c r="E473" s="225"/>
      <c r="F473" s="44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  <c r="AA473" s="225"/>
      <c r="AB473" s="225"/>
      <c r="AC473" s="225"/>
      <c r="AD473" s="225"/>
      <c r="AE473" s="225"/>
      <c r="AF473" s="225"/>
      <c r="AG473" s="225"/>
      <c r="AH473" s="225"/>
      <c r="AI473" s="225"/>
      <c r="AJ473" s="225"/>
      <c r="AK473" s="323"/>
      <c r="AL473" s="225"/>
    </row>
    <row r="474" ht="13.5" customHeight="1">
      <c r="A474" s="225"/>
      <c r="B474" s="225"/>
      <c r="C474" s="225"/>
      <c r="D474" s="225"/>
      <c r="E474" s="225"/>
      <c r="F474" s="44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  <c r="AA474" s="225"/>
      <c r="AB474" s="225"/>
      <c r="AC474" s="225"/>
      <c r="AD474" s="225"/>
      <c r="AE474" s="225"/>
      <c r="AF474" s="225"/>
      <c r="AG474" s="225"/>
      <c r="AH474" s="225"/>
      <c r="AI474" s="225"/>
      <c r="AJ474" s="225"/>
      <c r="AK474" s="323"/>
      <c r="AL474" s="225"/>
    </row>
    <row r="475" ht="13.5" customHeight="1">
      <c r="A475" s="225"/>
      <c r="B475" s="225"/>
      <c r="C475" s="225"/>
      <c r="D475" s="225"/>
      <c r="E475" s="225"/>
      <c r="F475" s="44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  <c r="AA475" s="225"/>
      <c r="AB475" s="225"/>
      <c r="AC475" s="225"/>
      <c r="AD475" s="225"/>
      <c r="AE475" s="225"/>
      <c r="AF475" s="225"/>
      <c r="AG475" s="225"/>
      <c r="AH475" s="225"/>
      <c r="AI475" s="225"/>
      <c r="AJ475" s="225"/>
      <c r="AK475" s="323"/>
      <c r="AL475" s="225"/>
    </row>
    <row r="476" ht="13.5" customHeight="1">
      <c r="A476" s="225"/>
      <c r="B476" s="225"/>
      <c r="C476" s="225"/>
      <c r="D476" s="225"/>
      <c r="E476" s="225"/>
      <c r="F476" s="44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  <c r="AB476" s="225"/>
      <c r="AC476" s="225"/>
      <c r="AD476" s="225"/>
      <c r="AE476" s="225"/>
      <c r="AF476" s="225"/>
      <c r="AG476" s="225"/>
      <c r="AH476" s="225"/>
      <c r="AI476" s="225"/>
      <c r="AJ476" s="225"/>
      <c r="AK476" s="323"/>
      <c r="AL476" s="225"/>
    </row>
    <row r="477" ht="13.5" customHeight="1">
      <c r="A477" s="225"/>
      <c r="B477" s="225"/>
      <c r="C477" s="225"/>
      <c r="D477" s="225"/>
      <c r="E477" s="225"/>
      <c r="F477" s="44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  <c r="AA477" s="225"/>
      <c r="AB477" s="225"/>
      <c r="AC477" s="225"/>
      <c r="AD477" s="225"/>
      <c r="AE477" s="225"/>
      <c r="AF477" s="225"/>
      <c r="AG477" s="225"/>
      <c r="AH477" s="225"/>
      <c r="AI477" s="225"/>
      <c r="AJ477" s="225"/>
      <c r="AK477" s="323"/>
      <c r="AL477" s="225"/>
    </row>
    <row r="478" ht="13.5" customHeight="1">
      <c r="A478" s="225"/>
      <c r="B478" s="225"/>
      <c r="C478" s="225"/>
      <c r="D478" s="225"/>
      <c r="E478" s="225"/>
      <c r="F478" s="44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  <c r="AA478" s="225"/>
      <c r="AB478" s="225"/>
      <c r="AC478" s="225"/>
      <c r="AD478" s="225"/>
      <c r="AE478" s="225"/>
      <c r="AF478" s="225"/>
      <c r="AG478" s="225"/>
      <c r="AH478" s="225"/>
      <c r="AI478" s="225"/>
      <c r="AJ478" s="225"/>
      <c r="AK478" s="323"/>
      <c r="AL478" s="225"/>
    </row>
    <row r="479" ht="13.5" customHeight="1">
      <c r="A479" s="225"/>
      <c r="B479" s="225"/>
      <c r="C479" s="225"/>
      <c r="D479" s="225"/>
      <c r="E479" s="225"/>
      <c r="F479" s="44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  <c r="AA479" s="225"/>
      <c r="AB479" s="225"/>
      <c r="AC479" s="225"/>
      <c r="AD479" s="225"/>
      <c r="AE479" s="225"/>
      <c r="AF479" s="225"/>
      <c r="AG479" s="225"/>
      <c r="AH479" s="225"/>
      <c r="AI479" s="225"/>
      <c r="AJ479" s="225"/>
      <c r="AK479" s="323"/>
      <c r="AL479" s="225"/>
    </row>
    <row r="480" ht="13.5" customHeight="1">
      <c r="A480" s="225"/>
      <c r="B480" s="225"/>
      <c r="C480" s="225"/>
      <c r="D480" s="225"/>
      <c r="E480" s="225"/>
      <c r="F480" s="44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  <c r="AA480" s="225"/>
      <c r="AB480" s="225"/>
      <c r="AC480" s="225"/>
      <c r="AD480" s="225"/>
      <c r="AE480" s="225"/>
      <c r="AF480" s="225"/>
      <c r="AG480" s="225"/>
      <c r="AH480" s="225"/>
      <c r="AI480" s="225"/>
      <c r="AJ480" s="225"/>
      <c r="AK480" s="323"/>
      <c r="AL480" s="225"/>
    </row>
    <row r="481" ht="13.5" customHeight="1">
      <c r="A481" s="225"/>
      <c r="B481" s="225"/>
      <c r="C481" s="225"/>
      <c r="D481" s="225"/>
      <c r="E481" s="225"/>
      <c r="F481" s="44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  <c r="AA481" s="225"/>
      <c r="AB481" s="225"/>
      <c r="AC481" s="225"/>
      <c r="AD481" s="225"/>
      <c r="AE481" s="225"/>
      <c r="AF481" s="225"/>
      <c r="AG481" s="225"/>
      <c r="AH481" s="225"/>
      <c r="AI481" s="225"/>
      <c r="AJ481" s="225"/>
      <c r="AK481" s="323"/>
      <c r="AL481" s="225"/>
    </row>
    <row r="482" ht="13.5" customHeight="1">
      <c r="A482" s="225"/>
      <c r="B482" s="225"/>
      <c r="C482" s="225"/>
      <c r="D482" s="225"/>
      <c r="E482" s="225"/>
      <c r="F482" s="44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  <c r="AA482" s="225"/>
      <c r="AB482" s="225"/>
      <c r="AC482" s="225"/>
      <c r="AD482" s="225"/>
      <c r="AE482" s="225"/>
      <c r="AF482" s="225"/>
      <c r="AG482" s="225"/>
      <c r="AH482" s="225"/>
      <c r="AI482" s="225"/>
      <c r="AJ482" s="225"/>
      <c r="AK482" s="323"/>
      <c r="AL482" s="225"/>
    </row>
    <row r="483" ht="13.5" customHeight="1">
      <c r="A483" s="225"/>
      <c r="B483" s="225"/>
      <c r="C483" s="225"/>
      <c r="D483" s="225"/>
      <c r="E483" s="225"/>
      <c r="F483" s="44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  <c r="AA483" s="225"/>
      <c r="AB483" s="225"/>
      <c r="AC483" s="225"/>
      <c r="AD483" s="225"/>
      <c r="AE483" s="225"/>
      <c r="AF483" s="225"/>
      <c r="AG483" s="225"/>
      <c r="AH483" s="225"/>
      <c r="AI483" s="225"/>
      <c r="AJ483" s="225"/>
      <c r="AK483" s="323"/>
      <c r="AL483" s="225"/>
    </row>
    <row r="484" ht="13.5" customHeight="1">
      <c r="A484" s="225"/>
      <c r="B484" s="225"/>
      <c r="C484" s="225"/>
      <c r="D484" s="225"/>
      <c r="E484" s="225"/>
      <c r="F484" s="44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  <c r="AB484" s="225"/>
      <c r="AC484" s="225"/>
      <c r="AD484" s="225"/>
      <c r="AE484" s="225"/>
      <c r="AF484" s="225"/>
      <c r="AG484" s="225"/>
      <c r="AH484" s="225"/>
      <c r="AI484" s="225"/>
      <c r="AJ484" s="225"/>
      <c r="AK484" s="323"/>
      <c r="AL484" s="225"/>
    </row>
    <row r="485" ht="13.5" customHeight="1">
      <c r="A485" s="225"/>
      <c r="B485" s="225"/>
      <c r="C485" s="225"/>
      <c r="D485" s="225"/>
      <c r="E485" s="225"/>
      <c r="F485" s="44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  <c r="AA485" s="225"/>
      <c r="AB485" s="225"/>
      <c r="AC485" s="225"/>
      <c r="AD485" s="225"/>
      <c r="AE485" s="225"/>
      <c r="AF485" s="225"/>
      <c r="AG485" s="225"/>
      <c r="AH485" s="225"/>
      <c r="AI485" s="225"/>
      <c r="AJ485" s="225"/>
      <c r="AK485" s="323"/>
      <c r="AL485" s="225"/>
    </row>
    <row r="486" ht="13.5" customHeight="1">
      <c r="A486" s="225"/>
      <c r="B486" s="225"/>
      <c r="C486" s="225"/>
      <c r="D486" s="225"/>
      <c r="E486" s="225"/>
      <c r="F486" s="44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  <c r="AA486" s="225"/>
      <c r="AB486" s="225"/>
      <c r="AC486" s="225"/>
      <c r="AD486" s="225"/>
      <c r="AE486" s="225"/>
      <c r="AF486" s="225"/>
      <c r="AG486" s="225"/>
      <c r="AH486" s="225"/>
      <c r="AI486" s="225"/>
      <c r="AJ486" s="225"/>
      <c r="AK486" s="323"/>
      <c r="AL486" s="225"/>
    </row>
    <row r="487" ht="13.5" customHeight="1">
      <c r="A487" s="225"/>
      <c r="B487" s="225"/>
      <c r="C487" s="225"/>
      <c r="D487" s="225"/>
      <c r="E487" s="225"/>
      <c r="F487" s="44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  <c r="AA487" s="225"/>
      <c r="AB487" s="225"/>
      <c r="AC487" s="225"/>
      <c r="AD487" s="225"/>
      <c r="AE487" s="225"/>
      <c r="AF487" s="225"/>
      <c r="AG487" s="225"/>
      <c r="AH487" s="225"/>
      <c r="AI487" s="225"/>
      <c r="AJ487" s="225"/>
      <c r="AK487" s="323"/>
      <c r="AL487" s="225"/>
    </row>
    <row r="488" ht="13.5" customHeight="1">
      <c r="A488" s="225"/>
      <c r="B488" s="225"/>
      <c r="C488" s="225"/>
      <c r="D488" s="225"/>
      <c r="E488" s="225"/>
      <c r="F488" s="44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  <c r="AA488" s="225"/>
      <c r="AB488" s="225"/>
      <c r="AC488" s="225"/>
      <c r="AD488" s="225"/>
      <c r="AE488" s="225"/>
      <c r="AF488" s="225"/>
      <c r="AG488" s="225"/>
      <c r="AH488" s="225"/>
      <c r="AI488" s="225"/>
      <c r="AJ488" s="225"/>
      <c r="AK488" s="323"/>
      <c r="AL488" s="225"/>
    </row>
    <row r="489" ht="13.5" customHeight="1">
      <c r="A489" s="225"/>
      <c r="B489" s="225"/>
      <c r="C489" s="225"/>
      <c r="D489" s="225"/>
      <c r="E489" s="225"/>
      <c r="F489" s="44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  <c r="AA489" s="225"/>
      <c r="AB489" s="225"/>
      <c r="AC489" s="225"/>
      <c r="AD489" s="225"/>
      <c r="AE489" s="225"/>
      <c r="AF489" s="225"/>
      <c r="AG489" s="225"/>
      <c r="AH489" s="225"/>
      <c r="AI489" s="225"/>
      <c r="AJ489" s="225"/>
      <c r="AK489" s="323"/>
      <c r="AL489" s="225"/>
    </row>
    <row r="490" ht="13.5" customHeight="1">
      <c r="A490" s="225"/>
      <c r="B490" s="225"/>
      <c r="C490" s="225"/>
      <c r="D490" s="225"/>
      <c r="E490" s="225"/>
      <c r="F490" s="44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  <c r="AA490" s="225"/>
      <c r="AB490" s="225"/>
      <c r="AC490" s="225"/>
      <c r="AD490" s="225"/>
      <c r="AE490" s="225"/>
      <c r="AF490" s="225"/>
      <c r="AG490" s="225"/>
      <c r="AH490" s="225"/>
      <c r="AI490" s="225"/>
      <c r="AJ490" s="225"/>
      <c r="AK490" s="323"/>
      <c r="AL490" s="225"/>
    </row>
    <row r="491" ht="13.5" customHeight="1">
      <c r="A491" s="225"/>
      <c r="B491" s="225"/>
      <c r="C491" s="225"/>
      <c r="D491" s="225"/>
      <c r="E491" s="225"/>
      <c r="F491" s="44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  <c r="AA491" s="225"/>
      <c r="AB491" s="225"/>
      <c r="AC491" s="225"/>
      <c r="AD491" s="225"/>
      <c r="AE491" s="225"/>
      <c r="AF491" s="225"/>
      <c r="AG491" s="225"/>
      <c r="AH491" s="225"/>
      <c r="AI491" s="225"/>
      <c r="AJ491" s="225"/>
      <c r="AK491" s="323"/>
      <c r="AL491" s="225"/>
    </row>
    <row r="492" ht="13.5" customHeight="1">
      <c r="A492" s="225"/>
      <c r="B492" s="225"/>
      <c r="C492" s="225"/>
      <c r="D492" s="225"/>
      <c r="E492" s="225"/>
      <c r="F492" s="44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  <c r="AB492" s="225"/>
      <c r="AC492" s="225"/>
      <c r="AD492" s="225"/>
      <c r="AE492" s="225"/>
      <c r="AF492" s="225"/>
      <c r="AG492" s="225"/>
      <c r="AH492" s="225"/>
      <c r="AI492" s="225"/>
      <c r="AJ492" s="225"/>
      <c r="AK492" s="323"/>
      <c r="AL492" s="225"/>
    </row>
    <row r="493" ht="13.5" customHeight="1">
      <c r="A493" s="225"/>
      <c r="B493" s="225"/>
      <c r="C493" s="225"/>
      <c r="D493" s="225"/>
      <c r="E493" s="225"/>
      <c r="F493" s="44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  <c r="AA493" s="225"/>
      <c r="AB493" s="225"/>
      <c r="AC493" s="225"/>
      <c r="AD493" s="225"/>
      <c r="AE493" s="225"/>
      <c r="AF493" s="225"/>
      <c r="AG493" s="225"/>
      <c r="AH493" s="225"/>
      <c r="AI493" s="225"/>
      <c r="AJ493" s="225"/>
      <c r="AK493" s="323"/>
      <c r="AL493" s="225"/>
    </row>
    <row r="494" ht="13.5" customHeight="1">
      <c r="A494" s="225"/>
      <c r="B494" s="225"/>
      <c r="C494" s="225"/>
      <c r="D494" s="225"/>
      <c r="E494" s="225"/>
      <c r="F494" s="44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  <c r="AA494" s="225"/>
      <c r="AB494" s="225"/>
      <c r="AC494" s="225"/>
      <c r="AD494" s="225"/>
      <c r="AE494" s="225"/>
      <c r="AF494" s="225"/>
      <c r="AG494" s="225"/>
      <c r="AH494" s="225"/>
      <c r="AI494" s="225"/>
      <c r="AJ494" s="225"/>
      <c r="AK494" s="323"/>
      <c r="AL494" s="225"/>
    </row>
    <row r="495" ht="13.5" customHeight="1">
      <c r="A495" s="225"/>
      <c r="B495" s="225"/>
      <c r="C495" s="225"/>
      <c r="D495" s="225"/>
      <c r="E495" s="225"/>
      <c r="F495" s="44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  <c r="AA495" s="225"/>
      <c r="AB495" s="225"/>
      <c r="AC495" s="225"/>
      <c r="AD495" s="225"/>
      <c r="AE495" s="225"/>
      <c r="AF495" s="225"/>
      <c r="AG495" s="225"/>
      <c r="AH495" s="225"/>
      <c r="AI495" s="225"/>
      <c r="AJ495" s="225"/>
      <c r="AK495" s="323"/>
      <c r="AL495" s="225"/>
    </row>
    <row r="496" ht="13.5" customHeight="1">
      <c r="A496" s="225"/>
      <c r="B496" s="225"/>
      <c r="C496" s="225"/>
      <c r="D496" s="225"/>
      <c r="E496" s="225"/>
      <c r="F496" s="44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  <c r="AB496" s="225"/>
      <c r="AC496" s="225"/>
      <c r="AD496" s="225"/>
      <c r="AE496" s="225"/>
      <c r="AF496" s="225"/>
      <c r="AG496" s="225"/>
      <c r="AH496" s="225"/>
      <c r="AI496" s="225"/>
      <c r="AJ496" s="225"/>
      <c r="AK496" s="323"/>
      <c r="AL496" s="225"/>
    </row>
    <row r="497" ht="13.5" customHeight="1">
      <c r="A497" s="225"/>
      <c r="B497" s="225"/>
      <c r="C497" s="225"/>
      <c r="D497" s="225"/>
      <c r="E497" s="225"/>
      <c r="F497" s="44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  <c r="AA497" s="225"/>
      <c r="AB497" s="225"/>
      <c r="AC497" s="225"/>
      <c r="AD497" s="225"/>
      <c r="AE497" s="225"/>
      <c r="AF497" s="225"/>
      <c r="AG497" s="225"/>
      <c r="AH497" s="225"/>
      <c r="AI497" s="225"/>
      <c r="AJ497" s="225"/>
      <c r="AK497" s="323"/>
      <c r="AL497" s="225"/>
    </row>
    <row r="498" ht="13.5" customHeight="1">
      <c r="A498" s="225"/>
      <c r="B498" s="225"/>
      <c r="C498" s="225"/>
      <c r="D498" s="225"/>
      <c r="E498" s="225"/>
      <c r="F498" s="44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225"/>
      <c r="AF498" s="225"/>
      <c r="AG498" s="225"/>
      <c r="AH498" s="225"/>
      <c r="AI498" s="225"/>
      <c r="AJ498" s="225"/>
      <c r="AK498" s="323"/>
      <c r="AL498" s="225"/>
    </row>
    <row r="499" ht="13.5" customHeight="1">
      <c r="A499" s="225"/>
      <c r="B499" s="225"/>
      <c r="C499" s="225"/>
      <c r="D499" s="225"/>
      <c r="E499" s="225"/>
      <c r="F499" s="44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  <c r="AA499" s="225"/>
      <c r="AB499" s="225"/>
      <c r="AC499" s="225"/>
      <c r="AD499" s="225"/>
      <c r="AE499" s="225"/>
      <c r="AF499" s="225"/>
      <c r="AG499" s="225"/>
      <c r="AH499" s="225"/>
      <c r="AI499" s="225"/>
      <c r="AJ499" s="225"/>
      <c r="AK499" s="323"/>
      <c r="AL499" s="225"/>
    </row>
    <row r="500" ht="13.5" customHeight="1">
      <c r="A500" s="225"/>
      <c r="B500" s="225"/>
      <c r="C500" s="225"/>
      <c r="D500" s="225"/>
      <c r="E500" s="225"/>
      <c r="F500" s="44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  <c r="AA500" s="225"/>
      <c r="AB500" s="225"/>
      <c r="AC500" s="225"/>
      <c r="AD500" s="225"/>
      <c r="AE500" s="225"/>
      <c r="AF500" s="225"/>
      <c r="AG500" s="225"/>
      <c r="AH500" s="225"/>
      <c r="AI500" s="225"/>
      <c r="AJ500" s="225"/>
      <c r="AK500" s="323"/>
      <c r="AL500" s="225"/>
    </row>
    <row r="501" ht="13.5" customHeight="1">
      <c r="A501" s="225"/>
      <c r="B501" s="225"/>
      <c r="C501" s="225"/>
      <c r="D501" s="225"/>
      <c r="E501" s="225"/>
      <c r="F501" s="44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  <c r="AA501" s="225"/>
      <c r="AB501" s="225"/>
      <c r="AC501" s="225"/>
      <c r="AD501" s="225"/>
      <c r="AE501" s="225"/>
      <c r="AF501" s="225"/>
      <c r="AG501" s="225"/>
      <c r="AH501" s="225"/>
      <c r="AI501" s="225"/>
      <c r="AJ501" s="225"/>
      <c r="AK501" s="323"/>
      <c r="AL501" s="225"/>
    </row>
    <row r="502" ht="13.5" customHeight="1">
      <c r="A502" s="225"/>
      <c r="B502" s="225"/>
      <c r="C502" s="225"/>
      <c r="D502" s="225"/>
      <c r="E502" s="225"/>
      <c r="F502" s="44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  <c r="AA502" s="225"/>
      <c r="AB502" s="225"/>
      <c r="AC502" s="225"/>
      <c r="AD502" s="225"/>
      <c r="AE502" s="225"/>
      <c r="AF502" s="225"/>
      <c r="AG502" s="225"/>
      <c r="AH502" s="225"/>
      <c r="AI502" s="225"/>
      <c r="AJ502" s="225"/>
      <c r="AK502" s="323"/>
      <c r="AL502" s="225"/>
    </row>
    <row r="503" ht="13.5" customHeight="1">
      <c r="A503" s="225"/>
      <c r="B503" s="225"/>
      <c r="C503" s="225"/>
      <c r="D503" s="225"/>
      <c r="E503" s="225"/>
      <c r="F503" s="44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  <c r="AA503" s="225"/>
      <c r="AB503" s="225"/>
      <c r="AC503" s="225"/>
      <c r="AD503" s="225"/>
      <c r="AE503" s="225"/>
      <c r="AF503" s="225"/>
      <c r="AG503" s="225"/>
      <c r="AH503" s="225"/>
      <c r="AI503" s="225"/>
      <c r="AJ503" s="225"/>
      <c r="AK503" s="323"/>
      <c r="AL503" s="225"/>
    </row>
    <row r="504" ht="13.5" customHeight="1">
      <c r="A504" s="225"/>
      <c r="B504" s="225"/>
      <c r="C504" s="225"/>
      <c r="D504" s="225"/>
      <c r="E504" s="225"/>
      <c r="F504" s="44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5"/>
      <c r="AH504" s="225"/>
      <c r="AI504" s="225"/>
      <c r="AJ504" s="225"/>
      <c r="AK504" s="323"/>
      <c r="AL504" s="225"/>
    </row>
    <row r="505" ht="13.5" customHeight="1">
      <c r="A505" s="225"/>
      <c r="B505" s="225"/>
      <c r="C505" s="225"/>
      <c r="D505" s="225"/>
      <c r="E505" s="225"/>
      <c r="F505" s="44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25"/>
      <c r="AG505" s="225"/>
      <c r="AH505" s="225"/>
      <c r="AI505" s="225"/>
      <c r="AJ505" s="225"/>
      <c r="AK505" s="323"/>
      <c r="AL505" s="225"/>
    </row>
    <row r="506" ht="13.5" customHeight="1">
      <c r="A506" s="225"/>
      <c r="B506" s="225"/>
      <c r="C506" s="225"/>
      <c r="D506" s="225"/>
      <c r="E506" s="225"/>
      <c r="F506" s="44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5"/>
      <c r="AH506" s="225"/>
      <c r="AI506" s="225"/>
      <c r="AJ506" s="225"/>
      <c r="AK506" s="323"/>
      <c r="AL506" s="225"/>
    </row>
    <row r="507" ht="13.5" customHeight="1">
      <c r="A507" s="225"/>
      <c r="B507" s="225"/>
      <c r="C507" s="225"/>
      <c r="D507" s="225"/>
      <c r="E507" s="225"/>
      <c r="F507" s="44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  <c r="AA507" s="225"/>
      <c r="AB507" s="225"/>
      <c r="AC507" s="225"/>
      <c r="AD507" s="225"/>
      <c r="AE507" s="225"/>
      <c r="AF507" s="225"/>
      <c r="AG507" s="225"/>
      <c r="AH507" s="225"/>
      <c r="AI507" s="225"/>
      <c r="AJ507" s="225"/>
      <c r="AK507" s="323"/>
      <c r="AL507" s="225"/>
    </row>
    <row r="508" ht="13.5" customHeight="1">
      <c r="A508" s="225"/>
      <c r="B508" s="225"/>
      <c r="C508" s="225"/>
      <c r="D508" s="225"/>
      <c r="E508" s="225"/>
      <c r="F508" s="44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  <c r="AA508" s="225"/>
      <c r="AB508" s="225"/>
      <c r="AC508" s="225"/>
      <c r="AD508" s="225"/>
      <c r="AE508" s="225"/>
      <c r="AF508" s="225"/>
      <c r="AG508" s="225"/>
      <c r="AH508" s="225"/>
      <c r="AI508" s="225"/>
      <c r="AJ508" s="225"/>
      <c r="AK508" s="323"/>
      <c r="AL508" s="225"/>
    </row>
    <row r="509" ht="13.5" customHeight="1">
      <c r="A509" s="225"/>
      <c r="B509" s="225"/>
      <c r="C509" s="225"/>
      <c r="D509" s="225"/>
      <c r="E509" s="225"/>
      <c r="F509" s="44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  <c r="AA509" s="225"/>
      <c r="AB509" s="225"/>
      <c r="AC509" s="225"/>
      <c r="AD509" s="225"/>
      <c r="AE509" s="225"/>
      <c r="AF509" s="225"/>
      <c r="AG509" s="225"/>
      <c r="AH509" s="225"/>
      <c r="AI509" s="225"/>
      <c r="AJ509" s="225"/>
      <c r="AK509" s="323"/>
      <c r="AL509" s="225"/>
    </row>
    <row r="510" ht="13.5" customHeight="1">
      <c r="A510" s="225"/>
      <c r="B510" s="225"/>
      <c r="C510" s="225"/>
      <c r="D510" s="225"/>
      <c r="E510" s="225"/>
      <c r="F510" s="44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  <c r="AA510" s="225"/>
      <c r="AB510" s="225"/>
      <c r="AC510" s="225"/>
      <c r="AD510" s="225"/>
      <c r="AE510" s="225"/>
      <c r="AF510" s="225"/>
      <c r="AG510" s="225"/>
      <c r="AH510" s="225"/>
      <c r="AI510" s="225"/>
      <c r="AJ510" s="225"/>
      <c r="AK510" s="323"/>
      <c r="AL510" s="225"/>
    </row>
    <row r="511" ht="13.5" customHeight="1">
      <c r="A511" s="225"/>
      <c r="B511" s="225"/>
      <c r="C511" s="225"/>
      <c r="D511" s="225"/>
      <c r="E511" s="225"/>
      <c r="F511" s="44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  <c r="AA511" s="225"/>
      <c r="AB511" s="225"/>
      <c r="AC511" s="225"/>
      <c r="AD511" s="225"/>
      <c r="AE511" s="225"/>
      <c r="AF511" s="225"/>
      <c r="AG511" s="225"/>
      <c r="AH511" s="225"/>
      <c r="AI511" s="225"/>
      <c r="AJ511" s="225"/>
      <c r="AK511" s="323"/>
      <c r="AL511" s="225"/>
    </row>
    <row r="512" ht="13.5" customHeight="1">
      <c r="A512" s="225"/>
      <c r="B512" s="225"/>
      <c r="C512" s="225"/>
      <c r="D512" s="225"/>
      <c r="E512" s="225"/>
      <c r="F512" s="44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  <c r="AA512" s="225"/>
      <c r="AB512" s="225"/>
      <c r="AC512" s="225"/>
      <c r="AD512" s="225"/>
      <c r="AE512" s="225"/>
      <c r="AF512" s="225"/>
      <c r="AG512" s="225"/>
      <c r="AH512" s="225"/>
      <c r="AI512" s="225"/>
      <c r="AJ512" s="225"/>
      <c r="AK512" s="323"/>
      <c r="AL512" s="225"/>
    </row>
    <row r="513" ht="13.5" customHeight="1">
      <c r="A513" s="225"/>
      <c r="B513" s="225"/>
      <c r="C513" s="225"/>
      <c r="D513" s="225"/>
      <c r="E513" s="225"/>
      <c r="F513" s="44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  <c r="AA513" s="225"/>
      <c r="AB513" s="225"/>
      <c r="AC513" s="225"/>
      <c r="AD513" s="225"/>
      <c r="AE513" s="225"/>
      <c r="AF513" s="225"/>
      <c r="AG513" s="225"/>
      <c r="AH513" s="225"/>
      <c r="AI513" s="225"/>
      <c r="AJ513" s="225"/>
      <c r="AK513" s="323"/>
      <c r="AL513" s="225"/>
    </row>
    <row r="514" ht="13.5" customHeight="1">
      <c r="A514" s="225"/>
      <c r="B514" s="225"/>
      <c r="C514" s="225"/>
      <c r="D514" s="225"/>
      <c r="E514" s="225"/>
      <c r="F514" s="44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  <c r="AA514" s="225"/>
      <c r="AB514" s="225"/>
      <c r="AC514" s="225"/>
      <c r="AD514" s="225"/>
      <c r="AE514" s="225"/>
      <c r="AF514" s="225"/>
      <c r="AG514" s="225"/>
      <c r="AH514" s="225"/>
      <c r="AI514" s="225"/>
      <c r="AJ514" s="225"/>
      <c r="AK514" s="323"/>
      <c r="AL514" s="225"/>
    </row>
    <row r="515" ht="13.5" customHeight="1">
      <c r="A515" s="225"/>
      <c r="B515" s="225"/>
      <c r="C515" s="225"/>
      <c r="D515" s="225"/>
      <c r="E515" s="225"/>
      <c r="F515" s="44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  <c r="AA515" s="225"/>
      <c r="AB515" s="225"/>
      <c r="AC515" s="225"/>
      <c r="AD515" s="225"/>
      <c r="AE515" s="225"/>
      <c r="AF515" s="225"/>
      <c r="AG515" s="225"/>
      <c r="AH515" s="225"/>
      <c r="AI515" s="225"/>
      <c r="AJ515" s="225"/>
      <c r="AK515" s="323"/>
      <c r="AL515" s="225"/>
    </row>
    <row r="516" ht="13.5" customHeight="1">
      <c r="A516" s="225"/>
      <c r="B516" s="225"/>
      <c r="C516" s="225"/>
      <c r="D516" s="225"/>
      <c r="E516" s="225"/>
      <c r="F516" s="44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  <c r="AA516" s="225"/>
      <c r="AB516" s="225"/>
      <c r="AC516" s="225"/>
      <c r="AD516" s="225"/>
      <c r="AE516" s="225"/>
      <c r="AF516" s="225"/>
      <c r="AG516" s="225"/>
      <c r="AH516" s="225"/>
      <c r="AI516" s="225"/>
      <c r="AJ516" s="225"/>
      <c r="AK516" s="323"/>
      <c r="AL516" s="225"/>
    </row>
    <row r="517" ht="13.5" customHeight="1">
      <c r="A517" s="225"/>
      <c r="B517" s="225"/>
      <c r="C517" s="225"/>
      <c r="D517" s="225"/>
      <c r="E517" s="225"/>
      <c r="F517" s="44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  <c r="AA517" s="225"/>
      <c r="AB517" s="225"/>
      <c r="AC517" s="225"/>
      <c r="AD517" s="225"/>
      <c r="AE517" s="225"/>
      <c r="AF517" s="225"/>
      <c r="AG517" s="225"/>
      <c r="AH517" s="225"/>
      <c r="AI517" s="225"/>
      <c r="AJ517" s="225"/>
      <c r="AK517" s="323"/>
      <c r="AL517" s="225"/>
    </row>
    <row r="518" ht="13.5" customHeight="1">
      <c r="A518" s="225"/>
      <c r="B518" s="225"/>
      <c r="C518" s="225"/>
      <c r="D518" s="225"/>
      <c r="E518" s="225"/>
      <c r="F518" s="44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  <c r="AA518" s="225"/>
      <c r="AB518" s="225"/>
      <c r="AC518" s="225"/>
      <c r="AD518" s="225"/>
      <c r="AE518" s="225"/>
      <c r="AF518" s="225"/>
      <c r="AG518" s="225"/>
      <c r="AH518" s="225"/>
      <c r="AI518" s="225"/>
      <c r="AJ518" s="225"/>
      <c r="AK518" s="323"/>
      <c r="AL518" s="225"/>
    </row>
    <row r="519" ht="13.5" customHeight="1">
      <c r="A519" s="225"/>
      <c r="B519" s="225"/>
      <c r="C519" s="225"/>
      <c r="D519" s="225"/>
      <c r="E519" s="225"/>
      <c r="F519" s="44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  <c r="AA519" s="225"/>
      <c r="AB519" s="225"/>
      <c r="AC519" s="225"/>
      <c r="AD519" s="225"/>
      <c r="AE519" s="225"/>
      <c r="AF519" s="225"/>
      <c r="AG519" s="225"/>
      <c r="AH519" s="225"/>
      <c r="AI519" s="225"/>
      <c r="AJ519" s="225"/>
      <c r="AK519" s="323"/>
      <c r="AL519" s="225"/>
    </row>
    <row r="520" ht="13.5" customHeight="1">
      <c r="A520" s="225"/>
      <c r="B520" s="225"/>
      <c r="C520" s="225"/>
      <c r="D520" s="225"/>
      <c r="E520" s="225"/>
      <c r="F520" s="44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  <c r="AA520" s="225"/>
      <c r="AB520" s="225"/>
      <c r="AC520" s="225"/>
      <c r="AD520" s="225"/>
      <c r="AE520" s="225"/>
      <c r="AF520" s="225"/>
      <c r="AG520" s="225"/>
      <c r="AH520" s="225"/>
      <c r="AI520" s="225"/>
      <c r="AJ520" s="225"/>
      <c r="AK520" s="323"/>
      <c r="AL520" s="225"/>
    </row>
    <row r="521" ht="13.5" customHeight="1">
      <c r="A521" s="225"/>
      <c r="B521" s="225"/>
      <c r="C521" s="225"/>
      <c r="D521" s="225"/>
      <c r="E521" s="225"/>
      <c r="F521" s="44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  <c r="AA521" s="225"/>
      <c r="AB521" s="225"/>
      <c r="AC521" s="225"/>
      <c r="AD521" s="225"/>
      <c r="AE521" s="225"/>
      <c r="AF521" s="225"/>
      <c r="AG521" s="225"/>
      <c r="AH521" s="225"/>
      <c r="AI521" s="225"/>
      <c r="AJ521" s="225"/>
      <c r="AK521" s="323"/>
      <c r="AL521" s="225"/>
    </row>
    <row r="522" ht="13.5" customHeight="1">
      <c r="A522" s="225"/>
      <c r="B522" s="225"/>
      <c r="C522" s="225"/>
      <c r="D522" s="225"/>
      <c r="E522" s="225"/>
      <c r="F522" s="44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  <c r="AA522" s="225"/>
      <c r="AB522" s="225"/>
      <c r="AC522" s="225"/>
      <c r="AD522" s="225"/>
      <c r="AE522" s="225"/>
      <c r="AF522" s="225"/>
      <c r="AG522" s="225"/>
      <c r="AH522" s="225"/>
      <c r="AI522" s="225"/>
      <c r="AJ522" s="225"/>
      <c r="AK522" s="323"/>
      <c r="AL522" s="225"/>
    </row>
    <row r="523" ht="13.5" customHeight="1">
      <c r="A523" s="225"/>
      <c r="B523" s="225"/>
      <c r="C523" s="225"/>
      <c r="D523" s="225"/>
      <c r="E523" s="225"/>
      <c r="F523" s="44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  <c r="AA523" s="225"/>
      <c r="AB523" s="225"/>
      <c r="AC523" s="225"/>
      <c r="AD523" s="225"/>
      <c r="AE523" s="225"/>
      <c r="AF523" s="225"/>
      <c r="AG523" s="225"/>
      <c r="AH523" s="225"/>
      <c r="AI523" s="225"/>
      <c r="AJ523" s="225"/>
      <c r="AK523" s="323"/>
      <c r="AL523" s="225"/>
    </row>
    <row r="524" ht="13.5" customHeight="1">
      <c r="A524" s="225"/>
      <c r="B524" s="225"/>
      <c r="C524" s="225"/>
      <c r="D524" s="225"/>
      <c r="E524" s="225"/>
      <c r="F524" s="44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  <c r="AA524" s="225"/>
      <c r="AB524" s="225"/>
      <c r="AC524" s="225"/>
      <c r="AD524" s="225"/>
      <c r="AE524" s="225"/>
      <c r="AF524" s="225"/>
      <c r="AG524" s="225"/>
      <c r="AH524" s="225"/>
      <c r="AI524" s="225"/>
      <c r="AJ524" s="225"/>
      <c r="AK524" s="323"/>
      <c r="AL524" s="225"/>
    </row>
    <row r="525" ht="13.5" customHeight="1">
      <c r="A525" s="225"/>
      <c r="B525" s="225"/>
      <c r="C525" s="225"/>
      <c r="D525" s="225"/>
      <c r="E525" s="225"/>
      <c r="F525" s="44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  <c r="AA525" s="225"/>
      <c r="AB525" s="225"/>
      <c r="AC525" s="225"/>
      <c r="AD525" s="225"/>
      <c r="AE525" s="225"/>
      <c r="AF525" s="225"/>
      <c r="AG525" s="225"/>
      <c r="AH525" s="225"/>
      <c r="AI525" s="225"/>
      <c r="AJ525" s="225"/>
      <c r="AK525" s="323"/>
      <c r="AL525" s="225"/>
    </row>
    <row r="526" ht="13.5" customHeight="1">
      <c r="A526" s="225"/>
      <c r="B526" s="225"/>
      <c r="C526" s="225"/>
      <c r="D526" s="225"/>
      <c r="E526" s="225"/>
      <c r="F526" s="44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  <c r="AA526" s="225"/>
      <c r="AB526" s="225"/>
      <c r="AC526" s="225"/>
      <c r="AD526" s="225"/>
      <c r="AE526" s="225"/>
      <c r="AF526" s="225"/>
      <c r="AG526" s="225"/>
      <c r="AH526" s="225"/>
      <c r="AI526" s="225"/>
      <c r="AJ526" s="225"/>
      <c r="AK526" s="323"/>
      <c r="AL526" s="225"/>
    </row>
    <row r="527" ht="13.5" customHeight="1">
      <c r="A527" s="225"/>
      <c r="B527" s="225"/>
      <c r="C527" s="225"/>
      <c r="D527" s="225"/>
      <c r="E527" s="225"/>
      <c r="F527" s="44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  <c r="AA527" s="225"/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323"/>
      <c r="AL527" s="225"/>
    </row>
    <row r="528" ht="13.5" customHeight="1">
      <c r="A528" s="225"/>
      <c r="B528" s="225"/>
      <c r="C528" s="225"/>
      <c r="D528" s="225"/>
      <c r="E528" s="225"/>
      <c r="F528" s="44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  <c r="AA528" s="225"/>
      <c r="AB528" s="225"/>
      <c r="AC528" s="225"/>
      <c r="AD528" s="225"/>
      <c r="AE528" s="225"/>
      <c r="AF528" s="225"/>
      <c r="AG528" s="225"/>
      <c r="AH528" s="225"/>
      <c r="AI528" s="225"/>
      <c r="AJ528" s="225"/>
      <c r="AK528" s="323"/>
      <c r="AL528" s="225"/>
    </row>
    <row r="529" ht="13.5" customHeight="1">
      <c r="A529" s="225"/>
      <c r="B529" s="225"/>
      <c r="C529" s="225"/>
      <c r="D529" s="225"/>
      <c r="E529" s="225"/>
      <c r="F529" s="44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  <c r="AA529" s="225"/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323"/>
      <c r="AL529" s="225"/>
    </row>
    <row r="530" ht="13.5" customHeight="1">
      <c r="A530" s="225"/>
      <c r="B530" s="225"/>
      <c r="C530" s="225"/>
      <c r="D530" s="225"/>
      <c r="E530" s="225"/>
      <c r="F530" s="44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  <c r="AA530" s="225"/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323"/>
      <c r="AL530" s="225"/>
    </row>
    <row r="531" ht="13.5" customHeight="1">
      <c r="A531" s="225"/>
      <c r="B531" s="225"/>
      <c r="C531" s="225"/>
      <c r="D531" s="225"/>
      <c r="E531" s="225"/>
      <c r="F531" s="44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  <c r="AA531" s="225"/>
      <c r="AB531" s="225"/>
      <c r="AC531" s="225"/>
      <c r="AD531" s="225"/>
      <c r="AE531" s="225"/>
      <c r="AF531" s="225"/>
      <c r="AG531" s="225"/>
      <c r="AH531" s="225"/>
      <c r="AI531" s="225"/>
      <c r="AJ531" s="225"/>
      <c r="AK531" s="323"/>
      <c r="AL531" s="225"/>
    </row>
    <row r="532" ht="13.5" customHeight="1">
      <c r="A532" s="225"/>
      <c r="B532" s="225"/>
      <c r="C532" s="225"/>
      <c r="D532" s="225"/>
      <c r="E532" s="225"/>
      <c r="F532" s="44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  <c r="AA532" s="225"/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323"/>
      <c r="AL532" s="225"/>
    </row>
    <row r="533" ht="13.5" customHeight="1">
      <c r="A533" s="225"/>
      <c r="B533" s="225"/>
      <c r="C533" s="225"/>
      <c r="D533" s="225"/>
      <c r="E533" s="225"/>
      <c r="F533" s="44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  <c r="AA533" s="225"/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323"/>
      <c r="AL533" s="225"/>
    </row>
    <row r="534" ht="13.5" customHeight="1">
      <c r="A534" s="225"/>
      <c r="B534" s="225"/>
      <c r="C534" s="225"/>
      <c r="D534" s="225"/>
      <c r="E534" s="225"/>
      <c r="F534" s="44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  <c r="AA534" s="225"/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323"/>
      <c r="AL534" s="225"/>
    </row>
    <row r="535" ht="13.5" customHeight="1">
      <c r="A535" s="225"/>
      <c r="B535" s="225"/>
      <c r="C535" s="225"/>
      <c r="D535" s="225"/>
      <c r="E535" s="225"/>
      <c r="F535" s="44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  <c r="AA535" s="225"/>
      <c r="AB535" s="225"/>
      <c r="AC535" s="225"/>
      <c r="AD535" s="225"/>
      <c r="AE535" s="225"/>
      <c r="AF535" s="225"/>
      <c r="AG535" s="225"/>
      <c r="AH535" s="225"/>
      <c r="AI535" s="225"/>
      <c r="AJ535" s="225"/>
      <c r="AK535" s="323"/>
      <c r="AL535" s="225"/>
    </row>
    <row r="536" ht="13.5" customHeight="1">
      <c r="A536" s="225"/>
      <c r="B536" s="225"/>
      <c r="C536" s="225"/>
      <c r="D536" s="225"/>
      <c r="E536" s="225"/>
      <c r="F536" s="44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  <c r="AA536" s="225"/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323"/>
      <c r="AL536" s="225"/>
    </row>
    <row r="537" ht="13.5" customHeight="1">
      <c r="A537" s="225"/>
      <c r="B537" s="225"/>
      <c r="C537" s="225"/>
      <c r="D537" s="225"/>
      <c r="E537" s="225"/>
      <c r="F537" s="44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  <c r="AA537" s="225"/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323"/>
      <c r="AL537" s="225"/>
    </row>
    <row r="538" ht="13.5" customHeight="1">
      <c r="A538" s="225"/>
      <c r="B538" s="225"/>
      <c r="C538" s="225"/>
      <c r="D538" s="225"/>
      <c r="E538" s="225"/>
      <c r="F538" s="44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  <c r="AA538" s="225"/>
      <c r="AB538" s="225"/>
      <c r="AC538" s="225"/>
      <c r="AD538" s="225"/>
      <c r="AE538" s="225"/>
      <c r="AF538" s="225"/>
      <c r="AG538" s="225"/>
      <c r="AH538" s="225"/>
      <c r="AI538" s="225"/>
      <c r="AJ538" s="225"/>
      <c r="AK538" s="323"/>
      <c r="AL538" s="225"/>
    </row>
    <row r="539" ht="13.5" customHeight="1">
      <c r="A539" s="225"/>
      <c r="B539" s="225"/>
      <c r="C539" s="225"/>
      <c r="D539" s="225"/>
      <c r="E539" s="225"/>
      <c r="F539" s="44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  <c r="AA539" s="225"/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323"/>
      <c r="AL539" s="225"/>
    </row>
    <row r="540" ht="13.5" customHeight="1">
      <c r="A540" s="225"/>
      <c r="B540" s="225"/>
      <c r="C540" s="225"/>
      <c r="D540" s="225"/>
      <c r="E540" s="225"/>
      <c r="F540" s="44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  <c r="AA540" s="225"/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323"/>
      <c r="AL540" s="225"/>
    </row>
    <row r="541" ht="13.5" customHeight="1">
      <c r="A541" s="225"/>
      <c r="B541" s="225"/>
      <c r="C541" s="225"/>
      <c r="D541" s="225"/>
      <c r="E541" s="225"/>
      <c r="F541" s="44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  <c r="AA541" s="225"/>
      <c r="AB541" s="225"/>
      <c r="AC541" s="225"/>
      <c r="AD541" s="225"/>
      <c r="AE541" s="225"/>
      <c r="AF541" s="225"/>
      <c r="AG541" s="225"/>
      <c r="AH541" s="225"/>
      <c r="AI541" s="225"/>
      <c r="AJ541" s="225"/>
      <c r="AK541" s="323"/>
      <c r="AL541" s="225"/>
    </row>
    <row r="542" ht="13.5" customHeight="1">
      <c r="A542" s="225"/>
      <c r="B542" s="225"/>
      <c r="C542" s="225"/>
      <c r="D542" s="225"/>
      <c r="E542" s="225"/>
      <c r="F542" s="44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  <c r="AA542" s="225"/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323"/>
      <c r="AL542" s="225"/>
    </row>
    <row r="543" ht="13.5" customHeight="1">
      <c r="A543" s="225"/>
      <c r="B543" s="225"/>
      <c r="C543" s="225"/>
      <c r="D543" s="225"/>
      <c r="E543" s="225"/>
      <c r="F543" s="44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  <c r="AA543" s="225"/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323"/>
      <c r="AL543" s="225"/>
    </row>
    <row r="544" ht="13.5" customHeight="1">
      <c r="A544" s="225"/>
      <c r="B544" s="225"/>
      <c r="C544" s="225"/>
      <c r="D544" s="225"/>
      <c r="E544" s="225"/>
      <c r="F544" s="44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  <c r="AA544" s="225"/>
      <c r="AB544" s="225"/>
      <c r="AC544" s="225"/>
      <c r="AD544" s="225"/>
      <c r="AE544" s="225"/>
      <c r="AF544" s="225"/>
      <c r="AG544" s="225"/>
      <c r="AH544" s="225"/>
      <c r="AI544" s="225"/>
      <c r="AJ544" s="225"/>
      <c r="AK544" s="323"/>
      <c r="AL544" s="225"/>
    </row>
    <row r="545" ht="13.5" customHeight="1">
      <c r="A545" s="225"/>
      <c r="B545" s="225"/>
      <c r="C545" s="225"/>
      <c r="D545" s="225"/>
      <c r="E545" s="225"/>
      <c r="F545" s="44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  <c r="AA545" s="225"/>
      <c r="AB545" s="225"/>
      <c r="AC545" s="225"/>
      <c r="AD545" s="225"/>
      <c r="AE545" s="225"/>
      <c r="AF545" s="225"/>
      <c r="AG545" s="225"/>
      <c r="AH545" s="225"/>
      <c r="AI545" s="225"/>
      <c r="AJ545" s="225"/>
      <c r="AK545" s="323"/>
      <c r="AL545" s="225"/>
    </row>
    <row r="546" ht="13.5" customHeight="1">
      <c r="A546" s="225"/>
      <c r="B546" s="225"/>
      <c r="C546" s="225"/>
      <c r="D546" s="225"/>
      <c r="E546" s="225"/>
      <c r="F546" s="44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  <c r="AA546" s="225"/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323"/>
      <c r="AL546" s="225"/>
    </row>
    <row r="547" ht="13.5" customHeight="1">
      <c r="A547" s="225"/>
      <c r="B547" s="225"/>
      <c r="C547" s="225"/>
      <c r="D547" s="225"/>
      <c r="E547" s="225"/>
      <c r="F547" s="44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  <c r="AA547" s="225"/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323"/>
      <c r="AL547" s="225"/>
    </row>
    <row r="548" ht="13.5" customHeight="1">
      <c r="A548" s="225"/>
      <c r="B548" s="225"/>
      <c r="C548" s="225"/>
      <c r="D548" s="225"/>
      <c r="E548" s="225"/>
      <c r="F548" s="44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  <c r="AA548" s="225"/>
      <c r="AB548" s="225"/>
      <c r="AC548" s="225"/>
      <c r="AD548" s="225"/>
      <c r="AE548" s="225"/>
      <c r="AF548" s="225"/>
      <c r="AG548" s="225"/>
      <c r="AH548" s="225"/>
      <c r="AI548" s="225"/>
      <c r="AJ548" s="225"/>
      <c r="AK548" s="323"/>
      <c r="AL548" s="225"/>
    </row>
    <row r="549" ht="13.5" customHeight="1">
      <c r="A549" s="225"/>
      <c r="B549" s="225"/>
      <c r="C549" s="225"/>
      <c r="D549" s="225"/>
      <c r="E549" s="225"/>
      <c r="F549" s="44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  <c r="AA549" s="225"/>
      <c r="AB549" s="225"/>
      <c r="AC549" s="225"/>
      <c r="AD549" s="225"/>
      <c r="AE549" s="225"/>
      <c r="AF549" s="225"/>
      <c r="AG549" s="225"/>
      <c r="AH549" s="225"/>
      <c r="AI549" s="225"/>
      <c r="AJ549" s="225"/>
      <c r="AK549" s="323"/>
      <c r="AL549" s="225"/>
    </row>
    <row r="550" ht="13.5" customHeight="1">
      <c r="A550" s="225"/>
      <c r="B550" s="225"/>
      <c r="C550" s="225"/>
      <c r="D550" s="225"/>
      <c r="E550" s="225"/>
      <c r="F550" s="44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  <c r="AA550" s="225"/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323"/>
      <c r="AL550" s="225"/>
    </row>
    <row r="551" ht="13.5" customHeight="1">
      <c r="A551" s="225"/>
      <c r="B551" s="225"/>
      <c r="C551" s="225"/>
      <c r="D551" s="225"/>
      <c r="E551" s="225"/>
      <c r="F551" s="44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  <c r="AA551" s="225"/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323"/>
      <c r="AL551" s="225"/>
    </row>
    <row r="552" ht="13.5" customHeight="1">
      <c r="A552" s="225"/>
      <c r="B552" s="225"/>
      <c r="C552" s="225"/>
      <c r="D552" s="225"/>
      <c r="E552" s="225"/>
      <c r="F552" s="44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  <c r="AA552" s="225"/>
      <c r="AB552" s="225"/>
      <c r="AC552" s="225"/>
      <c r="AD552" s="225"/>
      <c r="AE552" s="225"/>
      <c r="AF552" s="225"/>
      <c r="AG552" s="225"/>
      <c r="AH552" s="225"/>
      <c r="AI552" s="225"/>
      <c r="AJ552" s="225"/>
      <c r="AK552" s="323"/>
      <c r="AL552" s="225"/>
    </row>
    <row r="553" ht="13.5" customHeight="1">
      <c r="A553" s="225"/>
      <c r="B553" s="225"/>
      <c r="C553" s="225"/>
      <c r="D553" s="225"/>
      <c r="E553" s="225"/>
      <c r="F553" s="44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  <c r="AA553" s="225"/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323"/>
      <c r="AL553" s="225"/>
    </row>
    <row r="554" ht="13.5" customHeight="1">
      <c r="A554" s="225"/>
      <c r="B554" s="225"/>
      <c r="C554" s="225"/>
      <c r="D554" s="225"/>
      <c r="E554" s="225"/>
      <c r="F554" s="44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  <c r="AA554" s="225"/>
      <c r="AB554" s="225"/>
      <c r="AC554" s="225"/>
      <c r="AD554" s="225"/>
      <c r="AE554" s="225"/>
      <c r="AF554" s="225"/>
      <c r="AG554" s="225"/>
      <c r="AH554" s="225"/>
      <c r="AI554" s="225"/>
      <c r="AJ554" s="225"/>
      <c r="AK554" s="323"/>
      <c r="AL554" s="225"/>
    </row>
    <row r="555" ht="13.5" customHeight="1">
      <c r="A555" s="225"/>
      <c r="B555" s="225"/>
      <c r="C555" s="225"/>
      <c r="D555" s="225"/>
      <c r="E555" s="225"/>
      <c r="F555" s="44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  <c r="AA555" s="225"/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323"/>
      <c r="AL555" s="225"/>
    </row>
    <row r="556" ht="13.5" customHeight="1">
      <c r="A556" s="225"/>
      <c r="B556" s="225"/>
      <c r="C556" s="225"/>
      <c r="D556" s="225"/>
      <c r="E556" s="225"/>
      <c r="F556" s="44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  <c r="AA556" s="225"/>
      <c r="AB556" s="225"/>
      <c r="AC556" s="225"/>
      <c r="AD556" s="225"/>
      <c r="AE556" s="225"/>
      <c r="AF556" s="225"/>
      <c r="AG556" s="225"/>
      <c r="AH556" s="225"/>
      <c r="AI556" s="225"/>
      <c r="AJ556" s="225"/>
      <c r="AK556" s="323"/>
      <c r="AL556" s="225"/>
    </row>
    <row r="557" ht="13.5" customHeight="1">
      <c r="A557" s="225"/>
      <c r="B557" s="225"/>
      <c r="C557" s="225"/>
      <c r="D557" s="225"/>
      <c r="E557" s="225"/>
      <c r="F557" s="44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  <c r="AA557" s="225"/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323"/>
      <c r="AL557" s="225"/>
    </row>
    <row r="558" ht="13.5" customHeight="1">
      <c r="A558" s="225"/>
      <c r="B558" s="225"/>
      <c r="C558" s="225"/>
      <c r="D558" s="225"/>
      <c r="E558" s="225"/>
      <c r="F558" s="44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  <c r="AA558" s="225"/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323"/>
      <c r="AL558" s="225"/>
    </row>
    <row r="559" ht="13.5" customHeight="1">
      <c r="A559" s="225"/>
      <c r="B559" s="225"/>
      <c r="C559" s="225"/>
      <c r="D559" s="225"/>
      <c r="E559" s="225"/>
      <c r="F559" s="44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  <c r="AA559" s="225"/>
      <c r="AB559" s="225"/>
      <c r="AC559" s="225"/>
      <c r="AD559" s="225"/>
      <c r="AE559" s="225"/>
      <c r="AF559" s="225"/>
      <c r="AG559" s="225"/>
      <c r="AH559" s="225"/>
      <c r="AI559" s="225"/>
      <c r="AJ559" s="225"/>
      <c r="AK559" s="323"/>
      <c r="AL559" s="225"/>
    </row>
    <row r="560" ht="13.5" customHeight="1">
      <c r="A560" s="225"/>
      <c r="B560" s="225"/>
      <c r="C560" s="225"/>
      <c r="D560" s="225"/>
      <c r="E560" s="225"/>
      <c r="F560" s="44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  <c r="AA560" s="225"/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323"/>
      <c r="AL560" s="225"/>
    </row>
    <row r="561" ht="13.5" customHeight="1">
      <c r="A561" s="225"/>
      <c r="B561" s="225"/>
      <c r="C561" s="225"/>
      <c r="D561" s="225"/>
      <c r="E561" s="225"/>
      <c r="F561" s="44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  <c r="AA561" s="225"/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323"/>
      <c r="AL561" s="225"/>
    </row>
    <row r="562" ht="13.5" customHeight="1">
      <c r="A562" s="225"/>
      <c r="B562" s="225"/>
      <c r="C562" s="225"/>
      <c r="D562" s="225"/>
      <c r="E562" s="225"/>
      <c r="F562" s="44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  <c r="AA562" s="225"/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323"/>
      <c r="AL562" s="225"/>
    </row>
    <row r="563" ht="13.5" customHeight="1">
      <c r="A563" s="225"/>
      <c r="B563" s="225"/>
      <c r="C563" s="225"/>
      <c r="D563" s="225"/>
      <c r="E563" s="225"/>
      <c r="F563" s="44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  <c r="AA563" s="225"/>
      <c r="AB563" s="225"/>
      <c r="AC563" s="225"/>
      <c r="AD563" s="225"/>
      <c r="AE563" s="225"/>
      <c r="AF563" s="225"/>
      <c r="AG563" s="225"/>
      <c r="AH563" s="225"/>
      <c r="AI563" s="225"/>
      <c r="AJ563" s="225"/>
      <c r="AK563" s="323"/>
      <c r="AL563" s="225"/>
    </row>
    <row r="564" ht="13.5" customHeight="1">
      <c r="A564" s="225"/>
      <c r="B564" s="225"/>
      <c r="C564" s="225"/>
      <c r="D564" s="225"/>
      <c r="E564" s="225"/>
      <c r="F564" s="44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  <c r="AA564" s="225"/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323"/>
      <c r="AL564" s="225"/>
    </row>
    <row r="565" ht="13.5" customHeight="1">
      <c r="A565" s="225"/>
      <c r="B565" s="225"/>
      <c r="C565" s="225"/>
      <c r="D565" s="225"/>
      <c r="E565" s="225"/>
      <c r="F565" s="44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  <c r="AA565" s="225"/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323"/>
      <c r="AL565" s="225"/>
    </row>
    <row r="566" ht="13.5" customHeight="1">
      <c r="A566" s="225"/>
      <c r="B566" s="225"/>
      <c r="C566" s="225"/>
      <c r="D566" s="225"/>
      <c r="E566" s="225"/>
      <c r="F566" s="44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  <c r="AA566" s="225"/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323"/>
      <c r="AL566" s="225"/>
    </row>
    <row r="567" ht="13.5" customHeight="1">
      <c r="A567" s="225"/>
      <c r="B567" s="225"/>
      <c r="C567" s="225"/>
      <c r="D567" s="225"/>
      <c r="E567" s="225"/>
      <c r="F567" s="44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  <c r="AA567" s="225"/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323"/>
      <c r="AL567" s="225"/>
    </row>
    <row r="568" ht="13.5" customHeight="1">
      <c r="A568" s="225"/>
      <c r="B568" s="225"/>
      <c r="C568" s="225"/>
      <c r="D568" s="225"/>
      <c r="E568" s="225"/>
      <c r="F568" s="44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  <c r="AA568" s="225"/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323"/>
      <c r="AL568" s="225"/>
    </row>
    <row r="569" ht="13.5" customHeight="1">
      <c r="A569" s="225"/>
      <c r="B569" s="225"/>
      <c r="C569" s="225"/>
      <c r="D569" s="225"/>
      <c r="E569" s="225"/>
      <c r="F569" s="44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  <c r="AA569" s="225"/>
      <c r="AB569" s="225"/>
      <c r="AC569" s="225"/>
      <c r="AD569" s="225"/>
      <c r="AE569" s="225"/>
      <c r="AF569" s="225"/>
      <c r="AG569" s="225"/>
      <c r="AH569" s="225"/>
      <c r="AI569" s="225"/>
      <c r="AJ569" s="225"/>
      <c r="AK569" s="323"/>
      <c r="AL569" s="225"/>
    </row>
    <row r="570" ht="13.5" customHeight="1">
      <c r="A570" s="225"/>
      <c r="B570" s="225"/>
      <c r="C570" s="225"/>
      <c r="D570" s="225"/>
      <c r="E570" s="225"/>
      <c r="F570" s="44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  <c r="AA570" s="225"/>
      <c r="AB570" s="225"/>
      <c r="AC570" s="225"/>
      <c r="AD570" s="225"/>
      <c r="AE570" s="225"/>
      <c r="AF570" s="225"/>
      <c r="AG570" s="225"/>
      <c r="AH570" s="225"/>
      <c r="AI570" s="225"/>
      <c r="AJ570" s="225"/>
      <c r="AK570" s="323"/>
      <c r="AL570" s="225"/>
    </row>
    <row r="571" ht="13.5" customHeight="1">
      <c r="A571" s="225"/>
      <c r="B571" s="225"/>
      <c r="C571" s="225"/>
      <c r="D571" s="225"/>
      <c r="E571" s="225"/>
      <c r="F571" s="44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  <c r="AA571" s="225"/>
      <c r="AB571" s="225"/>
      <c r="AC571" s="225"/>
      <c r="AD571" s="225"/>
      <c r="AE571" s="225"/>
      <c r="AF571" s="225"/>
      <c r="AG571" s="225"/>
      <c r="AH571" s="225"/>
      <c r="AI571" s="225"/>
      <c r="AJ571" s="225"/>
      <c r="AK571" s="323"/>
      <c r="AL571" s="225"/>
    </row>
    <row r="572" ht="13.5" customHeight="1">
      <c r="A572" s="225"/>
      <c r="B572" s="225"/>
      <c r="C572" s="225"/>
      <c r="D572" s="225"/>
      <c r="E572" s="225"/>
      <c r="F572" s="44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  <c r="AA572" s="225"/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323"/>
      <c r="AL572" s="225"/>
    </row>
    <row r="573" ht="13.5" customHeight="1">
      <c r="A573" s="225"/>
      <c r="B573" s="225"/>
      <c r="C573" s="225"/>
      <c r="D573" s="225"/>
      <c r="E573" s="225"/>
      <c r="F573" s="44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  <c r="AA573" s="225"/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323"/>
      <c r="AL573" s="225"/>
    </row>
    <row r="574" ht="13.5" customHeight="1">
      <c r="A574" s="225"/>
      <c r="B574" s="225"/>
      <c r="C574" s="225"/>
      <c r="D574" s="225"/>
      <c r="E574" s="225"/>
      <c r="F574" s="44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  <c r="AA574" s="225"/>
      <c r="AB574" s="225"/>
      <c r="AC574" s="225"/>
      <c r="AD574" s="225"/>
      <c r="AE574" s="225"/>
      <c r="AF574" s="225"/>
      <c r="AG574" s="225"/>
      <c r="AH574" s="225"/>
      <c r="AI574" s="225"/>
      <c r="AJ574" s="225"/>
      <c r="AK574" s="323"/>
      <c r="AL574" s="225"/>
    </row>
    <row r="575" ht="13.5" customHeight="1">
      <c r="A575" s="225"/>
      <c r="B575" s="225"/>
      <c r="C575" s="225"/>
      <c r="D575" s="225"/>
      <c r="E575" s="225"/>
      <c r="F575" s="44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  <c r="AA575" s="225"/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323"/>
      <c r="AL575" s="225"/>
    </row>
    <row r="576" ht="13.5" customHeight="1">
      <c r="A576" s="225"/>
      <c r="B576" s="225"/>
      <c r="C576" s="225"/>
      <c r="D576" s="225"/>
      <c r="E576" s="225"/>
      <c r="F576" s="44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  <c r="AA576" s="225"/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323"/>
      <c r="AL576" s="225"/>
    </row>
    <row r="577" ht="13.5" customHeight="1">
      <c r="A577" s="225"/>
      <c r="B577" s="225"/>
      <c r="C577" s="225"/>
      <c r="D577" s="225"/>
      <c r="E577" s="225"/>
      <c r="F577" s="44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  <c r="AB577" s="225"/>
      <c r="AC577" s="225"/>
      <c r="AD577" s="225"/>
      <c r="AE577" s="225"/>
      <c r="AF577" s="225"/>
      <c r="AG577" s="225"/>
      <c r="AH577" s="225"/>
      <c r="AI577" s="225"/>
      <c r="AJ577" s="225"/>
      <c r="AK577" s="323"/>
      <c r="AL577" s="225"/>
    </row>
    <row r="578" ht="13.5" customHeight="1">
      <c r="A578" s="225"/>
      <c r="B578" s="225"/>
      <c r="C578" s="225"/>
      <c r="D578" s="225"/>
      <c r="E578" s="225"/>
      <c r="F578" s="44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  <c r="AB578" s="225"/>
      <c r="AC578" s="225"/>
      <c r="AD578" s="225"/>
      <c r="AE578" s="225"/>
      <c r="AF578" s="225"/>
      <c r="AG578" s="225"/>
      <c r="AH578" s="225"/>
      <c r="AI578" s="225"/>
      <c r="AJ578" s="225"/>
      <c r="AK578" s="323"/>
      <c r="AL578" s="225"/>
    </row>
    <row r="579" ht="13.5" customHeight="1">
      <c r="A579" s="225"/>
      <c r="B579" s="225"/>
      <c r="C579" s="225"/>
      <c r="D579" s="225"/>
      <c r="E579" s="225"/>
      <c r="F579" s="44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323"/>
      <c r="AL579" s="225"/>
    </row>
    <row r="580" ht="13.5" customHeight="1">
      <c r="A580" s="225"/>
      <c r="B580" s="225"/>
      <c r="C580" s="225"/>
      <c r="D580" s="225"/>
      <c r="E580" s="225"/>
      <c r="F580" s="44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323"/>
      <c r="AL580" s="225"/>
    </row>
    <row r="581" ht="13.5" customHeight="1">
      <c r="A581" s="225"/>
      <c r="B581" s="225"/>
      <c r="C581" s="225"/>
      <c r="D581" s="225"/>
      <c r="E581" s="225"/>
      <c r="F581" s="44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  <c r="AA581" s="225"/>
      <c r="AB581" s="225"/>
      <c r="AC581" s="225"/>
      <c r="AD581" s="225"/>
      <c r="AE581" s="225"/>
      <c r="AF581" s="225"/>
      <c r="AG581" s="225"/>
      <c r="AH581" s="225"/>
      <c r="AI581" s="225"/>
      <c r="AJ581" s="225"/>
      <c r="AK581" s="323"/>
      <c r="AL581" s="225"/>
    </row>
    <row r="582" ht="13.5" customHeight="1">
      <c r="A582" s="225"/>
      <c r="B582" s="225"/>
      <c r="C582" s="225"/>
      <c r="D582" s="225"/>
      <c r="E582" s="225"/>
      <c r="F582" s="44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  <c r="AA582" s="225"/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323"/>
      <c r="AL582" s="225"/>
    </row>
    <row r="583" ht="13.5" customHeight="1">
      <c r="A583" s="225"/>
      <c r="B583" s="225"/>
      <c r="C583" s="225"/>
      <c r="D583" s="225"/>
      <c r="E583" s="225"/>
      <c r="F583" s="44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  <c r="AA583" s="225"/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323"/>
      <c r="AL583" s="225"/>
    </row>
    <row r="584" ht="13.5" customHeight="1">
      <c r="A584" s="225"/>
      <c r="B584" s="225"/>
      <c r="C584" s="225"/>
      <c r="D584" s="225"/>
      <c r="E584" s="225"/>
      <c r="F584" s="44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  <c r="AA584" s="225"/>
      <c r="AB584" s="225"/>
      <c r="AC584" s="225"/>
      <c r="AD584" s="225"/>
      <c r="AE584" s="225"/>
      <c r="AF584" s="225"/>
      <c r="AG584" s="225"/>
      <c r="AH584" s="225"/>
      <c r="AI584" s="225"/>
      <c r="AJ584" s="225"/>
      <c r="AK584" s="323"/>
      <c r="AL584" s="225"/>
    </row>
    <row r="585" ht="13.5" customHeight="1">
      <c r="A585" s="225"/>
      <c r="B585" s="225"/>
      <c r="C585" s="225"/>
      <c r="D585" s="225"/>
      <c r="E585" s="225"/>
      <c r="F585" s="44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  <c r="AA585" s="225"/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323"/>
      <c r="AL585" s="225"/>
    </row>
    <row r="586" ht="13.5" customHeight="1">
      <c r="A586" s="225"/>
      <c r="B586" s="225"/>
      <c r="C586" s="225"/>
      <c r="D586" s="225"/>
      <c r="E586" s="225"/>
      <c r="F586" s="44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323"/>
      <c r="AL586" s="225"/>
    </row>
    <row r="587" ht="13.5" customHeight="1">
      <c r="A587" s="225"/>
      <c r="B587" s="225"/>
      <c r="C587" s="225"/>
      <c r="D587" s="225"/>
      <c r="E587" s="225"/>
      <c r="F587" s="44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  <c r="AA587" s="225"/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323"/>
      <c r="AL587" s="225"/>
    </row>
    <row r="588" ht="13.5" customHeight="1">
      <c r="A588" s="225"/>
      <c r="B588" s="225"/>
      <c r="C588" s="225"/>
      <c r="D588" s="225"/>
      <c r="E588" s="225"/>
      <c r="F588" s="44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  <c r="AA588" s="225"/>
      <c r="AB588" s="225"/>
      <c r="AC588" s="225"/>
      <c r="AD588" s="225"/>
      <c r="AE588" s="225"/>
      <c r="AF588" s="225"/>
      <c r="AG588" s="225"/>
      <c r="AH588" s="225"/>
      <c r="AI588" s="225"/>
      <c r="AJ588" s="225"/>
      <c r="AK588" s="323"/>
      <c r="AL588" s="225"/>
    </row>
    <row r="589" ht="13.5" customHeight="1">
      <c r="A589" s="225"/>
      <c r="B589" s="225"/>
      <c r="C589" s="225"/>
      <c r="D589" s="225"/>
      <c r="E589" s="225"/>
      <c r="F589" s="44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  <c r="AA589" s="225"/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323"/>
      <c r="AL589" s="225"/>
    </row>
    <row r="590" ht="13.5" customHeight="1">
      <c r="A590" s="225"/>
      <c r="B590" s="225"/>
      <c r="C590" s="225"/>
      <c r="D590" s="225"/>
      <c r="E590" s="225"/>
      <c r="F590" s="44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  <c r="AA590" s="225"/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323"/>
      <c r="AL590" s="225"/>
    </row>
    <row r="591" ht="13.5" customHeight="1">
      <c r="A591" s="225"/>
      <c r="B591" s="225"/>
      <c r="C591" s="225"/>
      <c r="D591" s="225"/>
      <c r="E591" s="225"/>
      <c r="F591" s="44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  <c r="AA591" s="225"/>
      <c r="AB591" s="225"/>
      <c r="AC591" s="225"/>
      <c r="AD591" s="225"/>
      <c r="AE591" s="225"/>
      <c r="AF591" s="225"/>
      <c r="AG591" s="225"/>
      <c r="AH591" s="225"/>
      <c r="AI591" s="225"/>
      <c r="AJ591" s="225"/>
      <c r="AK591" s="323"/>
      <c r="AL591" s="225"/>
    </row>
    <row r="592" ht="13.5" customHeight="1">
      <c r="A592" s="225"/>
      <c r="B592" s="225"/>
      <c r="C592" s="225"/>
      <c r="D592" s="225"/>
      <c r="E592" s="225"/>
      <c r="F592" s="44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  <c r="AA592" s="225"/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323"/>
      <c r="AL592" s="225"/>
    </row>
    <row r="593" ht="13.5" customHeight="1">
      <c r="A593" s="225"/>
      <c r="B593" s="225"/>
      <c r="C593" s="225"/>
      <c r="D593" s="225"/>
      <c r="E593" s="225"/>
      <c r="F593" s="44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323"/>
      <c r="AL593" s="225"/>
    </row>
    <row r="594" ht="13.5" customHeight="1">
      <c r="A594" s="225"/>
      <c r="B594" s="225"/>
      <c r="C594" s="225"/>
      <c r="D594" s="225"/>
      <c r="E594" s="225"/>
      <c r="F594" s="44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323"/>
      <c r="AL594" s="225"/>
    </row>
    <row r="595" ht="13.5" customHeight="1">
      <c r="A595" s="225"/>
      <c r="B595" s="225"/>
      <c r="C595" s="225"/>
      <c r="D595" s="225"/>
      <c r="E595" s="225"/>
      <c r="F595" s="44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323"/>
      <c r="AL595" s="225"/>
    </row>
    <row r="596" ht="13.5" customHeight="1">
      <c r="A596" s="225"/>
      <c r="B596" s="225"/>
      <c r="C596" s="225"/>
      <c r="D596" s="225"/>
      <c r="E596" s="225"/>
      <c r="F596" s="44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  <c r="AB596" s="225"/>
      <c r="AC596" s="225"/>
      <c r="AD596" s="225"/>
      <c r="AE596" s="225"/>
      <c r="AF596" s="225"/>
      <c r="AG596" s="225"/>
      <c r="AH596" s="225"/>
      <c r="AI596" s="225"/>
      <c r="AJ596" s="225"/>
      <c r="AK596" s="323"/>
      <c r="AL596" s="225"/>
    </row>
    <row r="597" ht="13.5" customHeight="1">
      <c r="A597" s="225"/>
      <c r="B597" s="225"/>
      <c r="C597" s="225"/>
      <c r="D597" s="225"/>
      <c r="E597" s="225"/>
      <c r="F597" s="44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323"/>
      <c r="AL597" s="225"/>
    </row>
    <row r="598" ht="13.5" customHeight="1">
      <c r="A598" s="225"/>
      <c r="B598" s="225"/>
      <c r="C598" s="225"/>
      <c r="D598" s="225"/>
      <c r="E598" s="225"/>
      <c r="F598" s="44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  <c r="AA598" s="225"/>
      <c r="AB598" s="225"/>
      <c r="AC598" s="225"/>
      <c r="AD598" s="225"/>
      <c r="AE598" s="225"/>
      <c r="AF598" s="225"/>
      <c r="AG598" s="225"/>
      <c r="AH598" s="225"/>
      <c r="AI598" s="225"/>
      <c r="AJ598" s="225"/>
      <c r="AK598" s="323"/>
      <c r="AL598" s="225"/>
    </row>
    <row r="599" ht="13.5" customHeight="1">
      <c r="A599" s="225"/>
      <c r="B599" s="225"/>
      <c r="C599" s="225"/>
      <c r="D599" s="225"/>
      <c r="E599" s="225"/>
      <c r="F599" s="44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  <c r="AA599" s="225"/>
      <c r="AB599" s="225"/>
      <c r="AC599" s="225"/>
      <c r="AD599" s="225"/>
      <c r="AE599" s="225"/>
      <c r="AF599" s="225"/>
      <c r="AG599" s="225"/>
      <c r="AH599" s="225"/>
      <c r="AI599" s="225"/>
      <c r="AJ599" s="225"/>
      <c r="AK599" s="323"/>
      <c r="AL599" s="225"/>
    </row>
    <row r="600" ht="13.5" customHeight="1">
      <c r="A600" s="225"/>
      <c r="B600" s="225"/>
      <c r="C600" s="225"/>
      <c r="D600" s="225"/>
      <c r="E600" s="225"/>
      <c r="F600" s="44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  <c r="AA600" s="225"/>
      <c r="AB600" s="225"/>
      <c r="AC600" s="225"/>
      <c r="AD600" s="225"/>
      <c r="AE600" s="225"/>
      <c r="AF600" s="225"/>
      <c r="AG600" s="225"/>
      <c r="AH600" s="225"/>
      <c r="AI600" s="225"/>
      <c r="AJ600" s="225"/>
      <c r="AK600" s="323"/>
      <c r="AL600" s="225"/>
    </row>
    <row r="601" ht="13.5" customHeight="1">
      <c r="A601" s="225"/>
      <c r="B601" s="225"/>
      <c r="C601" s="225"/>
      <c r="D601" s="225"/>
      <c r="E601" s="225"/>
      <c r="F601" s="44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  <c r="AA601" s="225"/>
      <c r="AB601" s="225"/>
      <c r="AC601" s="225"/>
      <c r="AD601" s="225"/>
      <c r="AE601" s="225"/>
      <c r="AF601" s="225"/>
      <c r="AG601" s="225"/>
      <c r="AH601" s="225"/>
      <c r="AI601" s="225"/>
      <c r="AJ601" s="225"/>
      <c r="AK601" s="323"/>
      <c r="AL601" s="225"/>
    </row>
    <row r="602" ht="13.5" customHeight="1">
      <c r="A602" s="225"/>
      <c r="B602" s="225"/>
      <c r="C602" s="225"/>
      <c r="D602" s="225"/>
      <c r="E602" s="225"/>
      <c r="F602" s="44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  <c r="AA602" s="225"/>
      <c r="AB602" s="225"/>
      <c r="AC602" s="225"/>
      <c r="AD602" s="225"/>
      <c r="AE602" s="225"/>
      <c r="AF602" s="225"/>
      <c r="AG602" s="225"/>
      <c r="AH602" s="225"/>
      <c r="AI602" s="225"/>
      <c r="AJ602" s="225"/>
      <c r="AK602" s="323"/>
      <c r="AL602" s="225"/>
    </row>
    <row r="603" ht="13.5" customHeight="1">
      <c r="A603" s="225"/>
      <c r="B603" s="225"/>
      <c r="C603" s="225"/>
      <c r="D603" s="225"/>
      <c r="E603" s="225"/>
      <c r="F603" s="44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  <c r="AA603" s="225"/>
      <c r="AB603" s="225"/>
      <c r="AC603" s="225"/>
      <c r="AD603" s="225"/>
      <c r="AE603" s="225"/>
      <c r="AF603" s="225"/>
      <c r="AG603" s="225"/>
      <c r="AH603" s="225"/>
      <c r="AI603" s="225"/>
      <c r="AJ603" s="225"/>
      <c r="AK603" s="323"/>
      <c r="AL603" s="225"/>
    </row>
    <row r="604" ht="13.5" customHeight="1">
      <c r="A604" s="225"/>
      <c r="B604" s="225"/>
      <c r="C604" s="225"/>
      <c r="D604" s="225"/>
      <c r="E604" s="225"/>
      <c r="F604" s="44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  <c r="AA604" s="225"/>
      <c r="AB604" s="225"/>
      <c r="AC604" s="225"/>
      <c r="AD604" s="225"/>
      <c r="AE604" s="225"/>
      <c r="AF604" s="225"/>
      <c r="AG604" s="225"/>
      <c r="AH604" s="225"/>
      <c r="AI604" s="225"/>
      <c r="AJ604" s="225"/>
      <c r="AK604" s="323"/>
      <c r="AL604" s="225"/>
    </row>
    <row r="605" ht="13.5" customHeight="1">
      <c r="A605" s="225"/>
      <c r="B605" s="225"/>
      <c r="C605" s="225"/>
      <c r="D605" s="225"/>
      <c r="E605" s="225"/>
      <c r="F605" s="44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  <c r="AA605" s="225"/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323"/>
      <c r="AL605" s="225"/>
    </row>
    <row r="606" ht="13.5" customHeight="1">
      <c r="A606" s="225"/>
      <c r="B606" s="225"/>
      <c r="C606" s="225"/>
      <c r="D606" s="225"/>
      <c r="E606" s="225"/>
      <c r="F606" s="44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  <c r="AA606" s="225"/>
      <c r="AB606" s="225"/>
      <c r="AC606" s="225"/>
      <c r="AD606" s="225"/>
      <c r="AE606" s="225"/>
      <c r="AF606" s="225"/>
      <c r="AG606" s="225"/>
      <c r="AH606" s="225"/>
      <c r="AI606" s="225"/>
      <c r="AJ606" s="225"/>
      <c r="AK606" s="323"/>
      <c r="AL606" s="225"/>
    </row>
    <row r="607" ht="13.5" customHeight="1">
      <c r="A607" s="225"/>
      <c r="B607" s="225"/>
      <c r="C607" s="225"/>
      <c r="D607" s="225"/>
      <c r="E607" s="225"/>
      <c r="F607" s="44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  <c r="AA607" s="225"/>
      <c r="AB607" s="225"/>
      <c r="AC607" s="225"/>
      <c r="AD607" s="225"/>
      <c r="AE607" s="225"/>
      <c r="AF607" s="225"/>
      <c r="AG607" s="225"/>
      <c r="AH607" s="225"/>
      <c r="AI607" s="225"/>
      <c r="AJ607" s="225"/>
      <c r="AK607" s="323"/>
      <c r="AL607" s="225"/>
    </row>
    <row r="608" ht="13.5" customHeight="1">
      <c r="A608" s="225"/>
      <c r="B608" s="225"/>
      <c r="C608" s="225"/>
      <c r="D608" s="225"/>
      <c r="E608" s="225"/>
      <c r="F608" s="44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  <c r="AA608" s="225"/>
      <c r="AB608" s="225"/>
      <c r="AC608" s="225"/>
      <c r="AD608" s="225"/>
      <c r="AE608" s="225"/>
      <c r="AF608" s="225"/>
      <c r="AG608" s="225"/>
      <c r="AH608" s="225"/>
      <c r="AI608" s="225"/>
      <c r="AJ608" s="225"/>
      <c r="AK608" s="323"/>
      <c r="AL608" s="225"/>
    </row>
    <row r="609" ht="13.5" customHeight="1">
      <c r="A609" s="225"/>
      <c r="B609" s="225"/>
      <c r="C609" s="225"/>
      <c r="D609" s="225"/>
      <c r="E609" s="225"/>
      <c r="F609" s="44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  <c r="AA609" s="225"/>
      <c r="AB609" s="225"/>
      <c r="AC609" s="225"/>
      <c r="AD609" s="225"/>
      <c r="AE609" s="225"/>
      <c r="AF609" s="225"/>
      <c r="AG609" s="225"/>
      <c r="AH609" s="225"/>
      <c r="AI609" s="225"/>
      <c r="AJ609" s="225"/>
      <c r="AK609" s="323"/>
      <c r="AL609" s="225"/>
    </row>
    <row r="610" ht="13.5" customHeight="1">
      <c r="A610" s="225"/>
      <c r="B610" s="225"/>
      <c r="C610" s="225"/>
      <c r="D610" s="225"/>
      <c r="E610" s="225"/>
      <c r="F610" s="44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  <c r="AA610" s="225"/>
      <c r="AB610" s="225"/>
      <c r="AC610" s="225"/>
      <c r="AD610" s="225"/>
      <c r="AE610" s="225"/>
      <c r="AF610" s="225"/>
      <c r="AG610" s="225"/>
      <c r="AH610" s="225"/>
      <c r="AI610" s="225"/>
      <c r="AJ610" s="225"/>
      <c r="AK610" s="323"/>
      <c r="AL610" s="225"/>
    </row>
    <row r="611" ht="13.5" customHeight="1">
      <c r="A611" s="225"/>
      <c r="B611" s="225"/>
      <c r="C611" s="225"/>
      <c r="D611" s="225"/>
      <c r="E611" s="225"/>
      <c r="F611" s="44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  <c r="AA611" s="225"/>
      <c r="AB611" s="225"/>
      <c r="AC611" s="225"/>
      <c r="AD611" s="225"/>
      <c r="AE611" s="225"/>
      <c r="AF611" s="225"/>
      <c r="AG611" s="225"/>
      <c r="AH611" s="225"/>
      <c r="AI611" s="225"/>
      <c r="AJ611" s="225"/>
      <c r="AK611" s="323"/>
      <c r="AL611" s="225"/>
    </row>
    <row r="612" ht="13.5" customHeight="1">
      <c r="A612" s="225"/>
      <c r="B612" s="225"/>
      <c r="C612" s="225"/>
      <c r="D612" s="225"/>
      <c r="E612" s="225"/>
      <c r="F612" s="44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  <c r="AA612" s="225"/>
      <c r="AB612" s="225"/>
      <c r="AC612" s="225"/>
      <c r="AD612" s="225"/>
      <c r="AE612" s="225"/>
      <c r="AF612" s="225"/>
      <c r="AG612" s="225"/>
      <c r="AH612" s="225"/>
      <c r="AI612" s="225"/>
      <c r="AJ612" s="225"/>
      <c r="AK612" s="323"/>
      <c r="AL612" s="225"/>
    </row>
    <row r="613" ht="13.5" customHeight="1">
      <c r="A613" s="225"/>
      <c r="B613" s="225"/>
      <c r="C613" s="225"/>
      <c r="D613" s="225"/>
      <c r="E613" s="225"/>
      <c r="F613" s="44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  <c r="AA613" s="225"/>
      <c r="AB613" s="225"/>
      <c r="AC613" s="225"/>
      <c r="AD613" s="225"/>
      <c r="AE613" s="225"/>
      <c r="AF613" s="225"/>
      <c r="AG613" s="225"/>
      <c r="AH613" s="225"/>
      <c r="AI613" s="225"/>
      <c r="AJ613" s="225"/>
      <c r="AK613" s="323"/>
      <c r="AL613" s="225"/>
    </row>
    <row r="614" ht="13.5" customHeight="1">
      <c r="A614" s="225"/>
      <c r="B614" s="225"/>
      <c r="C614" s="225"/>
      <c r="D614" s="225"/>
      <c r="E614" s="225"/>
      <c r="F614" s="44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  <c r="AA614" s="225"/>
      <c r="AB614" s="225"/>
      <c r="AC614" s="225"/>
      <c r="AD614" s="225"/>
      <c r="AE614" s="225"/>
      <c r="AF614" s="225"/>
      <c r="AG614" s="225"/>
      <c r="AH614" s="225"/>
      <c r="AI614" s="225"/>
      <c r="AJ614" s="225"/>
      <c r="AK614" s="323"/>
      <c r="AL614" s="225"/>
    </row>
    <row r="615" ht="13.5" customHeight="1">
      <c r="A615" s="225"/>
      <c r="B615" s="225"/>
      <c r="C615" s="225"/>
      <c r="D615" s="225"/>
      <c r="E615" s="225"/>
      <c r="F615" s="44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  <c r="AA615" s="225"/>
      <c r="AB615" s="225"/>
      <c r="AC615" s="225"/>
      <c r="AD615" s="225"/>
      <c r="AE615" s="225"/>
      <c r="AF615" s="225"/>
      <c r="AG615" s="225"/>
      <c r="AH615" s="225"/>
      <c r="AI615" s="225"/>
      <c r="AJ615" s="225"/>
      <c r="AK615" s="323"/>
      <c r="AL615" s="225"/>
    </row>
    <row r="616" ht="13.5" customHeight="1">
      <c r="A616" s="225"/>
      <c r="B616" s="225"/>
      <c r="C616" s="225"/>
      <c r="D616" s="225"/>
      <c r="E616" s="225"/>
      <c r="F616" s="44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  <c r="AA616" s="225"/>
      <c r="AB616" s="225"/>
      <c r="AC616" s="225"/>
      <c r="AD616" s="225"/>
      <c r="AE616" s="225"/>
      <c r="AF616" s="225"/>
      <c r="AG616" s="225"/>
      <c r="AH616" s="225"/>
      <c r="AI616" s="225"/>
      <c r="AJ616" s="225"/>
      <c r="AK616" s="323"/>
      <c r="AL616" s="225"/>
    </row>
    <row r="617" ht="13.5" customHeight="1">
      <c r="A617" s="225"/>
      <c r="B617" s="225"/>
      <c r="C617" s="225"/>
      <c r="D617" s="225"/>
      <c r="E617" s="225"/>
      <c r="F617" s="44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  <c r="AA617" s="225"/>
      <c r="AB617" s="225"/>
      <c r="AC617" s="225"/>
      <c r="AD617" s="225"/>
      <c r="AE617" s="225"/>
      <c r="AF617" s="225"/>
      <c r="AG617" s="225"/>
      <c r="AH617" s="225"/>
      <c r="AI617" s="225"/>
      <c r="AJ617" s="225"/>
      <c r="AK617" s="323"/>
      <c r="AL617" s="225"/>
    </row>
    <row r="618" ht="13.5" customHeight="1">
      <c r="A618" s="225"/>
      <c r="B618" s="225"/>
      <c r="C618" s="225"/>
      <c r="D618" s="225"/>
      <c r="E618" s="225"/>
      <c r="F618" s="44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  <c r="AA618" s="225"/>
      <c r="AB618" s="225"/>
      <c r="AC618" s="225"/>
      <c r="AD618" s="225"/>
      <c r="AE618" s="225"/>
      <c r="AF618" s="225"/>
      <c r="AG618" s="225"/>
      <c r="AH618" s="225"/>
      <c r="AI618" s="225"/>
      <c r="AJ618" s="225"/>
      <c r="AK618" s="323"/>
      <c r="AL618" s="225"/>
    </row>
    <row r="619" ht="13.5" customHeight="1">
      <c r="A619" s="225"/>
      <c r="B619" s="225"/>
      <c r="C619" s="225"/>
      <c r="D619" s="225"/>
      <c r="E619" s="225"/>
      <c r="F619" s="44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  <c r="AA619" s="225"/>
      <c r="AB619" s="225"/>
      <c r="AC619" s="225"/>
      <c r="AD619" s="225"/>
      <c r="AE619" s="225"/>
      <c r="AF619" s="225"/>
      <c r="AG619" s="225"/>
      <c r="AH619" s="225"/>
      <c r="AI619" s="225"/>
      <c r="AJ619" s="225"/>
      <c r="AK619" s="323"/>
      <c r="AL619" s="225"/>
    </row>
    <row r="620" ht="13.5" customHeight="1">
      <c r="A620" s="225"/>
      <c r="B620" s="225"/>
      <c r="C620" s="225"/>
      <c r="D620" s="225"/>
      <c r="E620" s="225"/>
      <c r="F620" s="44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  <c r="AA620" s="225"/>
      <c r="AB620" s="225"/>
      <c r="AC620" s="225"/>
      <c r="AD620" s="225"/>
      <c r="AE620" s="225"/>
      <c r="AF620" s="225"/>
      <c r="AG620" s="225"/>
      <c r="AH620" s="225"/>
      <c r="AI620" s="225"/>
      <c r="AJ620" s="225"/>
      <c r="AK620" s="323"/>
      <c r="AL620" s="225"/>
    </row>
    <row r="621" ht="13.5" customHeight="1">
      <c r="A621" s="225"/>
      <c r="B621" s="225"/>
      <c r="C621" s="225"/>
      <c r="D621" s="225"/>
      <c r="E621" s="225"/>
      <c r="F621" s="44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  <c r="AA621" s="225"/>
      <c r="AB621" s="225"/>
      <c r="AC621" s="225"/>
      <c r="AD621" s="225"/>
      <c r="AE621" s="225"/>
      <c r="AF621" s="225"/>
      <c r="AG621" s="225"/>
      <c r="AH621" s="225"/>
      <c r="AI621" s="225"/>
      <c r="AJ621" s="225"/>
      <c r="AK621" s="323"/>
      <c r="AL621" s="225"/>
    </row>
    <row r="622" ht="13.5" customHeight="1">
      <c r="A622" s="225"/>
      <c r="B622" s="225"/>
      <c r="C622" s="225"/>
      <c r="D622" s="225"/>
      <c r="E622" s="225"/>
      <c r="F622" s="44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  <c r="AA622" s="225"/>
      <c r="AB622" s="225"/>
      <c r="AC622" s="225"/>
      <c r="AD622" s="225"/>
      <c r="AE622" s="225"/>
      <c r="AF622" s="225"/>
      <c r="AG622" s="225"/>
      <c r="AH622" s="225"/>
      <c r="AI622" s="225"/>
      <c r="AJ622" s="225"/>
      <c r="AK622" s="323"/>
      <c r="AL622" s="225"/>
    </row>
    <row r="623" ht="13.5" customHeight="1">
      <c r="A623" s="225"/>
      <c r="B623" s="225"/>
      <c r="C623" s="225"/>
      <c r="D623" s="225"/>
      <c r="E623" s="225"/>
      <c r="F623" s="44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  <c r="AA623" s="225"/>
      <c r="AB623" s="225"/>
      <c r="AC623" s="225"/>
      <c r="AD623" s="225"/>
      <c r="AE623" s="225"/>
      <c r="AF623" s="225"/>
      <c r="AG623" s="225"/>
      <c r="AH623" s="225"/>
      <c r="AI623" s="225"/>
      <c r="AJ623" s="225"/>
      <c r="AK623" s="323"/>
      <c r="AL623" s="225"/>
    </row>
    <row r="624" ht="13.5" customHeight="1">
      <c r="A624" s="225"/>
      <c r="B624" s="225"/>
      <c r="C624" s="225"/>
      <c r="D624" s="225"/>
      <c r="E624" s="225"/>
      <c r="F624" s="44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  <c r="AA624" s="225"/>
      <c r="AB624" s="225"/>
      <c r="AC624" s="225"/>
      <c r="AD624" s="225"/>
      <c r="AE624" s="225"/>
      <c r="AF624" s="225"/>
      <c r="AG624" s="225"/>
      <c r="AH624" s="225"/>
      <c r="AI624" s="225"/>
      <c r="AJ624" s="225"/>
      <c r="AK624" s="323"/>
      <c r="AL624" s="225"/>
    </row>
    <row r="625" ht="13.5" customHeight="1">
      <c r="A625" s="225"/>
      <c r="B625" s="225"/>
      <c r="C625" s="225"/>
      <c r="D625" s="225"/>
      <c r="E625" s="225"/>
      <c r="F625" s="44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  <c r="AA625" s="225"/>
      <c r="AB625" s="225"/>
      <c r="AC625" s="225"/>
      <c r="AD625" s="225"/>
      <c r="AE625" s="225"/>
      <c r="AF625" s="225"/>
      <c r="AG625" s="225"/>
      <c r="AH625" s="225"/>
      <c r="AI625" s="225"/>
      <c r="AJ625" s="225"/>
      <c r="AK625" s="323"/>
      <c r="AL625" s="225"/>
    </row>
    <row r="626" ht="13.5" customHeight="1">
      <c r="A626" s="225"/>
      <c r="B626" s="225"/>
      <c r="C626" s="225"/>
      <c r="D626" s="225"/>
      <c r="E626" s="225"/>
      <c r="F626" s="44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  <c r="AA626" s="225"/>
      <c r="AB626" s="225"/>
      <c r="AC626" s="225"/>
      <c r="AD626" s="225"/>
      <c r="AE626" s="225"/>
      <c r="AF626" s="225"/>
      <c r="AG626" s="225"/>
      <c r="AH626" s="225"/>
      <c r="AI626" s="225"/>
      <c r="AJ626" s="225"/>
      <c r="AK626" s="323"/>
      <c r="AL626" s="225"/>
    </row>
    <row r="627" ht="13.5" customHeight="1">
      <c r="A627" s="225"/>
      <c r="B627" s="225"/>
      <c r="C627" s="225"/>
      <c r="D627" s="225"/>
      <c r="E627" s="225"/>
      <c r="F627" s="44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  <c r="AA627" s="225"/>
      <c r="AB627" s="225"/>
      <c r="AC627" s="225"/>
      <c r="AD627" s="225"/>
      <c r="AE627" s="225"/>
      <c r="AF627" s="225"/>
      <c r="AG627" s="225"/>
      <c r="AH627" s="225"/>
      <c r="AI627" s="225"/>
      <c r="AJ627" s="225"/>
      <c r="AK627" s="323"/>
      <c r="AL627" s="225"/>
    </row>
    <row r="628" ht="13.5" customHeight="1">
      <c r="A628" s="225"/>
      <c r="B628" s="225"/>
      <c r="C628" s="225"/>
      <c r="D628" s="225"/>
      <c r="E628" s="225"/>
      <c r="F628" s="44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  <c r="AA628" s="225"/>
      <c r="AB628" s="225"/>
      <c r="AC628" s="225"/>
      <c r="AD628" s="225"/>
      <c r="AE628" s="225"/>
      <c r="AF628" s="225"/>
      <c r="AG628" s="225"/>
      <c r="AH628" s="225"/>
      <c r="AI628" s="225"/>
      <c r="AJ628" s="225"/>
      <c r="AK628" s="323"/>
      <c r="AL628" s="225"/>
    </row>
    <row r="629" ht="13.5" customHeight="1">
      <c r="A629" s="225"/>
      <c r="B629" s="225"/>
      <c r="C629" s="225"/>
      <c r="D629" s="225"/>
      <c r="E629" s="225"/>
      <c r="F629" s="44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  <c r="AA629" s="225"/>
      <c r="AB629" s="225"/>
      <c r="AC629" s="225"/>
      <c r="AD629" s="225"/>
      <c r="AE629" s="225"/>
      <c r="AF629" s="225"/>
      <c r="AG629" s="225"/>
      <c r="AH629" s="225"/>
      <c r="AI629" s="225"/>
      <c r="AJ629" s="225"/>
      <c r="AK629" s="323"/>
      <c r="AL629" s="225"/>
    </row>
    <row r="630" ht="13.5" customHeight="1">
      <c r="A630" s="225"/>
      <c r="B630" s="225"/>
      <c r="C630" s="225"/>
      <c r="D630" s="225"/>
      <c r="E630" s="225"/>
      <c r="F630" s="44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  <c r="AA630" s="225"/>
      <c r="AB630" s="225"/>
      <c r="AC630" s="225"/>
      <c r="AD630" s="225"/>
      <c r="AE630" s="225"/>
      <c r="AF630" s="225"/>
      <c r="AG630" s="225"/>
      <c r="AH630" s="225"/>
      <c r="AI630" s="225"/>
      <c r="AJ630" s="225"/>
      <c r="AK630" s="323"/>
      <c r="AL630" s="225"/>
    </row>
    <row r="631" ht="13.5" customHeight="1">
      <c r="A631" s="225"/>
      <c r="B631" s="225"/>
      <c r="C631" s="225"/>
      <c r="D631" s="225"/>
      <c r="E631" s="225"/>
      <c r="F631" s="44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  <c r="AA631" s="225"/>
      <c r="AB631" s="225"/>
      <c r="AC631" s="225"/>
      <c r="AD631" s="225"/>
      <c r="AE631" s="225"/>
      <c r="AF631" s="225"/>
      <c r="AG631" s="225"/>
      <c r="AH631" s="225"/>
      <c r="AI631" s="225"/>
      <c r="AJ631" s="225"/>
      <c r="AK631" s="323"/>
      <c r="AL631" s="225"/>
    </row>
    <row r="632" ht="13.5" customHeight="1">
      <c r="A632" s="225"/>
      <c r="B632" s="225"/>
      <c r="C632" s="225"/>
      <c r="D632" s="225"/>
      <c r="E632" s="225"/>
      <c r="F632" s="44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  <c r="AA632" s="225"/>
      <c r="AB632" s="225"/>
      <c r="AC632" s="225"/>
      <c r="AD632" s="225"/>
      <c r="AE632" s="225"/>
      <c r="AF632" s="225"/>
      <c r="AG632" s="225"/>
      <c r="AH632" s="225"/>
      <c r="AI632" s="225"/>
      <c r="AJ632" s="225"/>
      <c r="AK632" s="323"/>
      <c r="AL632" s="225"/>
    </row>
    <row r="633" ht="13.5" customHeight="1">
      <c r="A633" s="225"/>
      <c r="B633" s="225"/>
      <c r="C633" s="225"/>
      <c r="D633" s="225"/>
      <c r="E633" s="225"/>
      <c r="F633" s="44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  <c r="AA633" s="225"/>
      <c r="AB633" s="225"/>
      <c r="AC633" s="225"/>
      <c r="AD633" s="225"/>
      <c r="AE633" s="225"/>
      <c r="AF633" s="225"/>
      <c r="AG633" s="225"/>
      <c r="AH633" s="225"/>
      <c r="AI633" s="225"/>
      <c r="AJ633" s="225"/>
      <c r="AK633" s="323"/>
      <c r="AL633" s="225"/>
    </row>
    <row r="634" ht="13.5" customHeight="1">
      <c r="A634" s="225"/>
      <c r="B634" s="225"/>
      <c r="C634" s="225"/>
      <c r="D634" s="225"/>
      <c r="E634" s="225"/>
      <c r="F634" s="44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  <c r="AA634" s="225"/>
      <c r="AB634" s="225"/>
      <c r="AC634" s="225"/>
      <c r="AD634" s="225"/>
      <c r="AE634" s="225"/>
      <c r="AF634" s="225"/>
      <c r="AG634" s="225"/>
      <c r="AH634" s="225"/>
      <c r="AI634" s="225"/>
      <c r="AJ634" s="225"/>
      <c r="AK634" s="323"/>
      <c r="AL634" s="225"/>
    </row>
    <row r="635" ht="13.5" customHeight="1">
      <c r="A635" s="225"/>
      <c r="B635" s="225"/>
      <c r="C635" s="225"/>
      <c r="D635" s="225"/>
      <c r="E635" s="225"/>
      <c r="F635" s="44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  <c r="AA635" s="225"/>
      <c r="AB635" s="225"/>
      <c r="AC635" s="225"/>
      <c r="AD635" s="225"/>
      <c r="AE635" s="225"/>
      <c r="AF635" s="225"/>
      <c r="AG635" s="225"/>
      <c r="AH635" s="225"/>
      <c r="AI635" s="225"/>
      <c r="AJ635" s="225"/>
      <c r="AK635" s="323"/>
      <c r="AL635" s="225"/>
    </row>
    <row r="636" ht="13.5" customHeight="1">
      <c r="A636" s="225"/>
      <c r="B636" s="225"/>
      <c r="C636" s="225"/>
      <c r="D636" s="225"/>
      <c r="E636" s="225"/>
      <c r="F636" s="44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  <c r="AA636" s="225"/>
      <c r="AB636" s="225"/>
      <c r="AC636" s="225"/>
      <c r="AD636" s="225"/>
      <c r="AE636" s="225"/>
      <c r="AF636" s="225"/>
      <c r="AG636" s="225"/>
      <c r="AH636" s="225"/>
      <c r="AI636" s="225"/>
      <c r="AJ636" s="225"/>
      <c r="AK636" s="323"/>
      <c r="AL636" s="225"/>
    </row>
    <row r="637" ht="13.5" customHeight="1">
      <c r="A637" s="225"/>
      <c r="B637" s="225"/>
      <c r="C637" s="225"/>
      <c r="D637" s="225"/>
      <c r="E637" s="225"/>
      <c r="F637" s="44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  <c r="AA637" s="225"/>
      <c r="AB637" s="225"/>
      <c r="AC637" s="225"/>
      <c r="AD637" s="225"/>
      <c r="AE637" s="225"/>
      <c r="AF637" s="225"/>
      <c r="AG637" s="225"/>
      <c r="AH637" s="225"/>
      <c r="AI637" s="225"/>
      <c r="AJ637" s="225"/>
      <c r="AK637" s="323"/>
      <c r="AL637" s="225"/>
    </row>
    <row r="638" ht="13.5" customHeight="1">
      <c r="A638" s="225"/>
      <c r="B638" s="225"/>
      <c r="C638" s="225"/>
      <c r="D638" s="225"/>
      <c r="E638" s="225"/>
      <c r="F638" s="44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  <c r="AA638" s="225"/>
      <c r="AB638" s="225"/>
      <c r="AC638" s="225"/>
      <c r="AD638" s="225"/>
      <c r="AE638" s="225"/>
      <c r="AF638" s="225"/>
      <c r="AG638" s="225"/>
      <c r="AH638" s="225"/>
      <c r="AI638" s="225"/>
      <c r="AJ638" s="225"/>
      <c r="AK638" s="323"/>
      <c r="AL638" s="225"/>
    </row>
    <row r="639" ht="13.5" customHeight="1">
      <c r="A639" s="225"/>
      <c r="B639" s="225"/>
      <c r="C639" s="225"/>
      <c r="D639" s="225"/>
      <c r="E639" s="225"/>
      <c r="F639" s="44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  <c r="AA639" s="225"/>
      <c r="AB639" s="225"/>
      <c r="AC639" s="225"/>
      <c r="AD639" s="225"/>
      <c r="AE639" s="225"/>
      <c r="AF639" s="225"/>
      <c r="AG639" s="225"/>
      <c r="AH639" s="225"/>
      <c r="AI639" s="225"/>
      <c r="AJ639" s="225"/>
      <c r="AK639" s="323"/>
      <c r="AL639" s="225"/>
    </row>
    <row r="640" ht="13.5" customHeight="1">
      <c r="A640" s="225"/>
      <c r="B640" s="225"/>
      <c r="C640" s="225"/>
      <c r="D640" s="225"/>
      <c r="E640" s="225"/>
      <c r="F640" s="44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  <c r="AA640" s="225"/>
      <c r="AB640" s="225"/>
      <c r="AC640" s="225"/>
      <c r="AD640" s="225"/>
      <c r="AE640" s="225"/>
      <c r="AF640" s="225"/>
      <c r="AG640" s="225"/>
      <c r="AH640" s="225"/>
      <c r="AI640" s="225"/>
      <c r="AJ640" s="225"/>
      <c r="AK640" s="323"/>
      <c r="AL640" s="225"/>
    </row>
    <row r="641" ht="13.5" customHeight="1">
      <c r="A641" s="225"/>
      <c r="B641" s="225"/>
      <c r="C641" s="225"/>
      <c r="D641" s="225"/>
      <c r="E641" s="225"/>
      <c r="F641" s="44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  <c r="AA641" s="225"/>
      <c r="AB641" s="225"/>
      <c r="AC641" s="225"/>
      <c r="AD641" s="225"/>
      <c r="AE641" s="225"/>
      <c r="AF641" s="225"/>
      <c r="AG641" s="225"/>
      <c r="AH641" s="225"/>
      <c r="AI641" s="225"/>
      <c r="AJ641" s="225"/>
      <c r="AK641" s="323"/>
      <c r="AL641" s="225"/>
    </row>
    <row r="642" ht="13.5" customHeight="1">
      <c r="A642" s="225"/>
      <c r="B642" s="225"/>
      <c r="C642" s="225"/>
      <c r="D642" s="225"/>
      <c r="E642" s="225"/>
      <c r="F642" s="44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  <c r="AA642" s="225"/>
      <c r="AB642" s="225"/>
      <c r="AC642" s="225"/>
      <c r="AD642" s="225"/>
      <c r="AE642" s="225"/>
      <c r="AF642" s="225"/>
      <c r="AG642" s="225"/>
      <c r="AH642" s="225"/>
      <c r="AI642" s="225"/>
      <c r="AJ642" s="225"/>
      <c r="AK642" s="323"/>
      <c r="AL642" s="225"/>
    </row>
    <row r="643" ht="13.5" customHeight="1">
      <c r="A643" s="225"/>
      <c r="B643" s="225"/>
      <c r="C643" s="225"/>
      <c r="D643" s="225"/>
      <c r="E643" s="225"/>
      <c r="F643" s="44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  <c r="AA643" s="225"/>
      <c r="AB643" s="225"/>
      <c r="AC643" s="225"/>
      <c r="AD643" s="225"/>
      <c r="AE643" s="225"/>
      <c r="AF643" s="225"/>
      <c r="AG643" s="225"/>
      <c r="AH643" s="225"/>
      <c r="AI643" s="225"/>
      <c r="AJ643" s="225"/>
      <c r="AK643" s="323"/>
      <c r="AL643" s="225"/>
    </row>
    <row r="644" ht="13.5" customHeight="1">
      <c r="A644" s="225"/>
      <c r="B644" s="225"/>
      <c r="C644" s="225"/>
      <c r="D644" s="225"/>
      <c r="E644" s="225"/>
      <c r="F644" s="44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  <c r="AA644" s="225"/>
      <c r="AB644" s="225"/>
      <c r="AC644" s="225"/>
      <c r="AD644" s="225"/>
      <c r="AE644" s="225"/>
      <c r="AF644" s="225"/>
      <c r="AG644" s="225"/>
      <c r="AH644" s="225"/>
      <c r="AI644" s="225"/>
      <c r="AJ644" s="225"/>
      <c r="AK644" s="323"/>
      <c r="AL644" s="225"/>
    </row>
    <row r="645" ht="13.5" customHeight="1">
      <c r="A645" s="225"/>
      <c r="B645" s="225"/>
      <c r="C645" s="225"/>
      <c r="D645" s="225"/>
      <c r="E645" s="225"/>
      <c r="F645" s="44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  <c r="AA645" s="225"/>
      <c r="AB645" s="225"/>
      <c r="AC645" s="225"/>
      <c r="AD645" s="225"/>
      <c r="AE645" s="225"/>
      <c r="AF645" s="225"/>
      <c r="AG645" s="225"/>
      <c r="AH645" s="225"/>
      <c r="AI645" s="225"/>
      <c r="AJ645" s="225"/>
      <c r="AK645" s="323"/>
      <c r="AL645" s="225"/>
    </row>
    <row r="646" ht="13.5" customHeight="1">
      <c r="A646" s="225"/>
      <c r="B646" s="225"/>
      <c r="C646" s="225"/>
      <c r="D646" s="225"/>
      <c r="E646" s="225"/>
      <c r="F646" s="44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  <c r="AA646" s="225"/>
      <c r="AB646" s="225"/>
      <c r="AC646" s="225"/>
      <c r="AD646" s="225"/>
      <c r="AE646" s="225"/>
      <c r="AF646" s="225"/>
      <c r="AG646" s="225"/>
      <c r="AH646" s="225"/>
      <c r="AI646" s="225"/>
      <c r="AJ646" s="225"/>
      <c r="AK646" s="323"/>
      <c r="AL646" s="225"/>
    </row>
    <row r="647" ht="13.5" customHeight="1">
      <c r="A647" s="225"/>
      <c r="B647" s="225"/>
      <c r="C647" s="225"/>
      <c r="D647" s="225"/>
      <c r="E647" s="225"/>
      <c r="F647" s="44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  <c r="AA647" s="225"/>
      <c r="AB647" s="225"/>
      <c r="AC647" s="225"/>
      <c r="AD647" s="225"/>
      <c r="AE647" s="225"/>
      <c r="AF647" s="225"/>
      <c r="AG647" s="225"/>
      <c r="AH647" s="225"/>
      <c r="AI647" s="225"/>
      <c r="AJ647" s="225"/>
      <c r="AK647" s="323"/>
      <c r="AL647" s="225"/>
    </row>
    <row r="648" ht="13.5" customHeight="1">
      <c r="A648" s="225"/>
      <c r="B648" s="225"/>
      <c r="C648" s="225"/>
      <c r="D648" s="225"/>
      <c r="E648" s="225"/>
      <c r="F648" s="44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  <c r="AA648" s="225"/>
      <c r="AB648" s="225"/>
      <c r="AC648" s="225"/>
      <c r="AD648" s="225"/>
      <c r="AE648" s="225"/>
      <c r="AF648" s="225"/>
      <c r="AG648" s="225"/>
      <c r="AH648" s="225"/>
      <c r="AI648" s="225"/>
      <c r="AJ648" s="225"/>
      <c r="AK648" s="323"/>
      <c r="AL648" s="225"/>
    </row>
    <row r="649" ht="13.5" customHeight="1">
      <c r="A649" s="225"/>
      <c r="B649" s="225"/>
      <c r="C649" s="225"/>
      <c r="D649" s="225"/>
      <c r="E649" s="225"/>
      <c r="F649" s="44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  <c r="AA649" s="225"/>
      <c r="AB649" s="225"/>
      <c r="AC649" s="225"/>
      <c r="AD649" s="225"/>
      <c r="AE649" s="225"/>
      <c r="AF649" s="225"/>
      <c r="AG649" s="225"/>
      <c r="AH649" s="225"/>
      <c r="AI649" s="225"/>
      <c r="AJ649" s="225"/>
      <c r="AK649" s="323"/>
      <c r="AL649" s="225"/>
    </row>
    <row r="650" ht="13.5" customHeight="1">
      <c r="A650" s="225"/>
      <c r="B650" s="225"/>
      <c r="C650" s="225"/>
      <c r="D650" s="225"/>
      <c r="E650" s="225"/>
      <c r="F650" s="44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  <c r="AA650" s="225"/>
      <c r="AB650" s="225"/>
      <c r="AC650" s="225"/>
      <c r="AD650" s="225"/>
      <c r="AE650" s="225"/>
      <c r="AF650" s="225"/>
      <c r="AG650" s="225"/>
      <c r="AH650" s="225"/>
      <c r="AI650" s="225"/>
      <c r="AJ650" s="225"/>
      <c r="AK650" s="323"/>
      <c r="AL650" s="225"/>
    </row>
    <row r="651" ht="13.5" customHeight="1">
      <c r="A651" s="225"/>
      <c r="B651" s="225"/>
      <c r="C651" s="225"/>
      <c r="D651" s="225"/>
      <c r="E651" s="225"/>
      <c r="F651" s="44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  <c r="AA651" s="225"/>
      <c r="AB651" s="225"/>
      <c r="AC651" s="225"/>
      <c r="AD651" s="225"/>
      <c r="AE651" s="225"/>
      <c r="AF651" s="225"/>
      <c r="AG651" s="225"/>
      <c r="AH651" s="225"/>
      <c r="AI651" s="225"/>
      <c r="AJ651" s="225"/>
      <c r="AK651" s="323"/>
      <c r="AL651" s="225"/>
    </row>
    <row r="652" ht="13.5" customHeight="1">
      <c r="A652" s="225"/>
      <c r="B652" s="225"/>
      <c r="C652" s="225"/>
      <c r="D652" s="225"/>
      <c r="E652" s="225"/>
      <c r="F652" s="44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  <c r="AA652" s="225"/>
      <c r="AB652" s="225"/>
      <c r="AC652" s="225"/>
      <c r="AD652" s="225"/>
      <c r="AE652" s="225"/>
      <c r="AF652" s="225"/>
      <c r="AG652" s="225"/>
      <c r="AH652" s="225"/>
      <c r="AI652" s="225"/>
      <c r="AJ652" s="225"/>
      <c r="AK652" s="323"/>
      <c r="AL652" s="225"/>
    </row>
    <row r="653" ht="13.5" customHeight="1">
      <c r="A653" s="225"/>
      <c r="B653" s="225"/>
      <c r="C653" s="225"/>
      <c r="D653" s="225"/>
      <c r="E653" s="225"/>
      <c r="F653" s="44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  <c r="AA653" s="225"/>
      <c r="AB653" s="225"/>
      <c r="AC653" s="225"/>
      <c r="AD653" s="225"/>
      <c r="AE653" s="225"/>
      <c r="AF653" s="225"/>
      <c r="AG653" s="225"/>
      <c r="AH653" s="225"/>
      <c r="AI653" s="225"/>
      <c r="AJ653" s="225"/>
      <c r="AK653" s="323"/>
      <c r="AL653" s="225"/>
    </row>
    <row r="654" ht="13.5" customHeight="1">
      <c r="A654" s="225"/>
      <c r="B654" s="225"/>
      <c r="C654" s="225"/>
      <c r="D654" s="225"/>
      <c r="E654" s="225"/>
      <c r="F654" s="44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  <c r="AA654" s="225"/>
      <c r="AB654" s="225"/>
      <c r="AC654" s="225"/>
      <c r="AD654" s="225"/>
      <c r="AE654" s="225"/>
      <c r="AF654" s="225"/>
      <c r="AG654" s="225"/>
      <c r="AH654" s="225"/>
      <c r="AI654" s="225"/>
      <c r="AJ654" s="225"/>
      <c r="AK654" s="323"/>
      <c r="AL654" s="225"/>
    </row>
    <row r="655" ht="13.5" customHeight="1">
      <c r="A655" s="225"/>
      <c r="B655" s="225"/>
      <c r="C655" s="225"/>
      <c r="D655" s="225"/>
      <c r="E655" s="225"/>
      <c r="F655" s="44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  <c r="AA655" s="225"/>
      <c r="AB655" s="225"/>
      <c r="AC655" s="225"/>
      <c r="AD655" s="225"/>
      <c r="AE655" s="225"/>
      <c r="AF655" s="225"/>
      <c r="AG655" s="225"/>
      <c r="AH655" s="225"/>
      <c r="AI655" s="225"/>
      <c r="AJ655" s="225"/>
      <c r="AK655" s="323"/>
      <c r="AL655" s="225"/>
    </row>
    <row r="656" ht="13.5" customHeight="1">
      <c r="A656" s="225"/>
      <c r="B656" s="225"/>
      <c r="C656" s="225"/>
      <c r="D656" s="225"/>
      <c r="E656" s="225"/>
      <c r="F656" s="44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  <c r="AA656" s="225"/>
      <c r="AB656" s="225"/>
      <c r="AC656" s="225"/>
      <c r="AD656" s="225"/>
      <c r="AE656" s="225"/>
      <c r="AF656" s="225"/>
      <c r="AG656" s="225"/>
      <c r="AH656" s="225"/>
      <c r="AI656" s="225"/>
      <c r="AJ656" s="225"/>
      <c r="AK656" s="323"/>
      <c r="AL656" s="225"/>
    </row>
    <row r="657" ht="13.5" customHeight="1">
      <c r="A657" s="225"/>
      <c r="B657" s="225"/>
      <c r="C657" s="225"/>
      <c r="D657" s="225"/>
      <c r="E657" s="225"/>
      <c r="F657" s="44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  <c r="AA657" s="225"/>
      <c r="AB657" s="225"/>
      <c r="AC657" s="225"/>
      <c r="AD657" s="225"/>
      <c r="AE657" s="225"/>
      <c r="AF657" s="225"/>
      <c r="AG657" s="225"/>
      <c r="AH657" s="225"/>
      <c r="AI657" s="225"/>
      <c r="AJ657" s="225"/>
      <c r="AK657" s="323"/>
      <c r="AL657" s="225"/>
    </row>
    <row r="658" ht="13.5" customHeight="1">
      <c r="A658" s="225"/>
      <c r="B658" s="225"/>
      <c r="C658" s="225"/>
      <c r="D658" s="225"/>
      <c r="E658" s="225"/>
      <c r="F658" s="44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  <c r="AA658" s="225"/>
      <c r="AB658" s="225"/>
      <c r="AC658" s="225"/>
      <c r="AD658" s="225"/>
      <c r="AE658" s="225"/>
      <c r="AF658" s="225"/>
      <c r="AG658" s="225"/>
      <c r="AH658" s="225"/>
      <c r="AI658" s="225"/>
      <c r="AJ658" s="225"/>
      <c r="AK658" s="323"/>
      <c r="AL658" s="225"/>
    </row>
    <row r="659" ht="13.5" customHeight="1">
      <c r="A659" s="225"/>
      <c r="B659" s="225"/>
      <c r="C659" s="225"/>
      <c r="D659" s="225"/>
      <c r="E659" s="225"/>
      <c r="F659" s="44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  <c r="AA659" s="225"/>
      <c r="AB659" s="225"/>
      <c r="AC659" s="225"/>
      <c r="AD659" s="225"/>
      <c r="AE659" s="225"/>
      <c r="AF659" s="225"/>
      <c r="AG659" s="225"/>
      <c r="AH659" s="225"/>
      <c r="AI659" s="225"/>
      <c r="AJ659" s="225"/>
      <c r="AK659" s="323"/>
      <c r="AL659" s="225"/>
    </row>
    <row r="660" ht="13.5" customHeight="1">
      <c r="A660" s="225"/>
      <c r="B660" s="225"/>
      <c r="C660" s="225"/>
      <c r="D660" s="225"/>
      <c r="E660" s="225"/>
      <c r="F660" s="44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  <c r="AA660" s="225"/>
      <c r="AB660" s="225"/>
      <c r="AC660" s="225"/>
      <c r="AD660" s="225"/>
      <c r="AE660" s="225"/>
      <c r="AF660" s="225"/>
      <c r="AG660" s="225"/>
      <c r="AH660" s="225"/>
      <c r="AI660" s="225"/>
      <c r="AJ660" s="225"/>
      <c r="AK660" s="323"/>
      <c r="AL660" s="225"/>
    </row>
    <row r="661" ht="13.5" customHeight="1">
      <c r="A661" s="225"/>
      <c r="B661" s="225"/>
      <c r="C661" s="225"/>
      <c r="D661" s="225"/>
      <c r="E661" s="225"/>
      <c r="F661" s="44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  <c r="AA661" s="225"/>
      <c r="AB661" s="225"/>
      <c r="AC661" s="225"/>
      <c r="AD661" s="225"/>
      <c r="AE661" s="225"/>
      <c r="AF661" s="225"/>
      <c r="AG661" s="225"/>
      <c r="AH661" s="225"/>
      <c r="AI661" s="225"/>
      <c r="AJ661" s="225"/>
      <c r="AK661" s="323"/>
      <c r="AL661" s="225"/>
    </row>
    <row r="662" ht="13.5" customHeight="1">
      <c r="A662" s="225"/>
      <c r="B662" s="225"/>
      <c r="C662" s="225"/>
      <c r="D662" s="225"/>
      <c r="E662" s="225"/>
      <c r="F662" s="44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  <c r="AA662" s="225"/>
      <c r="AB662" s="225"/>
      <c r="AC662" s="225"/>
      <c r="AD662" s="225"/>
      <c r="AE662" s="225"/>
      <c r="AF662" s="225"/>
      <c r="AG662" s="225"/>
      <c r="AH662" s="225"/>
      <c r="AI662" s="225"/>
      <c r="AJ662" s="225"/>
      <c r="AK662" s="323"/>
      <c r="AL662" s="225"/>
    </row>
    <row r="663" ht="13.5" customHeight="1">
      <c r="A663" s="225"/>
      <c r="B663" s="225"/>
      <c r="C663" s="225"/>
      <c r="D663" s="225"/>
      <c r="E663" s="225"/>
      <c r="F663" s="44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  <c r="AA663" s="225"/>
      <c r="AB663" s="225"/>
      <c r="AC663" s="225"/>
      <c r="AD663" s="225"/>
      <c r="AE663" s="225"/>
      <c r="AF663" s="225"/>
      <c r="AG663" s="225"/>
      <c r="AH663" s="225"/>
      <c r="AI663" s="225"/>
      <c r="AJ663" s="225"/>
      <c r="AK663" s="323"/>
      <c r="AL663" s="225"/>
    </row>
    <row r="664" ht="13.5" customHeight="1">
      <c r="A664" s="225"/>
      <c r="B664" s="225"/>
      <c r="C664" s="225"/>
      <c r="D664" s="225"/>
      <c r="E664" s="225"/>
      <c r="F664" s="44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  <c r="AA664" s="225"/>
      <c r="AB664" s="225"/>
      <c r="AC664" s="225"/>
      <c r="AD664" s="225"/>
      <c r="AE664" s="225"/>
      <c r="AF664" s="225"/>
      <c r="AG664" s="225"/>
      <c r="AH664" s="225"/>
      <c r="AI664" s="225"/>
      <c r="AJ664" s="225"/>
      <c r="AK664" s="323"/>
      <c r="AL664" s="225"/>
    </row>
    <row r="665" ht="13.5" customHeight="1">
      <c r="A665" s="225"/>
      <c r="B665" s="225"/>
      <c r="C665" s="225"/>
      <c r="D665" s="225"/>
      <c r="E665" s="225"/>
      <c r="F665" s="44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  <c r="AA665" s="225"/>
      <c r="AB665" s="225"/>
      <c r="AC665" s="225"/>
      <c r="AD665" s="225"/>
      <c r="AE665" s="225"/>
      <c r="AF665" s="225"/>
      <c r="AG665" s="225"/>
      <c r="AH665" s="225"/>
      <c r="AI665" s="225"/>
      <c r="AJ665" s="225"/>
      <c r="AK665" s="323"/>
      <c r="AL665" s="225"/>
    </row>
    <row r="666" ht="13.5" customHeight="1">
      <c r="A666" s="225"/>
      <c r="B666" s="225"/>
      <c r="C666" s="225"/>
      <c r="D666" s="225"/>
      <c r="E666" s="225"/>
      <c r="F666" s="44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  <c r="AA666" s="225"/>
      <c r="AB666" s="225"/>
      <c r="AC666" s="225"/>
      <c r="AD666" s="225"/>
      <c r="AE666" s="225"/>
      <c r="AF666" s="225"/>
      <c r="AG666" s="225"/>
      <c r="AH666" s="225"/>
      <c r="AI666" s="225"/>
      <c r="AJ666" s="225"/>
      <c r="AK666" s="323"/>
      <c r="AL666" s="225"/>
    </row>
    <row r="667" ht="13.5" customHeight="1">
      <c r="A667" s="225"/>
      <c r="B667" s="225"/>
      <c r="C667" s="225"/>
      <c r="D667" s="225"/>
      <c r="E667" s="225"/>
      <c r="F667" s="44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  <c r="AA667" s="225"/>
      <c r="AB667" s="225"/>
      <c r="AC667" s="225"/>
      <c r="AD667" s="225"/>
      <c r="AE667" s="225"/>
      <c r="AF667" s="225"/>
      <c r="AG667" s="225"/>
      <c r="AH667" s="225"/>
      <c r="AI667" s="225"/>
      <c r="AJ667" s="225"/>
      <c r="AK667" s="323"/>
      <c r="AL667" s="225"/>
    </row>
    <row r="668" ht="13.5" customHeight="1">
      <c r="A668" s="225"/>
      <c r="B668" s="225"/>
      <c r="C668" s="225"/>
      <c r="D668" s="225"/>
      <c r="E668" s="225"/>
      <c r="F668" s="44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  <c r="AA668" s="225"/>
      <c r="AB668" s="225"/>
      <c r="AC668" s="225"/>
      <c r="AD668" s="225"/>
      <c r="AE668" s="225"/>
      <c r="AF668" s="225"/>
      <c r="AG668" s="225"/>
      <c r="AH668" s="225"/>
      <c r="AI668" s="225"/>
      <c r="AJ668" s="225"/>
      <c r="AK668" s="323"/>
      <c r="AL668" s="225"/>
    </row>
    <row r="669" ht="13.5" customHeight="1">
      <c r="A669" s="225"/>
      <c r="B669" s="225"/>
      <c r="C669" s="225"/>
      <c r="D669" s="225"/>
      <c r="E669" s="225"/>
      <c r="F669" s="44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  <c r="AA669" s="225"/>
      <c r="AB669" s="225"/>
      <c r="AC669" s="225"/>
      <c r="AD669" s="225"/>
      <c r="AE669" s="225"/>
      <c r="AF669" s="225"/>
      <c r="AG669" s="225"/>
      <c r="AH669" s="225"/>
      <c r="AI669" s="225"/>
      <c r="AJ669" s="225"/>
      <c r="AK669" s="323"/>
      <c r="AL669" s="225"/>
    </row>
    <row r="670" ht="13.5" customHeight="1">
      <c r="A670" s="225"/>
      <c r="B670" s="225"/>
      <c r="C670" s="225"/>
      <c r="D670" s="225"/>
      <c r="E670" s="225"/>
      <c r="F670" s="44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  <c r="AA670" s="225"/>
      <c r="AB670" s="225"/>
      <c r="AC670" s="225"/>
      <c r="AD670" s="225"/>
      <c r="AE670" s="225"/>
      <c r="AF670" s="225"/>
      <c r="AG670" s="225"/>
      <c r="AH670" s="225"/>
      <c r="AI670" s="225"/>
      <c r="AJ670" s="225"/>
      <c r="AK670" s="323"/>
      <c r="AL670" s="225"/>
    </row>
    <row r="671" ht="13.5" customHeight="1">
      <c r="A671" s="225"/>
      <c r="B671" s="225"/>
      <c r="C671" s="225"/>
      <c r="D671" s="225"/>
      <c r="E671" s="225"/>
      <c r="F671" s="44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  <c r="AA671" s="225"/>
      <c r="AB671" s="225"/>
      <c r="AC671" s="225"/>
      <c r="AD671" s="225"/>
      <c r="AE671" s="225"/>
      <c r="AF671" s="225"/>
      <c r="AG671" s="225"/>
      <c r="AH671" s="225"/>
      <c r="AI671" s="225"/>
      <c r="AJ671" s="225"/>
      <c r="AK671" s="323"/>
      <c r="AL671" s="225"/>
    </row>
    <row r="672" ht="13.5" customHeight="1">
      <c r="A672" s="225"/>
      <c r="B672" s="225"/>
      <c r="C672" s="225"/>
      <c r="D672" s="225"/>
      <c r="E672" s="225"/>
      <c r="F672" s="44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  <c r="AA672" s="225"/>
      <c r="AB672" s="225"/>
      <c r="AC672" s="225"/>
      <c r="AD672" s="225"/>
      <c r="AE672" s="225"/>
      <c r="AF672" s="225"/>
      <c r="AG672" s="225"/>
      <c r="AH672" s="225"/>
      <c r="AI672" s="225"/>
      <c r="AJ672" s="225"/>
      <c r="AK672" s="323"/>
      <c r="AL672" s="225"/>
    </row>
    <row r="673" ht="13.5" customHeight="1">
      <c r="A673" s="225"/>
      <c r="B673" s="225"/>
      <c r="C673" s="225"/>
      <c r="D673" s="225"/>
      <c r="E673" s="225"/>
      <c r="F673" s="44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  <c r="AA673" s="225"/>
      <c r="AB673" s="225"/>
      <c r="AC673" s="225"/>
      <c r="AD673" s="225"/>
      <c r="AE673" s="225"/>
      <c r="AF673" s="225"/>
      <c r="AG673" s="225"/>
      <c r="AH673" s="225"/>
      <c r="AI673" s="225"/>
      <c r="AJ673" s="225"/>
      <c r="AK673" s="323"/>
      <c r="AL673" s="225"/>
    </row>
    <row r="674" ht="13.5" customHeight="1">
      <c r="A674" s="225"/>
      <c r="B674" s="225"/>
      <c r="C674" s="225"/>
      <c r="D674" s="225"/>
      <c r="E674" s="225"/>
      <c r="F674" s="44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  <c r="AA674" s="225"/>
      <c r="AB674" s="225"/>
      <c r="AC674" s="225"/>
      <c r="AD674" s="225"/>
      <c r="AE674" s="225"/>
      <c r="AF674" s="225"/>
      <c r="AG674" s="225"/>
      <c r="AH674" s="225"/>
      <c r="AI674" s="225"/>
      <c r="AJ674" s="225"/>
      <c r="AK674" s="323"/>
      <c r="AL674" s="225"/>
    </row>
    <row r="675" ht="13.5" customHeight="1">
      <c r="A675" s="225"/>
      <c r="B675" s="225"/>
      <c r="C675" s="225"/>
      <c r="D675" s="225"/>
      <c r="E675" s="225"/>
      <c r="F675" s="44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  <c r="AA675" s="225"/>
      <c r="AB675" s="225"/>
      <c r="AC675" s="225"/>
      <c r="AD675" s="225"/>
      <c r="AE675" s="225"/>
      <c r="AF675" s="225"/>
      <c r="AG675" s="225"/>
      <c r="AH675" s="225"/>
      <c r="AI675" s="225"/>
      <c r="AJ675" s="225"/>
      <c r="AK675" s="323"/>
      <c r="AL675" s="225"/>
    </row>
    <row r="676" ht="13.5" customHeight="1">
      <c r="A676" s="225"/>
      <c r="B676" s="225"/>
      <c r="C676" s="225"/>
      <c r="D676" s="225"/>
      <c r="E676" s="225"/>
      <c r="F676" s="44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  <c r="AA676" s="225"/>
      <c r="AB676" s="225"/>
      <c r="AC676" s="225"/>
      <c r="AD676" s="225"/>
      <c r="AE676" s="225"/>
      <c r="AF676" s="225"/>
      <c r="AG676" s="225"/>
      <c r="AH676" s="225"/>
      <c r="AI676" s="225"/>
      <c r="AJ676" s="225"/>
      <c r="AK676" s="323"/>
      <c r="AL676" s="225"/>
    </row>
    <row r="677" ht="13.5" customHeight="1">
      <c r="A677" s="225"/>
      <c r="B677" s="225"/>
      <c r="C677" s="225"/>
      <c r="D677" s="225"/>
      <c r="E677" s="225"/>
      <c r="F677" s="44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323"/>
      <c r="AL677" s="225"/>
    </row>
    <row r="678" ht="13.5" customHeight="1">
      <c r="A678" s="225"/>
      <c r="B678" s="225"/>
      <c r="C678" s="225"/>
      <c r="D678" s="225"/>
      <c r="E678" s="225"/>
      <c r="F678" s="44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  <c r="AA678" s="225"/>
      <c r="AB678" s="225"/>
      <c r="AC678" s="225"/>
      <c r="AD678" s="225"/>
      <c r="AE678" s="225"/>
      <c r="AF678" s="225"/>
      <c r="AG678" s="225"/>
      <c r="AH678" s="225"/>
      <c r="AI678" s="225"/>
      <c r="AJ678" s="225"/>
      <c r="AK678" s="323"/>
      <c r="AL678" s="225"/>
    </row>
    <row r="679" ht="13.5" customHeight="1">
      <c r="A679" s="225"/>
      <c r="B679" s="225"/>
      <c r="C679" s="225"/>
      <c r="D679" s="225"/>
      <c r="E679" s="225"/>
      <c r="F679" s="44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  <c r="AA679" s="225"/>
      <c r="AB679" s="225"/>
      <c r="AC679" s="225"/>
      <c r="AD679" s="225"/>
      <c r="AE679" s="225"/>
      <c r="AF679" s="225"/>
      <c r="AG679" s="225"/>
      <c r="AH679" s="225"/>
      <c r="AI679" s="225"/>
      <c r="AJ679" s="225"/>
      <c r="AK679" s="323"/>
      <c r="AL679" s="225"/>
    </row>
    <row r="680" ht="13.5" customHeight="1">
      <c r="A680" s="225"/>
      <c r="B680" s="225"/>
      <c r="C680" s="225"/>
      <c r="D680" s="225"/>
      <c r="E680" s="225"/>
      <c r="F680" s="44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  <c r="AA680" s="225"/>
      <c r="AB680" s="225"/>
      <c r="AC680" s="225"/>
      <c r="AD680" s="225"/>
      <c r="AE680" s="225"/>
      <c r="AF680" s="225"/>
      <c r="AG680" s="225"/>
      <c r="AH680" s="225"/>
      <c r="AI680" s="225"/>
      <c r="AJ680" s="225"/>
      <c r="AK680" s="323"/>
      <c r="AL680" s="225"/>
    </row>
    <row r="681" ht="13.5" customHeight="1">
      <c r="A681" s="225"/>
      <c r="B681" s="225"/>
      <c r="C681" s="225"/>
      <c r="D681" s="225"/>
      <c r="E681" s="225"/>
      <c r="F681" s="44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  <c r="AA681" s="225"/>
      <c r="AB681" s="225"/>
      <c r="AC681" s="225"/>
      <c r="AD681" s="225"/>
      <c r="AE681" s="225"/>
      <c r="AF681" s="225"/>
      <c r="AG681" s="225"/>
      <c r="AH681" s="225"/>
      <c r="AI681" s="225"/>
      <c r="AJ681" s="225"/>
      <c r="AK681" s="323"/>
      <c r="AL681" s="225"/>
    </row>
    <row r="682" ht="13.5" customHeight="1">
      <c r="A682" s="225"/>
      <c r="B682" s="225"/>
      <c r="C682" s="225"/>
      <c r="D682" s="225"/>
      <c r="E682" s="225"/>
      <c r="F682" s="44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323"/>
      <c r="AL682" s="225"/>
    </row>
    <row r="683" ht="13.5" customHeight="1">
      <c r="A683" s="225"/>
      <c r="B683" s="225"/>
      <c r="C683" s="225"/>
      <c r="D683" s="225"/>
      <c r="E683" s="225"/>
      <c r="F683" s="44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  <c r="AA683" s="225"/>
      <c r="AB683" s="225"/>
      <c r="AC683" s="225"/>
      <c r="AD683" s="225"/>
      <c r="AE683" s="225"/>
      <c r="AF683" s="225"/>
      <c r="AG683" s="225"/>
      <c r="AH683" s="225"/>
      <c r="AI683" s="225"/>
      <c r="AJ683" s="225"/>
      <c r="AK683" s="323"/>
      <c r="AL683" s="225"/>
    </row>
    <row r="684" ht="13.5" customHeight="1">
      <c r="A684" s="225"/>
      <c r="B684" s="225"/>
      <c r="C684" s="225"/>
      <c r="D684" s="225"/>
      <c r="E684" s="225"/>
      <c r="F684" s="44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  <c r="AA684" s="225"/>
      <c r="AB684" s="225"/>
      <c r="AC684" s="225"/>
      <c r="AD684" s="225"/>
      <c r="AE684" s="225"/>
      <c r="AF684" s="225"/>
      <c r="AG684" s="225"/>
      <c r="AH684" s="225"/>
      <c r="AI684" s="225"/>
      <c r="AJ684" s="225"/>
      <c r="AK684" s="323"/>
      <c r="AL684" s="225"/>
    </row>
    <row r="685" ht="13.5" customHeight="1">
      <c r="A685" s="225"/>
      <c r="B685" s="225"/>
      <c r="C685" s="225"/>
      <c r="D685" s="225"/>
      <c r="E685" s="225"/>
      <c r="F685" s="44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  <c r="AA685" s="225"/>
      <c r="AB685" s="225"/>
      <c r="AC685" s="225"/>
      <c r="AD685" s="225"/>
      <c r="AE685" s="225"/>
      <c r="AF685" s="225"/>
      <c r="AG685" s="225"/>
      <c r="AH685" s="225"/>
      <c r="AI685" s="225"/>
      <c r="AJ685" s="225"/>
      <c r="AK685" s="323"/>
      <c r="AL685" s="225"/>
    </row>
    <row r="686" ht="13.5" customHeight="1">
      <c r="A686" s="225"/>
      <c r="B686" s="225"/>
      <c r="C686" s="225"/>
      <c r="D686" s="225"/>
      <c r="E686" s="225"/>
      <c r="F686" s="44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  <c r="AA686" s="225"/>
      <c r="AB686" s="225"/>
      <c r="AC686" s="225"/>
      <c r="AD686" s="225"/>
      <c r="AE686" s="225"/>
      <c r="AF686" s="225"/>
      <c r="AG686" s="225"/>
      <c r="AH686" s="225"/>
      <c r="AI686" s="225"/>
      <c r="AJ686" s="225"/>
      <c r="AK686" s="323"/>
      <c r="AL686" s="225"/>
    </row>
    <row r="687" ht="13.5" customHeight="1">
      <c r="A687" s="225"/>
      <c r="B687" s="225"/>
      <c r="C687" s="225"/>
      <c r="D687" s="225"/>
      <c r="E687" s="225"/>
      <c r="F687" s="44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  <c r="AA687" s="225"/>
      <c r="AB687" s="225"/>
      <c r="AC687" s="225"/>
      <c r="AD687" s="225"/>
      <c r="AE687" s="225"/>
      <c r="AF687" s="225"/>
      <c r="AG687" s="225"/>
      <c r="AH687" s="225"/>
      <c r="AI687" s="225"/>
      <c r="AJ687" s="225"/>
      <c r="AK687" s="323"/>
      <c r="AL687" s="225"/>
    </row>
    <row r="688" ht="13.5" customHeight="1">
      <c r="A688" s="225"/>
      <c r="B688" s="225"/>
      <c r="C688" s="225"/>
      <c r="D688" s="225"/>
      <c r="E688" s="225"/>
      <c r="F688" s="44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  <c r="AA688" s="225"/>
      <c r="AB688" s="225"/>
      <c r="AC688" s="225"/>
      <c r="AD688" s="225"/>
      <c r="AE688" s="225"/>
      <c r="AF688" s="225"/>
      <c r="AG688" s="225"/>
      <c r="AH688" s="225"/>
      <c r="AI688" s="225"/>
      <c r="AJ688" s="225"/>
      <c r="AK688" s="323"/>
      <c r="AL688" s="225"/>
    </row>
    <row r="689" ht="13.5" customHeight="1">
      <c r="A689" s="225"/>
      <c r="B689" s="225"/>
      <c r="C689" s="225"/>
      <c r="D689" s="225"/>
      <c r="E689" s="225"/>
      <c r="F689" s="44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  <c r="AA689" s="225"/>
      <c r="AB689" s="225"/>
      <c r="AC689" s="225"/>
      <c r="AD689" s="225"/>
      <c r="AE689" s="225"/>
      <c r="AF689" s="225"/>
      <c r="AG689" s="225"/>
      <c r="AH689" s="225"/>
      <c r="AI689" s="225"/>
      <c r="AJ689" s="225"/>
      <c r="AK689" s="323"/>
      <c r="AL689" s="225"/>
    </row>
    <row r="690" ht="13.5" customHeight="1">
      <c r="A690" s="225"/>
      <c r="B690" s="225"/>
      <c r="C690" s="225"/>
      <c r="D690" s="225"/>
      <c r="E690" s="225"/>
      <c r="F690" s="44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  <c r="AA690" s="225"/>
      <c r="AB690" s="225"/>
      <c r="AC690" s="225"/>
      <c r="AD690" s="225"/>
      <c r="AE690" s="225"/>
      <c r="AF690" s="225"/>
      <c r="AG690" s="225"/>
      <c r="AH690" s="225"/>
      <c r="AI690" s="225"/>
      <c r="AJ690" s="225"/>
      <c r="AK690" s="323"/>
      <c r="AL690" s="225"/>
    </row>
    <row r="691" ht="13.5" customHeight="1">
      <c r="A691" s="225"/>
      <c r="B691" s="225"/>
      <c r="C691" s="225"/>
      <c r="D691" s="225"/>
      <c r="E691" s="225"/>
      <c r="F691" s="44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  <c r="AA691" s="225"/>
      <c r="AB691" s="225"/>
      <c r="AC691" s="225"/>
      <c r="AD691" s="225"/>
      <c r="AE691" s="225"/>
      <c r="AF691" s="225"/>
      <c r="AG691" s="225"/>
      <c r="AH691" s="225"/>
      <c r="AI691" s="225"/>
      <c r="AJ691" s="225"/>
      <c r="AK691" s="323"/>
      <c r="AL691" s="225"/>
    </row>
    <row r="692" ht="13.5" customHeight="1">
      <c r="A692" s="225"/>
      <c r="B692" s="225"/>
      <c r="C692" s="225"/>
      <c r="D692" s="225"/>
      <c r="E692" s="225"/>
      <c r="F692" s="44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  <c r="AA692" s="225"/>
      <c r="AB692" s="225"/>
      <c r="AC692" s="225"/>
      <c r="AD692" s="225"/>
      <c r="AE692" s="225"/>
      <c r="AF692" s="225"/>
      <c r="AG692" s="225"/>
      <c r="AH692" s="225"/>
      <c r="AI692" s="225"/>
      <c r="AJ692" s="225"/>
      <c r="AK692" s="323"/>
      <c r="AL692" s="225"/>
    </row>
    <row r="693" ht="13.5" customHeight="1">
      <c r="A693" s="225"/>
      <c r="B693" s="225"/>
      <c r="C693" s="225"/>
      <c r="D693" s="225"/>
      <c r="E693" s="225"/>
      <c r="F693" s="44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  <c r="AA693" s="225"/>
      <c r="AB693" s="225"/>
      <c r="AC693" s="225"/>
      <c r="AD693" s="225"/>
      <c r="AE693" s="225"/>
      <c r="AF693" s="225"/>
      <c r="AG693" s="225"/>
      <c r="AH693" s="225"/>
      <c r="AI693" s="225"/>
      <c r="AJ693" s="225"/>
      <c r="AK693" s="323"/>
      <c r="AL693" s="225"/>
    </row>
    <row r="694" ht="13.5" customHeight="1">
      <c r="A694" s="225"/>
      <c r="B694" s="225"/>
      <c r="C694" s="225"/>
      <c r="D694" s="225"/>
      <c r="E694" s="225"/>
      <c r="F694" s="44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  <c r="AA694" s="225"/>
      <c r="AB694" s="225"/>
      <c r="AC694" s="225"/>
      <c r="AD694" s="225"/>
      <c r="AE694" s="225"/>
      <c r="AF694" s="225"/>
      <c r="AG694" s="225"/>
      <c r="AH694" s="225"/>
      <c r="AI694" s="225"/>
      <c r="AJ694" s="225"/>
      <c r="AK694" s="323"/>
      <c r="AL694" s="225"/>
    </row>
    <row r="695" ht="13.5" customHeight="1">
      <c r="A695" s="225"/>
      <c r="B695" s="225"/>
      <c r="C695" s="225"/>
      <c r="D695" s="225"/>
      <c r="E695" s="225"/>
      <c r="F695" s="44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  <c r="AA695" s="225"/>
      <c r="AB695" s="225"/>
      <c r="AC695" s="225"/>
      <c r="AD695" s="225"/>
      <c r="AE695" s="225"/>
      <c r="AF695" s="225"/>
      <c r="AG695" s="225"/>
      <c r="AH695" s="225"/>
      <c r="AI695" s="225"/>
      <c r="AJ695" s="225"/>
      <c r="AK695" s="323"/>
      <c r="AL695" s="225"/>
    </row>
    <row r="696" ht="13.5" customHeight="1">
      <c r="A696" s="225"/>
      <c r="B696" s="225"/>
      <c r="C696" s="225"/>
      <c r="D696" s="225"/>
      <c r="E696" s="225"/>
      <c r="F696" s="44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  <c r="AA696" s="225"/>
      <c r="AB696" s="225"/>
      <c r="AC696" s="225"/>
      <c r="AD696" s="225"/>
      <c r="AE696" s="225"/>
      <c r="AF696" s="225"/>
      <c r="AG696" s="225"/>
      <c r="AH696" s="225"/>
      <c r="AI696" s="225"/>
      <c r="AJ696" s="225"/>
      <c r="AK696" s="323"/>
      <c r="AL696" s="225"/>
    </row>
    <row r="697" ht="13.5" customHeight="1">
      <c r="A697" s="225"/>
      <c r="B697" s="225"/>
      <c r="C697" s="225"/>
      <c r="D697" s="225"/>
      <c r="E697" s="225"/>
      <c r="F697" s="44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  <c r="AA697" s="225"/>
      <c r="AB697" s="225"/>
      <c r="AC697" s="225"/>
      <c r="AD697" s="225"/>
      <c r="AE697" s="225"/>
      <c r="AF697" s="225"/>
      <c r="AG697" s="225"/>
      <c r="AH697" s="225"/>
      <c r="AI697" s="225"/>
      <c r="AJ697" s="225"/>
      <c r="AK697" s="323"/>
      <c r="AL697" s="225"/>
    </row>
    <row r="698" ht="13.5" customHeight="1">
      <c r="A698" s="225"/>
      <c r="B698" s="225"/>
      <c r="C698" s="225"/>
      <c r="D698" s="225"/>
      <c r="E698" s="225"/>
      <c r="F698" s="44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  <c r="AA698" s="225"/>
      <c r="AB698" s="225"/>
      <c r="AC698" s="225"/>
      <c r="AD698" s="225"/>
      <c r="AE698" s="225"/>
      <c r="AF698" s="225"/>
      <c r="AG698" s="225"/>
      <c r="AH698" s="225"/>
      <c r="AI698" s="225"/>
      <c r="AJ698" s="225"/>
      <c r="AK698" s="323"/>
      <c r="AL698" s="225"/>
    </row>
    <row r="699" ht="13.5" customHeight="1">
      <c r="A699" s="225"/>
      <c r="B699" s="225"/>
      <c r="C699" s="225"/>
      <c r="D699" s="225"/>
      <c r="E699" s="225"/>
      <c r="F699" s="44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  <c r="AA699" s="225"/>
      <c r="AB699" s="225"/>
      <c r="AC699" s="225"/>
      <c r="AD699" s="225"/>
      <c r="AE699" s="225"/>
      <c r="AF699" s="225"/>
      <c r="AG699" s="225"/>
      <c r="AH699" s="225"/>
      <c r="AI699" s="225"/>
      <c r="AJ699" s="225"/>
      <c r="AK699" s="323"/>
      <c r="AL699" s="225"/>
    </row>
    <row r="700" ht="13.5" customHeight="1">
      <c r="A700" s="225"/>
      <c r="B700" s="225"/>
      <c r="C700" s="225"/>
      <c r="D700" s="225"/>
      <c r="E700" s="225"/>
      <c r="F700" s="44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  <c r="AA700" s="225"/>
      <c r="AB700" s="225"/>
      <c r="AC700" s="225"/>
      <c r="AD700" s="225"/>
      <c r="AE700" s="225"/>
      <c r="AF700" s="225"/>
      <c r="AG700" s="225"/>
      <c r="AH700" s="225"/>
      <c r="AI700" s="225"/>
      <c r="AJ700" s="225"/>
      <c r="AK700" s="323"/>
      <c r="AL700" s="225"/>
    </row>
    <row r="701" ht="13.5" customHeight="1">
      <c r="A701" s="225"/>
      <c r="B701" s="225"/>
      <c r="C701" s="225"/>
      <c r="D701" s="225"/>
      <c r="E701" s="225"/>
      <c r="F701" s="44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  <c r="AA701" s="225"/>
      <c r="AB701" s="225"/>
      <c r="AC701" s="225"/>
      <c r="AD701" s="225"/>
      <c r="AE701" s="225"/>
      <c r="AF701" s="225"/>
      <c r="AG701" s="225"/>
      <c r="AH701" s="225"/>
      <c r="AI701" s="225"/>
      <c r="AJ701" s="225"/>
      <c r="AK701" s="323"/>
      <c r="AL701" s="225"/>
    </row>
    <row r="702" ht="13.5" customHeight="1">
      <c r="A702" s="225"/>
      <c r="B702" s="225"/>
      <c r="C702" s="225"/>
      <c r="D702" s="225"/>
      <c r="E702" s="225"/>
      <c r="F702" s="44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  <c r="AA702" s="225"/>
      <c r="AB702" s="225"/>
      <c r="AC702" s="225"/>
      <c r="AD702" s="225"/>
      <c r="AE702" s="225"/>
      <c r="AF702" s="225"/>
      <c r="AG702" s="225"/>
      <c r="AH702" s="225"/>
      <c r="AI702" s="225"/>
      <c r="AJ702" s="225"/>
      <c r="AK702" s="323"/>
      <c r="AL702" s="225"/>
    </row>
    <row r="703" ht="13.5" customHeight="1">
      <c r="A703" s="225"/>
      <c r="B703" s="225"/>
      <c r="C703" s="225"/>
      <c r="D703" s="225"/>
      <c r="E703" s="225"/>
      <c r="F703" s="44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  <c r="AA703" s="225"/>
      <c r="AB703" s="225"/>
      <c r="AC703" s="225"/>
      <c r="AD703" s="225"/>
      <c r="AE703" s="225"/>
      <c r="AF703" s="225"/>
      <c r="AG703" s="225"/>
      <c r="AH703" s="225"/>
      <c r="AI703" s="225"/>
      <c r="AJ703" s="225"/>
      <c r="AK703" s="323"/>
      <c r="AL703" s="225"/>
    </row>
    <row r="704" ht="13.5" customHeight="1">
      <c r="A704" s="225"/>
      <c r="B704" s="225"/>
      <c r="C704" s="225"/>
      <c r="D704" s="225"/>
      <c r="E704" s="225"/>
      <c r="F704" s="44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  <c r="AA704" s="225"/>
      <c r="AB704" s="225"/>
      <c r="AC704" s="225"/>
      <c r="AD704" s="225"/>
      <c r="AE704" s="225"/>
      <c r="AF704" s="225"/>
      <c r="AG704" s="225"/>
      <c r="AH704" s="225"/>
      <c r="AI704" s="225"/>
      <c r="AJ704" s="225"/>
      <c r="AK704" s="323"/>
      <c r="AL704" s="225"/>
    </row>
    <row r="705" ht="13.5" customHeight="1">
      <c r="A705" s="225"/>
      <c r="B705" s="225"/>
      <c r="C705" s="225"/>
      <c r="D705" s="225"/>
      <c r="E705" s="225"/>
      <c r="F705" s="44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  <c r="AA705" s="225"/>
      <c r="AB705" s="225"/>
      <c r="AC705" s="225"/>
      <c r="AD705" s="225"/>
      <c r="AE705" s="225"/>
      <c r="AF705" s="225"/>
      <c r="AG705" s="225"/>
      <c r="AH705" s="225"/>
      <c r="AI705" s="225"/>
      <c r="AJ705" s="225"/>
      <c r="AK705" s="323"/>
      <c r="AL705" s="225"/>
    </row>
    <row r="706" ht="13.5" customHeight="1">
      <c r="A706" s="225"/>
      <c r="B706" s="225"/>
      <c r="C706" s="225"/>
      <c r="D706" s="225"/>
      <c r="E706" s="225"/>
      <c r="F706" s="44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  <c r="AA706" s="225"/>
      <c r="AB706" s="225"/>
      <c r="AC706" s="225"/>
      <c r="AD706" s="225"/>
      <c r="AE706" s="225"/>
      <c r="AF706" s="225"/>
      <c r="AG706" s="225"/>
      <c r="AH706" s="225"/>
      <c r="AI706" s="225"/>
      <c r="AJ706" s="225"/>
      <c r="AK706" s="323"/>
      <c r="AL706" s="225"/>
    </row>
    <row r="707" ht="13.5" customHeight="1">
      <c r="A707" s="225"/>
      <c r="B707" s="225"/>
      <c r="C707" s="225"/>
      <c r="D707" s="225"/>
      <c r="E707" s="225"/>
      <c r="F707" s="44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  <c r="AA707" s="225"/>
      <c r="AB707" s="225"/>
      <c r="AC707" s="225"/>
      <c r="AD707" s="225"/>
      <c r="AE707" s="225"/>
      <c r="AF707" s="225"/>
      <c r="AG707" s="225"/>
      <c r="AH707" s="225"/>
      <c r="AI707" s="225"/>
      <c r="AJ707" s="225"/>
      <c r="AK707" s="323"/>
      <c r="AL707" s="225"/>
    </row>
    <row r="708" ht="13.5" customHeight="1">
      <c r="A708" s="225"/>
      <c r="B708" s="225"/>
      <c r="C708" s="225"/>
      <c r="D708" s="225"/>
      <c r="E708" s="225"/>
      <c r="F708" s="44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  <c r="AA708" s="225"/>
      <c r="AB708" s="225"/>
      <c r="AC708" s="225"/>
      <c r="AD708" s="225"/>
      <c r="AE708" s="225"/>
      <c r="AF708" s="225"/>
      <c r="AG708" s="225"/>
      <c r="AH708" s="225"/>
      <c r="AI708" s="225"/>
      <c r="AJ708" s="225"/>
      <c r="AK708" s="323"/>
      <c r="AL708" s="225"/>
    </row>
    <row r="709" ht="13.5" customHeight="1">
      <c r="A709" s="225"/>
      <c r="B709" s="225"/>
      <c r="C709" s="225"/>
      <c r="D709" s="225"/>
      <c r="E709" s="225"/>
      <c r="F709" s="44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  <c r="AA709" s="225"/>
      <c r="AB709" s="225"/>
      <c r="AC709" s="225"/>
      <c r="AD709" s="225"/>
      <c r="AE709" s="225"/>
      <c r="AF709" s="225"/>
      <c r="AG709" s="225"/>
      <c r="AH709" s="225"/>
      <c r="AI709" s="225"/>
      <c r="AJ709" s="225"/>
      <c r="AK709" s="323"/>
      <c r="AL709" s="225"/>
    </row>
    <row r="710" ht="13.5" customHeight="1">
      <c r="A710" s="225"/>
      <c r="B710" s="225"/>
      <c r="C710" s="225"/>
      <c r="D710" s="225"/>
      <c r="E710" s="225"/>
      <c r="F710" s="44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  <c r="AA710" s="225"/>
      <c r="AB710" s="225"/>
      <c r="AC710" s="225"/>
      <c r="AD710" s="225"/>
      <c r="AE710" s="225"/>
      <c r="AF710" s="225"/>
      <c r="AG710" s="225"/>
      <c r="AH710" s="225"/>
      <c r="AI710" s="225"/>
      <c r="AJ710" s="225"/>
      <c r="AK710" s="323"/>
      <c r="AL710" s="225"/>
    </row>
    <row r="711" ht="13.5" customHeight="1">
      <c r="A711" s="225"/>
      <c r="B711" s="225"/>
      <c r="C711" s="225"/>
      <c r="D711" s="225"/>
      <c r="E711" s="225"/>
      <c r="F711" s="44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  <c r="AA711" s="225"/>
      <c r="AB711" s="225"/>
      <c r="AC711" s="225"/>
      <c r="AD711" s="225"/>
      <c r="AE711" s="225"/>
      <c r="AF711" s="225"/>
      <c r="AG711" s="225"/>
      <c r="AH711" s="225"/>
      <c r="AI711" s="225"/>
      <c r="AJ711" s="225"/>
      <c r="AK711" s="323"/>
      <c r="AL711" s="225"/>
    </row>
    <row r="712" ht="13.5" customHeight="1">
      <c r="A712" s="225"/>
      <c r="B712" s="225"/>
      <c r="C712" s="225"/>
      <c r="D712" s="225"/>
      <c r="E712" s="225"/>
      <c r="F712" s="44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  <c r="AA712" s="225"/>
      <c r="AB712" s="225"/>
      <c r="AC712" s="225"/>
      <c r="AD712" s="225"/>
      <c r="AE712" s="225"/>
      <c r="AF712" s="225"/>
      <c r="AG712" s="225"/>
      <c r="AH712" s="225"/>
      <c r="AI712" s="225"/>
      <c r="AJ712" s="225"/>
      <c r="AK712" s="323"/>
      <c r="AL712" s="225"/>
    </row>
    <row r="713" ht="13.5" customHeight="1">
      <c r="A713" s="225"/>
      <c r="B713" s="225"/>
      <c r="C713" s="225"/>
      <c r="D713" s="225"/>
      <c r="E713" s="225"/>
      <c r="F713" s="44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  <c r="AA713" s="225"/>
      <c r="AB713" s="225"/>
      <c r="AC713" s="225"/>
      <c r="AD713" s="225"/>
      <c r="AE713" s="225"/>
      <c r="AF713" s="225"/>
      <c r="AG713" s="225"/>
      <c r="AH713" s="225"/>
      <c r="AI713" s="225"/>
      <c r="AJ713" s="225"/>
      <c r="AK713" s="323"/>
      <c r="AL713" s="225"/>
    </row>
    <row r="714" ht="13.5" customHeight="1">
      <c r="A714" s="225"/>
      <c r="B714" s="225"/>
      <c r="C714" s="225"/>
      <c r="D714" s="225"/>
      <c r="E714" s="225"/>
      <c r="F714" s="44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  <c r="AA714" s="225"/>
      <c r="AB714" s="225"/>
      <c r="AC714" s="225"/>
      <c r="AD714" s="225"/>
      <c r="AE714" s="225"/>
      <c r="AF714" s="225"/>
      <c r="AG714" s="225"/>
      <c r="AH714" s="225"/>
      <c r="AI714" s="225"/>
      <c r="AJ714" s="225"/>
      <c r="AK714" s="323"/>
      <c r="AL714" s="225"/>
    </row>
    <row r="715" ht="13.5" customHeight="1">
      <c r="A715" s="225"/>
      <c r="B715" s="225"/>
      <c r="C715" s="225"/>
      <c r="D715" s="225"/>
      <c r="E715" s="225"/>
      <c r="F715" s="44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  <c r="AA715" s="225"/>
      <c r="AB715" s="225"/>
      <c r="AC715" s="225"/>
      <c r="AD715" s="225"/>
      <c r="AE715" s="225"/>
      <c r="AF715" s="225"/>
      <c r="AG715" s="225"/>
      <c r="AH715" s="225"/>
      <c r="AI715" s="225"/>
      <c r="AJ715" s="225"/>
      <c r="AK715" s="323"/>
      <c r="AL715" s="225"/>
    </row>
    <row r="716" ht="13.5" customHeight="1">
      <c r="A716" s="225"/>
      <c r="B716" s="225"/>
      <c r="C716" s="225"/>
      <c r="D716" s="225"/>
      <c r="E716" s="225"/>
      <c r="F716" s="44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  <c r="AA716" s="225"/>
      <c r="AB716" s="225"/>
      <c r="AC716" s="225"/>
      <c r="AD716" s="225"/>
      <c r="AE716" s="225"/>
      <c r="AF716" s="225"/>
      <c r="AG716" s="225"/>
      <c r="AH716" s="225"/>
      <c r="AI716" s="225"/>
      <c r="AJ716" s="225"/>
      <c r="AK716" s="323"/>
      <c r="AL716" s="225"/>
    </row>
    <row r="717" ht="13.5" customHeight="1">
      <c r="A717" s="225"/>
      <c r="B717" s="225"/>
      <c r="C717" s="225"/>
      <c r="D717" s="225"/>
      <c r="E717" s="225"/>
      <c r="F717" s="44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  <c r="AB717" s="225"/>
      <c r="AC717" s="225"/>
      <c r="AD717" s="225"/>
      <c r="AE717" s="225"/>
      <c r="AF717" s="225"/>
      <c r="AG717" s="225"/>
      <c r="AH717" s="225"/>
      <c r="AI717" s="225"/>
      <c r="AJ717" s="225"/>
      <c r="AK717" s="323"/>
      <c r="AL717" s="225"/>
    </row>
    <row r="718" ht="13.5" customHeight="1">
      <c r="A718" s="225"/>
      <c r="B718" s="225"/>
      <c r="C718" s="225"/>
      <c r="D718" s="225"/>
      <c r="E718" s="225"/>
      <c r="F718" s="44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  <c r="AA718" s="225"/>
      <c r="AB718" s="225"/>
      <c r="AC718" s="225"/>
      <c r="AD718" s="225"/>
      <c r="AE718" s="225"/>
      <c r="AF718" s="225"/>
      <c r="AG718" s="225"/>
      <c r="AH718" s="225"/>
      <c r="AI718" s="225"/>
      <c r="AJ718" s="225"/>
      <c r="AK718" s="323"/>
      <c r="AL718" s="225"/>
    </row>
    <row r="719" ht="13.5" customHeight="1">
      <c r="A719" s="225"/>
      <c r="B719" s="225"/>
      <c r="C719" s="225"/>
      <c r="D719" s="225"/>
      <c r="E719" s="225"/>
      <c r="F719" s="44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  <c r="AA719" s="225"/>
      <c r="AB719" s="225"/>
      <c r="AC719" s="225"/>
      <c r="AD719" s="225"/>
      <c r="AE719" s="225"/>
      <c r="AF719" s="225"/>
      <c r="AG719" s="225"/>
      <c r="AH719" s="225"/>
      <c r="AI719" s="225"/>
      <c r="AJ719" s="225"/>
      <c r="AK719" s="323"/>
      <c r="AL719" s="225"/>
    </row>
    <row r="720" ht="13.5" customHeight="1">
      <c r="A720" s="225"/>
      <c r="B720" s="225"/>
      <c r="C720" s="225"/>
      <c r="D720" s="225"/>
      <c r="E720" s="225"/>
      <c r="F720" s="44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  <c r="AA720" s="225"/>
      <c r="AB720" s="225"/>
      <c r="AC720" s="225"/>
      <c r="AD720" s="225"/>
      <c r="AE720" s="225"/>
      <c r="AF720" s="225"/>
      <c r="AG720" s="225"/>
      <c r="AH720" s="225"/>
      <c r="AI720" s="225"/>
      <c r="AJ720" s="225"/>
      <c r="AK720" s="323"/>
      <c r="AL720" s="225"/>
    </row>
    <row r="721" ht="13.5" customHeight="1">
      <c r="A721" s="225"/>
      <c r="B721" s="225"/>
      <c r="C721" s="225"/>
      <c r="D721" s="225"/>
      <c r="E721" s="225"/>
      <c r="F721" s="44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  <c r="AA721" s="225"/>
      <c r="AB721" s="225"/>
      <c r="AC721" s="225"/>
      <c r="AD721" s="225"/>
      <c r="AE721" s="225"/>
      <c r="AF721" s="225"/>
      <c r="AG721" s="225"/>
      <c r="AH721" s="225"/>
      <c r="AI721" s="225"/>
      <c r="AJ721" s="225"/>
      <c r="AK721" s="323"/>
      <c r="AL721" s="225"/>
    </row>
    <row r="722" ht="13.5" customHeight="1">
      <c r="A722" s="225"/>
      <c r="B722" s="225"/>
      <c r="C722" s="225"/>
      <c r="D722" s="225"/>
      <c r="E722" s="225"/>
      <c r="F722" s="44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  <c r="AA722" s="225"/>
      <c r="AB722" s="225"/>
      <c r="AC722" s="225"/>
      <c r="AD722" s="225"/>
      <c r="AE722" s="225"/>
      <c r="AF722" s="225"/>
      <c r="AG722" s="225"/>
      <c r="AH722" s="225"/>
      <c r="AI722" s="225"/>
      <c r="AJ722" s="225"/>
      <c r="AK722" s="323"/>
      <c r="AL722" s="225"/>
    </row>
    <row r="723" ht="13.5" customHeight="1">
      <c r="A723" s="225"/>
      <c r="B723" s="225"/>
      <c r="C723" s="225"/>
      <c r="D723" s="225"/>
      <c r="E723" s="225"/>
      <c r="F723" s="44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  <c r="AA723" s="225"/>
      <c r="AB723" s="225"/>
      <c r="AC723" s="225"/>
      <c r="AD723" s="225"/>
      <c r="AE723" s="225"/>
      <c r="AF723" s="225"/>
      <c r="AG723" s="225"/>
      <c r="AH723" s="225"/>
      <c r="AI723" s="225"/>
      <c r="AJ723" s="225"/>
      <c r="AK723" s="323"/>
      <c r="AL723" s="225"/>
    </row>
    <row r="724" ht="13.5" customHeight="1">
      <c r="A724" s="225"/>
      <c r="B724" s="225"/>
      <c r="C724" s="225"/>
      <c r="D724" s="225"/>
      <c r="E724" s="225"/>
      <c r="F724" s="44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  <c r="AA724" s="225"/>
      <c r="AB724" s="225"/>
      <c r="AC724" s="225"/>
      <c r="AD724" s="225"/>
      <c r="AE724" s="225"/>
      <c r="AF724" s="225"/>
      <c r="AG724" s="225"/>
      <c r="AH724" s="225"/>
      <c r="AI724" s="225"/>
      <c r="AJ724" s="225"/>
      <c r="AK724" s="323"/>
      <c r="AL724" s="225"/>
    </row>
    <row r="725" ht="13.5" customHeight="1">
      <c r="A725" s="225"/>
      <c r="B725" s="225"/>
      <c r="C725" s="225"/>
      <c r="D725" s="225"/>
      <c r="E725" s="225"/>
      <c r="F725" s="44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  <c r="AA725" s="225"/>
      <c r="AB725" s="225"/>
      <c r="AC725" s="225"/>
      <c r="AD725" s="225"/>
      <c r="AE725" s="225"/>
      <c r="AF725" s="225"/>
      <c r="AG725" s="225"/>
      <c r="AH725" s="225"/>
      <c r="AI725" s="225"/>
      <c r="AJ725" s="225"/>
      <c r="AK725" s="323"/>
      <c r="AL725" s="225"/>
    </row>
    <row r="726" ht="13.5" customHeight="1">
      <c r="A726" s="225"/>
      <c r="B726" s="225"/>
      <c r="C726" s="225"/>
      <c r="D726" s="225"/>
      <c r="E726" s="225"/>
      <c r="F726" s="44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  <c r="AA726" s="225"/>
      <c r="AB726" s="225"/>
      <c r="AC726" s="225"/>
      <c r="AD726" s="225"/>
      <c r="AE726" s="225"/>
      <c r="AF726" s="225"/>
      <c r="AG726" s="225"/>
      <c r="AH726" s="225"/>
      <c r="AI726" s="225"/>
      <c r="AJ726" s="225"/>
      <c r="AK726" s="323"/>
      <c r="AL726" s="225"/>
    </row>
    <row r="727" ht="13.5" customHeight="1">
      <c r="A727" s="225"/>
      <c r="B727" s="225"/>
      <c r="C727" s="225"/>
      <c r="D727" s="225"/>
      <c r="E727" s="225"/>
      <c r="F727" s="44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  <c r="AA727" s="225"/>
      <c r="AB727" s="225"/>
      <c r="AC727" s="225"/>
      <c r="AD727" s="225"/>
      <c r="AE727" s="225"/>
      <c r="AF727" s="225"/>
      <c r="AG727" s="225"/>
      <c r="AH727" s="225"/>
      <c r="AI727" s="225"/>
      <c r="AJ727" s="225"/>
      <c r="AK727" s="323"/>
      <c r="AL727" s="225"/>
    </row>
    <row r="728" ht="13.5" customHeight="1">
      <c r="A728" s="225"/>
      <c r="B728" s="225"/>
      <c r="C728" s="225"/>
      <c r="D728" s="225"/>
      <c r="E728" s="225"/>
      <c r="F728" s="44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  <c r="AA728" s="225"/>
      <c r="AB728" s="225"/>
      <c r="AC728" s="225"/>
      <c r="AD728" s="225"/>
      <c r="AE728" s="225"/>
      <c r="AF728" s="225"/>
      <c r="AG728" s="225"/>
      <c r="AH728" s="225"/>
      <c r="AI728" s="225"/>
      <c r="AJ728" s="225"/>
      <c r="AK728" s="323"/>
      <c r="AL728" s="225"/>
    </row>
    <row r="729" ht="13.5" customHeight="1">
      <c r="A729" s="225"/>
      <c r="B729" s="225"/>
      <c r="C729" s="225"/>
      <c r="D729" s="225"/>
      <c r="E729" s="225"/>
      <c r="F729" s="44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  <c r="AA729" s="225"/>
      <c r="AB729" s="225"/>
      <c r="AC729" s="225"/>
      <c r="AD729" s="225"/>
      <c r="AE729" s="225"/>
      <c r="AF729" s="225"/>
      <c r="AG729" s="225"/>
      <c r="AH729" s="225"/>
      <c r="AI729" s="225"/>
      <c r="AJ729" s="225"/>
      <c r="AK729" s="323"/>
      <c r="AL729" s="225"/>
    </row>
    <row r="730" ht="13.5" customHeight="1">
      <c r="A730" s="225"/>
      <c r="B730" s="225"/>
      <c r="C730" s="225"/>
      <c r="D730" s="225"/>
      <c r="E730" s="225"/>
      <c r="F730" s="44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  <c r="AA730" s="225"/>
      <c r="AB730" s="225"/>
      <c r="AC730" s="225"/>
      <c r="AD730" s="225"/>
      <c r="AE730" s="225"/>
      <c r="AF730" s="225"/>
      <c r="AG730" s="225"/>
      <c r="AH730" s="225"/>
      <c r="AI730" s="225"/>
      <c r="AJ730" s="225"/>
      <c r="AK730" s="323"/>
      <c r="AL730" s="225"/>
    </row>
    <row r="731" ht="13.5" customHeight="1">
      <c r="A731" s="225"/>
      <c r="B731" s="225"/>
      <c r="C731" s="225"/>
      <c r="D731" s="225"/>
      <c r="E731" s="225"/>
      <c r="F731" s="44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  <c r="AA731" s="225"/>
      <c r="AB731" s="225"/>
      <c r="AC731" s="225"/>
      <c r="AD731" s="225"/>
      <c r="AE731" s="225"/>
      <c r="AF731" s="225"/>
      <c r="AG731" s="225"/>
      <c r="AH731" s="225"/>
      <c r="AI731" s="225"/>
      <c r="AJ731" s="225"/>
      <c r="AK731" s="323"/>
      <c r="AL731" s="225"/>
    </row>
    <row r="732" ht="13.5" customHeight="1">
      <c r="A732" s="225"/>
      <c r="B732" s="225"/>
      <c r="C732" s="225"/>
      <c r="D732" s="225"/>
      <c r="E732" s="225"/>
      <c r="F732" s="44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  <c r="AA732" s="225"/>
      <c r="AB732" s="225"/>
      <c r="AC732" s="225"/>
      <c r="AD732" s="225"/>
      <c r="AE732" s="225"/>
      <c r="AF732" s="225"/>
      <c r="AG732" s="225"/>
      <c r="AH732" s="225"/>
      <c r="AI732" s="225"/>
      <c r="AJ732" s="225"/>
      <c r="AK732" s="323"/>
      <c r="AL732" s="225"/>
    </row>
    <row r="733" ht="13.5" customHeight="1">
      <c r="A733" s="225"/>
      <c r="B733" s="225"/>
      <c r="C733" s="225"/>
      <c r="D733" s="225"/>
      <c r="E733" s="225"/>
      <c r="F733" s="44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  <c r="AA733" s="225"/>
      <c r="AB733" s="225"/>
      <c r="AC733" s="225"/>
      <c r="AD733" s="225"/>
      <c r="AE733" s="225"/>
      <c r="AF733" s="225"/>
      <c r="AG733" s="225"/>
      <c r="AH733" s="225"/>
      <c r="AI733" s="225"/>
      <c r="AJ733" s="225"/>
      <c r="AK733" s="323"/>
      <c r="AL733" s="225"/>
    </row>
    <row r="734" ht="13.5" customHeight="1">
      <c r="A734" s="225"/>
      <c r="B734" s="225"/>
      <c r="C734" s="225"/>
      <c r="D734" s="225"/>
      <c r="E734" s="225"/>
      <c r="F734" s="44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  <c r="AA734" s="225"/>
      <c r="AB734" s="225"/>
      <c r="AC734" s="225"/>
      <c r="AD734" s="225"/>
      <c r="AE734" s="225"/>
      <c r="AF734" s="225"/>
      <c r="AG734" s="225"/>
      <c r="AH734" s="225"/>
      <c r="AI734" s="225"/>
      <c r="AJ734" s="225"/>
      <c r="AK734" s="323"/>
      <c r="AL734" s="225"/>
    </row>
    <row r="735" ht="13.5" customHeight="1">
      <c r="A735" s="225"/>
      <c r="B735" s="225"/>
      <c r="C735" s="225"/>
      <c r="D735" s="225"/>
      <c r="E735" s="225"/>
      <c r="F735" s="44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  <c r="AA735" s="225"/>
      <c r="AB735" s="225"/>
      <c r="AC735" s="225"/>
      <c r="AD735" s="225"/>
      <c r="AE735" s="225"/>
      <c r="AF735" s="225"/>
      <c r="AG735" s="225"/>
      <c r="AH735" s="225"/>
      <c r="AI735" s="225"/>
      <c r="AJ735" s="225"/>
      <c r="AK735" s="323"/>
      <c r="AL735" s="225"/>
    </row>
    <row r="736" ht="13.5" customHeight="1">
      <c r="A736" s="225"/>
      <c r="B736" s="225"/>
      <c r="C736" s="225"/>
      <c r="D736" s="225"/>
      <c r="E736" s="225"/>
      <c r="F736" s="44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  <c r="AA736" s="225"/>
      <c r="AB736" s="225"/>
      <c r="AC736" s="225"/>
      <c r="AD736" s="225"/>
      <c r="AE736" s="225"/>
      <c r="AF736" s="225"/>
      <c r="AG736" s="225"/>
      <c r="AH736" s="225"/>
      <c r="AI736" s="225"/>
      <c r="AJ736" s="225"/>
      <c r="AK736" s="323"/>
      <c r="AL736" s="225"/>
    </row>
    <row r="737" ht="13.5" customHeight="1">
      <c r="A737" s="225"/>
      <c r="B737" s="225"/>
      <c r="C737" s="225"/>
      <c r="D737" s="225"/>
      <c r="E737" s="225"/>
      <c r="F737" s="44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  <c r="AA737" s="225"/>
      <c r="AB737" s="225"/>
      <c r="AC737" s="225"/>
      <c r="AD737" s="225"/>
      <c r="AE737" s="225"/>
      <c r="AF737" s="225"/>
      <c r="AG737" s="225"/>
      <c r="AH737" s="225"/>
      <c r="AI737" s="225"/>
      <c r="AJ737" s="225"/>
      <c r="AK737" s="323"/>
      <c r="AL737" s="225"/>
    </row>
    <row r="738" ht="13.5" customHeight="1">
      <c r="A738" s="225"/>
      <c r="B738" s="225"/>
      <c r="C738" s="225"/>
      <c r="D738" s="225"/>
      <c r="E738" s="225"/>
      <c r="F738" s="44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  <c r="AA738" s="225"/>
      <c r="AB738" s="225"/>
      <c r="AC738" s="225"/>
      <c r="AD738" s="225"/>
      <c r="AE738" s="225"/>
      <c r="AF738" s="225"/>
      <c r="AG738" s="225"/>
      <c r="AH738" s="225"/>
      <c r="AI738" s="225"/>
      <c r="AJ738" s="225"/>
      <c r="AK738" s="323"/>
      <c r="AL738" s="225"/>
    </row>
    <row r="739" ht="13.5" customHeight="1">
      <c r="A739" s="225"/>
      <c r="B739" s="225"/>
      <c r="C739" s="225"/>
      <c r="D739" s="225"/>
      <c r="E739" s="225"/>
      <c r="F739" s="44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  <c r="AA739" s="225"/>
      <c r="AB739" s="225"/>
      <c r="AC739" s="225"/>
      <c r="AD739" s="225"/>
      <c r="AE739" s="225"/>
      <c r="AF739" s="225"/>
      <c r="AG739" s="225"/>
      <c r="AH739" s="225"/>
      <c r="AI739" s="225"/>
      <c r="AJ739" s="225"/>
      <c r="AK739" s="323"/>
      <c r="AL739" s="225"/>
    </row>
    <row r="740" ht="13.5" customHeight="1">
      <c r="A740" s="225"/>
      <c r="B740" s="225"/>
      <c r="C740" s="225"/>
      <c r="D740" s="225"/>
      <c r="E740" s="225"/>
      <c r="F740" s="44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  <c r="AA740" s="225"/>
      <c r="AB740" s="225"/>
      <c r="AC740" s="225"/>
      <c r="AD740" s="225"/>
      <c r="AE740" s="225"/>
      <c r="AF740" s="225"/>
      <c r="AG740" s="225"/>
      <c r="AH740" s="225"/>
      <c r="AI740" s="225"/>
      <c r="AJ740" s="225"/>
      <c r="AK740" s="323"/>
      <c r="AL740" s="225"/>
    </row>
    <row r="741" ht="13.5" customHeight="1">
      <c r="A741" s="225"/>
      <c r="B741" s="225"/>
      <c r="C741" s="225"/>
      <c r="D741" s="225"/>
      <c r="E741" s="225"/>
      <c r="F741" s="44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  <c r="AA741" s="225"/>
      <c r="AB741" s="225"/>
      <c r="AC741" s="225"/>
      <c r="AD741" s="225"/>
      <c r="AE741" s="225"/>
      <c r="AF741" s="225"/>
      <c r="AG741" s="225"/>
      <c r="AH741" s="225"/>
      <c r="AI741" s="225"/>
      <c r="AJ741" s="225"/>
      <c r="AK741" s="323"/>
      <c r="AL741" s="225"/>
    </row>
    <row r="742" ht="13.5" customHeight="1">
      <c r="A742" s="225"/>
      <c r="B742" s="225"/>
      <c r="C742" s="225"/>
      <c r="D742" s="225"/>
      <c r="E742" s="225"/>
      <c r="F742" s="44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  <c r="AA742" s="225"/>
      <c r="AB742" s="225"/>
      <c r="AC742" s="225"/>
      <c r="AD742" s="225"/>
      <c r="AE742" s="225"/>
      <c r="AF742" s="225"/>
      <c r="AG742" s="225"/>
      <c r="AH742" s="225"/>
      <c r="AI742" s="225"/>
      <c r="AJ742" s="225"/>
      <c r="AK742" s="323"/>
      <c r="AL742" s="225"/>
    </row>
    <row r="743" ht="13.5" customHeight="1">
      <c r="A743" s="225"/>
      <c r="B743" s="225"/>
      <c r="C743" s="225"/>
      <c r="D743" s="225"/>
      <c r="E743" s="225"/>
      <c r="F743" s="44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  <c r="AA743" s="225"/>
      <c r="AB743" s="225"/>
      <c r="AC743" s="225"/>
      <c r="AD743" s="225"/>
      <c r="AE743" s="225"/>
      <c r="AF743" s="225"/>
      <c r="AG743" s="225"/>
      <c r="AH743" s="225"/>
      <c r="AI743" s="225"/>
      <c r="AJ743" s="225"/>
      <c r="AK743" s="323"/>
      <c r="AL743" s="225"/>
    </row>
    <row r="744" ht="13.5" customHeight="1">
      <c r="A744" s="225"/>
      <c r="B744" s="225"/>
      <c r="C744" s="225"/>
      <c r="D744" s="225"/>
      <c r="E744" s="225"/>
      <c r="F744" s="44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  <c r="AA744" s="225"/>
      <c r="AB744" s="225"/>
      <c r="AC744" s="225"/>
      <c r="AD744" s="225"/>
      <c r="AE744" s="225"/>
      <c r="AF744" s="225"/>
      <c r="AG744" s="225"/>
      <c r="AH744" s="225"/>
      <c r="AI744" s="225"/>
      <c r="AJ744" s="225"/>
      <c r="AK744" s="323"/>
      <c r="AL744" s="225"/>
    </row>
    <row r="745" ht="13.5" customHeight="1">
      <c r="A745" s="225"/>
      <c r="B745" s="225"/>
      <c r="C745" s="225"/>
      <c r="D745" s="225"/>
      <c r="E745" s="225"/>
      <c r="F745" s="44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  <c r="AA745" s="225"/>
      <c r="AB745" s="225"/>
      <c r="AC745" s="225"/>
      <c r="AD745" s="225"/>
      <c r="AE745" s="225"/>
      <c r="AF745" s="225"/>
      <c r="AG745" s="225"/>
      <c r="AH745" s="225"/>
      <c r="AI745" s="225"/>
      <c r="AJ745" s="225"/>
      <c r="AK745" s="323"/>
      <c r="AL745" s="225"/>
    </row>
    <row r="746" ht="13.5" customHeight="1">
      <c r="A746" s="225"/>
      <c r="B746" s="225"/>
      <c r="C746" s="225"/>
      <c r="D746" s="225"/>
      <c r="E746" s="225"/>
      <c r="F746" s="44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  <c r="AA746" s="225"/>
      <c r="AB746" s="225"/>
      <c r="AC746" s="225"/>
      <c r="AD746" s="225"/>
      <c r="AE746" s="225"/>
      <c r="AF746" s="225"/>
      <c r="AG746" s="225"/>
      <c r="AH746" s="225"/>
      <c r="AI746" s="225"/>
      <c r="AJ746" s="225"/>
      <c r="AK746" s="323"/>
      <c r="AL746" s="225"/>
    </row>
    <row r="747" ht="13.5" customHeight="1">
      <c r="A747" s="225"/>
      <c r="B747" s="225"/>
      <c r="C747" s="225"/>
      <c r="D747" s="225"/>
      <c r="E747" s="225"/>
      <c r="F747" s="44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  <c r="AA747" s="225"/>
      <c r="AB747" s="225"/>
      <c r="AC747" s="225"/>
      <c r="AD747" s="225"/>
      <c r="AE747" s="225"/>
      <c r="AF747" s="225"/>
      <c r="AG747" s="225"/>
      <c r="AH747" s="225"/>
      <c r="AI747" s="225"/>
      <c r="AJ747" s="225"/>
      <c r="AK747" s="323"/>
      <c r="AL747" s="225"/>
    </row>
    <row r="748" ht="13.5" customHeight="1">
      <c r="A748" s="225"/>
      <c r="B748" s="225"/>
      <c r="C748" s="225"/>
      <c r="D748" s="225"/>
      <c r="E748" s="225"/>
      <c r="F748" s="44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  <c r="AA748" s="225"/>
      <c r="AB748" s="225"/>
      <c r="AC748" s="225"/>
      <c r="AD748" s="225"/>
      <c r="AE748" s="225"/>
      <c r="AF748" s="225"/>
      <c r="AG748" s="225"/>
      <c r="AH748" s="225"/>
      <c r="AI748" s="225"/>
      <c r="AJ748" s="225"/>
      <c r="AK748" s="323"/>
      <c r="AL748" s="225"/>
    </row>
    <row r="749" ht="13.5" customHeight="1">
      <c r="A749" s="225"/>
      <c r="B749" s="225"/>
      <c r="C749" s="225"/>
      <c r="D749" s="225"/>
      <c r="E749" s="225"/>
      <c r="F749" s="44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  <c r="AA749" s="225"/>
      <c r="AB749" s="225"/>
      <c r="AC749" s="225"/>
      <c r="AD749" s="225"/>
      <c r="AE749" s="225"/>
      <c r="AF749" s="225"/>
      <c r="AG749" s="225"/>
      <c r="AH749" s="225"/>
      <c r="AI749" s="225"/>
      <c r="AJ749" s="225"/>
      <c r="AK749" s="323"/>
      <c r="AL749" s="225"/>
    </row>
    <row r="750" ht="13.5" customHeight="1">
      <c r="A750" s="225"/>
      <c r="B750" s="225"/>
      <c r="C750" s="225"/>
      <c r="D750" s="225"/>
      <c r="E750" s="225"/>
      <c r="F750" s="44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  <c r="AA750" s="225"/>
      <c r="AB750" s="225"/>
      <c r="AC750" s="225"/>
      <c r="AD750" s="225"/>
      <c r="AE750" s="225"/>
      <c r="AF750" s="225"/>
      <c r="AG750" s="225"/>
      <c r="AH750" s="225"/>
      <c r="AI750" s="225"/>
      <c r="AJ750" s="225"/>
      <c r="AK750" s="323"/>
      <c r="AL750" s="225"/>
    </row>
    <row r="751" ht="13.5" customHeight="1">
      <c r="A751" s="225"/>
      <c r="B751" s="225"/>
      <c r="C751" s="225"/>
      <c r="D751" s="225"/>
      <c r="E751" s="225"/>
      <c r="F751" s="44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  <c r="AA751" s="225"/>
      <c r="AB751" s="225"/>
      <c r="AC751" s="225"/>
      <c r="AD751" s="225"/>
      <c r="AE751" s="225"/>
      <c r="AF751" s="225"/>
      <c r="AG751" s="225"/>
      <c r="AH751" s="225"/>
      <c r="AI751" s="225"/>
      <c r="AJ751" s="225"/>
      <c r="AK751" s="323"/>
      <c r="AL751" s="225"/>
    </row>
    <row r="752" ht="13.5" customHeight="1">
      <c r="A752" s="225"/>
      <c r="B752" s="225"/>
      <c r="C752" s="225"/>
      <c r="D752" s="225"/>
      <c r="E752" s="225"/>
      <c r="F752" s="44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  <c r="AA752" s="225"/>
      <c r="AB752" s="225"/>
      <c r="AC752" s="225"/>
      <c r="AD752" s="225"/>
      <c r="AE752" s="225"/>
      <c r="AF752" s="225"/>
      <c r="AG752" s="225"/>
      <c r="AH752" s="225"/>
      <c r="AI752" s="225"/>
      <c r="AJ752" s="225"/>
      <c r="AK752" s="323"/>
      <c r="AL752" s="225"/>
    </row>
    <row r="753" ht="13.5" customHeight="1">
      <c r="A753" s="225"/>
      <c r="B753" s="225"/>
      <c r="C753" s="225"/>
      <c r="D753" s="225"/>
      <c r="E753" s="225"/>
      <c r="F753" s="44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  <c r="AA753" s="225"/>
      <c r="AB753" s="225"/>
      <c r="AC753" s="225"/>
      <c r="AD753" s="225"/>
      <c r="AE753" s="225"/>
      <c r="AF753" s="225"/>
      <c r="AG753" s="225"/>
      <c r="AH753" s="225"/>
      <c r="AI753" s="225"/>
      <c r="AJ753" s="225"/>
      <c r="AK753" s="323"/>
      <c r="AL753" s="225"/>
    </row>
    <row r="754" ht="13.5" customHeight="1">
      <c r="A754" s="225"/>
      <c r="B754" s="225"/>
      <c r="C754" s="225"/>
      <c r="D754" s="225"/>
      <c r="E754" s="225"/>
      <c r="F754" s="44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  <c r="AA754" s="225"/>
      <c r="AB754" s="225"/>
      <c r="AC754" s="225"/>
      <c r="AD754" s="225"/>
      <c r="AE754" s="225"/>
      <c r="AF754" s="225"/>
      <c r="AG754" s="225"/>
      <c r="AH754" s="225"/>
      <c r="AI754" s="225"/>
      <c r="AJ754" s="225"/>
      <c r="AK754" s="323"/>
      <c r="AL754" s="225"/>
    </row>
    <row r="755" ht="13.5" customHeight="1">
      <c r="A755" s="225"/>
      <c r="B755" s="225"/>
      <c r="C755" s="225"/>
      <c r="D755" s="225"/>
      <c r="E755" s="225"/>
      <c r="F755" s="44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  <c r="AA755" s="225"/>
      <c r="AB755" s="225"/>
      <c r="AC755" s="225"/>
      <c r="AD755" s="225"/>
      <c r="AE755" s="225"/>
      <c r="AF755" s="225"/>
      <c r="AG755" s="225"/>
      <c r="AH755" s="225"/>
      <c r="AI755" s="225"/>
      <c r="AJ755" s="225"/>
      <c r="AK755" s="323"/>
      <c r="AL755" s="225"/>
    </row>
    <row r="756" ht="13.5" customHeight="1">
      <c r="A756" s="225"/>
      <c r="B756" s="225"/>
      <c r="C756" s="225"/>
      <c r="D756" s="225"/>
      <c r="E756" s="225"/>
      <c r="F756" s="44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  <c r="AA756" s="225"/>
      <c r="AB756" s="225"/>
      <c r="AC756" s="225"/>
      <c r="AD756" s="225"/>
      <c r="AE756" s="225"/>
      <c r="AF756" s="225"/>
      <c r="AG756" s="225"/>
      <c r="AH756" s="225"/>
      <c r="AI756" s="225"/>
      <c r="AJ756" s="225"/>
      <c r="AK756" s="323"/>
      <c r="AL756" s="225"/>
    </row>
    <row r="757" ht="13.5" customHeight="1">
      <c r="A757" s="225"/>
      <c r="B757" s="225"/>
      <c r="C757" s="225"/>
      <c r="D757" s="225"/>
      <c r="E757" s="225"/>
      <c r="F757" s="44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  <c r="AA757" s="225"/>
      <c r="AB757" s="225"/>
      <c r="AC757" s="225"/>
      <c r="AD757" s="225"/>
      <c r="AE757" s="225"/>
      <c r="AF757" s="225"/>
      <c r="AG757" s="225"/>
      <c r="AH757" s="225"/>
      <c r="AI757" s="225"/>
      <c r="AJ757" s="225"/>
      <c r="AK757" s="323"/>
      <c r="AL757" s="225"/>
    </row>
    <row r="758" ht="13.5" customHeight="1">
      <c r="A758" s="225"/>
      <c r="B758" s="225"/>
      <c r="C758" s="225"/>
      <c r="D758" s="225"/>
      <c r="E758" s="225"/>
      <c r="F758" s="44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  <c r="AA758" s="225"/>
      <c r="AB758" s="225"/>
      <c r="AC758" s="225"/>
      <c r="AD758" s="225"/>
      <c r="AE758" s="225"/>
      <c r="AF758" s="225"/>
      <c r="AG758" s="225"/>
      <c r="AH758" s="225"/>
      <c r="AI758" s="225"/>
      <c r="AJ758" s="225"/>
      <c r="AK758" s="323"/>
      <c r="AL758" s="225"/>
    </row>
    <row r="759" ht="13.5" customHeight="1">
      <c r="A759" s="225"/>
      <c r="B759" s="225"/>
      <c r="C759" s="225"/>
      <c r="D759" s="225"/>
      <c r="E759" s="225"/>
      <c r="F759" s="44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  <c r="AA759" s="225"/>
      <c r="AB759" s="225"/>
      <c r="AC759" s="225"/>
      <c r="AD759" s="225"/>
      <c r="AE759" s="225"/>
      <c r="AF759" s="225"/>
      <c r="AG759" s="225"/>
      <c r="AH759" s="225"/>
      <c r="AI759" s="225"/>
      <c r="AJ759" s="225"/>
      <c r="AK759" s="323"/>
      <c r="AL759" s="225"/>
    </row>
    <row r="760" ht="13.5" customHeight="1">
      <c r="A760" s="225"/>
      <c r="B760" s="225"/>
      <c r="C760" s="225"/>
      <c r="D760" s="225"/>
      <c r="E760" s="225"/>
      <c r="F760" s="44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  <c r="AA760" s="225"/>
      <c r="AB760" s="225"/>
      <c r="AC760" s="225"/>
      <c r="AD760" s="225"/>
      <c r="AE760" s="225"/>
      <c r="AF760" s="225"/>
      <c r="AG760" s="225"/>
      <c r="AH760" s="225"/>
      <c r="AI760" s="225"/>
      <c r="AJ760" s="225"/>
      <c r="AK760" s="323"/>
      <c r="AL760" s="225"/>
    </row>
    <row r="761" ht="13.5" customHeight="1">
      <c r="A761" s="225"/>
      <c r="B761" s="225"/>
      <c r="C761" s="225"/>
      <c r="D761" s="225"/>
      <c r="E761" s="225"/>
      <c r="F761" s="44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  <c r="AA761" s="225"/>
      <c r="AB761" s="225"/>
      <c r="AC761" s="225"/>
      <c r="AD761" s="225"/>
      <c r="AE761" s="225"/>
      <c r="AF761" s="225"/>
      <c r="AG761" s="225"/>
      <c r="AH761" s="225"/>
      <c r="AI761" s="225"/>
      <c r="AJ761" s="225"/>
      <c r="AK761" s="323"/>
      <c r="AL761" s="225"/>
    </row>
    <row r="762" ht="13.5" customHeight="1">
      <c r="A762" s="225"/>
      <c r="B762" s="225"/>
      <c r="C762" s="225"/>
      <c r="D762" s="225"/>
      <c r="E762" s="225"/>
      <c r="F762" s="44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  <c r="AA762" s="225"/>
      <c r="AB762" s="225"/>
      <c r="AC762" s="225"/>
      <c r="AD762" s="225"/>
      <c r="AE762" s="225"/>
      <c r="AF762" s="225"/>
      <c r="AG762" s="225"/>
      <c r="AH762" s="225"/>
      <c r="AI762" s="225"/>
      <c r="AJ762" s="225"/>
      <c r="AK762" s="323"/>
      <c r="AL762" s="225"/>
    </row>
    <row r="763" ht="13.5" customHeight="1">
      <c r="A763" s="225"/>
      <c r="B763" s="225"/>
      <c r="C763" s="225"/>
      <c r="D763" s="225"/>
      <c r="E763" s="225"/>
      <c r="F763" s="44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  <c r="AA763" s="225"/>
      <c r="AB763" s="225"/>
      <c r="AC763" s="225"/>
      <c r="AD763" s="225"/>
      <c r="AE763" s="225"/>
      <c r="AF763" s="225"/>
      <c r="AG763" s="225"/>
      <c r="AH763" s="225"/>
      <c r="AI763" s="225"/>
      <c r="AJ763" s="225"/>
      <c r="AK763" s="323"/>
      <c r="AL763" s="225"/>
    </row>
    <row r="764" ht="13.5" customHeight="1">
      <c r="A764" s="225"/>
      <c r="B764" s="225"/>
      <c r="C764" s="225"/>
      <c r="D764" s="225"/>
      <c r="E764" s="225"/>
      <c r="F764" s="44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  <c r="AA764" s="225"/>
      <c r="AB764" s="225"/>
      <c r="AC764" s="225"/>
      <c r="AD764" s="225"/>
      <c r="AE764" s="225"/>
      <c r="AF764" s="225"/>
      <c r="AG764" s="225"/>
      <c r="AH764" s="225"/>
      <c r="AI764" s="225"/>
      <c r="AJ764" s="225"/>
      <c r="AK764" s="323"/>
      <c r="AL764" s="225"/>
    </row>
    <row r="765" ht="13.5" customHeight="1">
      <c r="A765" s="225"/>
      <c r="B765" s="225"/>
      <c r="C765" s="225"/>
      <c r="D765" s="225"/>
      <c r="E765" s="225"/>
      <c r="F765" s="44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  <c r="AA765" s="225"/>
      <c r="AB765" s="225"/>
      <c r="AC765" s="225"/>
      <c r="AD765" s="225"/>
      <c r="AE765" s="225"/>
      <c r="AF765" s="225"/>
      <c r="AG765" s="225"/>
      <c r="AH765" s="225"/>
      <c r="AI765" s="225"/>
      <c r="AJ765" s="225"/>
      <c r="AK765" s="323"/>
      <c r="AL765" s="225"/>
    </row>
    <row r="766" ht="13.5" customHeight="1">
      <c r="A766" s="225"/>
      <c r="B766" s="225"/>
      <c r="C766" s="225"/>
      <c r="D766" s="225"/>
      <c r="E766" s="225"/>
      <c r="F766" s="44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  <c r="AA766" s="225"/>
      <c r="AB766" s="225"/>
      <c r="AC766" s="225"/>
      <c r="AD766" s="225"/>
      <c r="AE766" s="225"/>
      <c r="AF766" s="225"/>
      <c r="AG766" s="225"/>
      <c r="AH766" s="225"/>
      <c r="AI766" s="225"/>
      <c r="AJ766" s="225"/>
      <c r="AK766" s="323"/>
      <c r="AL766" s="225"/>
    </row>
    <row r="767" ht="13.5" customHeight="1">
      <c r="A767" s="225"/>
      <c r="B767" s="225"/>
      <c r="C767" s="225"/>
      <c r="D767" s="225"/>
      <c r="E767" s="225"/>
      <c r="F767" s="44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  <c r="AA767" s="225"/>
      <c r="AB767" s="225"/>
      <c r="AC767" s="225"/>
      <c r="AD767" s="225"/>
      <c r="AE767" s="225"/>
      <c r="AF767" s="225"/>
      <c r="AG767" s="225"/>
      <c r="AH767" s="225"/>
      <c r="AI767" s="225"/>
      <c r="AJ767" s="225"/>
      <c r="AK767" s="323"/>
      <c r="AL767" s="225"/>
    </row>
    <row r="768" ht="13.5" customHeight="1">
      <c r="A768" s="225"/>
      <c r="B768" s="225"/>
      <c r="C768" s="225"/>
      <c r="D768" s="225"/>
      <c r="E768" s="225"/>
      <c r="F768" s="44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  <c r="AA768" s="225"/>
      <c r="AB768" s="225"/>
      <c r="AC768" s="225"/>
      <c r="AD768" s="225"/>
      <c r="AE768" s="225"/>
      <c r="AF768" s="225"/>
      <c r="AG768" s="225"/>
      <c r="AH768" s="225"/>
      <c r="AI768" s="225"/>
      <c r="AJ768" s="225"/>
      <c r="AK768" s="323"/>
      <c r="AL768" s="225"/>
    </row>
    <row r="769" ht="13.5" customHeight="1">
      <c r="A769" s="225"/>
      <c r="B769" s="225"/>
      <c r="C769" s="225"/>
      <c r="D769" s="225"/>
      <c r="E769" s="225"/>
      <c r="F769" s="44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  <c r="AA769" s="225"/>
      <c r="AB769" s="225"/>
      <c r="AC769" s="225"/>
      <c r="AD769" s="225"/>
      <c r="AE769" s="225"/>
      <c r="AF769" s="225"/>
      <c r="AG769" s="225"/>
      <c r="AH769" s="225"/>
      <c r="AI769" s="225"/>
      <c r="AJ769" s="225"/>
      <c r="AK769" s="323"/>
      <c r="AL769" s="225"/>
    </row>
    <row r="770" ht="13.5" customHeight="1">
      <c r="A770" s="225"/>
      <c r="B770" s="225"/>
      <c r="C770" s="225"/>
      <c r="D770" s="225"/>
      <c r="E770" s="225"/>
      <c r="F770" s="44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  <c r="AA770" s="225"/>
      <c r="AB770" s="225"/>
      <c r="AC770" s="225"/>
      <c r="AD770" s="225"/>
      <c r="AE770" s="225"/>
      <c r="AF770" s="225"/>
      <c r="AG770" s="225"/>
      <c r="AH770" s="225"/>
      <c r="AI770" s="225"/>
      <c r="AJ770" s="225"/>
      <c r="AK770" s="323"/>
      <c r="AL770" s="225"/>
    </row>
    <row r="771" ht="13.5" customHeight="1">
      <c r="A771" s="225"/>
      <c r="B771" s="225"/>
      <c r="C771" s="225"/>
      <c r="D771" s="225"/>
      <c r="E771" s="225"/>
      <c r="F771" s="44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  <c r="AA771" s="225"/>
      <c r="AB771" s="225"/>
      <c r="AC771" s="225"/>
      <c r="AD771" s="225"/>
      <c r="AE771" s="225"/>
      <c r="AF771" s="225"/>
      <c r="AG771" s="225"/>
      <c r="AH771" s="225"/>
      <c r="AI771" s="225"/>
      <c r="AJ771" s="225"/>
      <c r="AK771" s="323"/>
      <c r="AL771" s="225"/>
    </row>
    <row r="772" ht="13.5" customHeight="1">
      <c r="A772" s="225"/>
      <c r="B772" s="225"/>
      <c r="C772" s="225"/>
      <c r="D772" s="225"/>
      <c r="E772" s="225"/>
      <c r="F772" s="44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  <c r="AA772" s="225"/>
      <c r="AB772" s="225"/>
      <c r="AC772" s="225"/>
      <c r="AD772" s="225"/>
      <c r="AE772" s="225"/>
      <c r="AF772" s="225"/>
      <c r="AG772" s="225"/>
      <c r="AH772" s="225"/>
      <c r="AI772" s="225"/>
      <c r="AJ772" s="225"/>
      <c r="AK772" s="323"/>
      <c r="AL772" s="225"/>
    </row>
    <row r="773" ht="13.5" customHeight="1">
      <c r="A773" s="225"/>
      <c r="B773" s="225"/>
      <c r="C773" s="225"/>
      <c r="D773" s="225"/>
      <c r="E773" s="225"/>
      <c r="F773" s="44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  <c r="AA773" s="225"/>
      <c r="AB773" s="225"/>
      <c r="AC773" s="225"/>
      <c r="AD773" s="225"/>
      <c r="AE773" s="225"/>
      <c r="AF773" s="225"/>
      <c r="AG773" s="225"/>
      <c r="AH773" s="225"/>
      <c r="AI773" s="225"/>
      <c r="AJ773" s="225"/>
      <c r="AK773" s="323"/>
      <c r="AL773" s="225"/>
    </row>
    <row r="774" ht="13.5" customHeight="1">
      <c r="A774" s="225"/>
      <c r="B774" s="225"/>
      <c r="C774" s="225"/>
      <c r="D774" s="225"/>
      <c r="E774" s="225"/>
      <c r="F774" s="44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  <c r="AA774" s="225"/>
      <c r="AB774" s="225"/>
      <c r="AC774" s="225"/>
      <c r="AD774" s="225"/>
      <c r="AE774" s="225"/>
      <c r="AF774" s="225"/>
      <c r="AG774" s="225"/>
      <c r="AH774" s="225"/>
      <c r="AI774" s="225"/>
      <c r="AJ774" s="225"/>
      <c r="AK774" s="323"/>
      <c r="AL774" s="225"/>
    </row>
    <row r="775" ht="13.5" customHeight="1">
      <c r="A775" s="225"/>
      <c r="B775" s="225"/>
      <c r="C775" s="225"/>
      <c r="D775" s="225"/>
      <c r="E775" s="225"/>
      <c r="F775" s="44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  <c r="AA775" s="225"/>
      <c r="AB775" s="225"/>
      <c r="AC775" s="225"/>
      <c r="AD775" s="225"/>
      <c r="AE775" s="225"/>
      <c r="AF775" s="225"/>
      <c r="AG775" s="225"/>
      <c r="AH775" s="225"/>
      <c r="AI775" s="225"/>
      <c r="AJ775" s="225"/>
      <c r="AK775" s="323"/>
      <c r="AL775" s="225"/>
    </row>
    <row r="776" ht="13.5" customHeight="1">
      <c r="A776" s="225"/>
      <c r="B776" s="225"/>
      <c r="C776" s="225"/>
      <c r="D776" s="225"/>
      <c r="E776" s="225"/>
      <c r="F776" s="44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  <c r="AA776" s="225"/>
      <c r="AB776" s="225"/>
      <c r="AC776" s="225"/>
      <c r="AD776" s="225"/>
      <c r="AE776" s="225"/>
      <c r="AF776" s="225"/>
      <c r="AG776" s="225"/>
      <c r="AH776" s="225"/>
      <c r="AI776" s="225"/>
      <c r="AJ776" s="225"/>
      <c r="AK776" s="323"/>
      <c r="AL776" s="225"/>
    </row>
    <row r="777" ht="13.5" customHeight="1">
      <c r="A777" s="225"/>
      <c r="B777" s="225"/>
      <c r="C777" s="225"/>
      <c r="D777" s="225"/>
      <c r="E777" s="225"/>
      <c r="F777" s="44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  <c r="AA777" s="225"/>
      <c r="AB777" s="225"/>
      <c r="AC777" s="225"/>
      <c r="AD777" s="225"/>
      <c r="AE777" s="225"/>
      <c r="AF777" s="225"/>
      <c r="AG777" s="225"/>
      <c r="AH777" s="225"/>
      <c r="AI777" s="225"/>
      <c r="AJ777" s="225"/>
      <c r="AK777" s="323"/>
      <c r="AL777" s="225"/>
    </row>
    <row r="778" ht="13.5" customHeight="1">
      <c r="A778" s="225"/>
      <c r="B778" s="225"/>
      <c r="C778" s="225"/>
      <c r="D778" s="225"/>
      <c r="E778" s="225"/>
      <c r="F778" s="44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  <c r="AA778" s="225"/>
      <c r="AB778" s="225"/>
      <c r="AC778" s="225"/>
      <c r="AD778" s="225"/>
      <c r="AE778" s="225"/>
      <c r="AF778" s="225"/>
      <c r="AG778" s="225"/>
      <c r="AH778" s="225"/>
      <c r="AI778" s="225"/>
      <c r="AJ778" s="225"/>
      <c r="AK778" s="323"/>
      <c r="AL778" s="225"/>
    </row>
    <row r="779" ht="13.5" customHeight="1">
      <c r="A779" s="225"/>
      <c r="B779" s="225"/>
      <c r="C779" s="225"/>
      <c r="D779" s="225"/>
      <c r="E779" s="225"/>
      <c r="F779" s="44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  <c r="AA779" s="225"/>
      <c r="AB779" s="225"/>
      <c r="AC779" s="225"/>
      <c r="AD779" s="225"/>
      <c r="AE779" s="225"/>
      <c r="AF779" s="225"/>
      <c r="AG779" s="225"/>
      <c r="AH779" s="225"/>
      <c r="AI779" s="225"/>
      <c r="AJ779" s="225"/>
      <c r="AK779" s="323"/>
      <c r="AL779" s="225"/>
    </row>
    <row r="780" ht="13.5" customHeight="1">
      <c r="A780" s="225"/>
      <c r="B780" s="225"/>
      <c r="C780" s="225"/>
      <c r="D780" s="225"/>
      <c r="E780" s="225"/>
      <c r="F780" s="44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  <c r="AA780" s="225"/>
      <c r="AB780" s="225"/>
      <c r="AC780" s="225"/>
      <c r="AD780" s="225"/>
      <c r="AE780" s="225"/>
      <c r="AF780" s="225"/>
      <c r="AG780" s="225"/>
      <c r="AH780" s="225"/>
      <c r="AI780" s="225"/>
      <c r="AJ780" s="225"/>
      <c r="AK780" s="323"/>
      <c r="AL780" s="225"/>
    </row>
    <row r="781" ht="13.5" customHeight="1">
      <c r="A781" s="225"/>
      <c r="B781" s="225"/>
      <c r="C781" s="225"/>
      <c r="D781" s="225"/>
      <c r="E781" s="225"/>
      <c r="F781" s="44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  <c r="AA781" s="225"/>
      <c r="AB781" s="225"/>
      <c r="AC781" s="225"/>
      <c r="AD781" s="225"/>
      <c r="AE781" s="225"/>
      <c r="AF781" s="225"/>
      <c r="AG781" s="225"/>
      <c r="AH781" s="225"/>
      <c r="AI781" s="225"/>
      <c r="AJ781" s="225"/>
      <c r="AK781" s="323"/>
      <c r="AL781" s="225"/>
    </row>
    <row r="782" ht="13.5" customHeight="1">
      <c r="A782" s="225"/>
      <c r="B782" s="225"/>
      <c r="C782" s="225"/>
      <c r="D782" s="225"/>
      <c r="E782" s="225"/>
      <c r="F782" s="44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  <c r="AA782" s="225"/>
      <c r="AB782" s="225"/>
      <c r="AC782" s="225"/>
      <c r="AD782" s="225"/>
      <c r="AE782" s="225"/>
      <c r="AF782" s="225"/>
      <c r="AG782" s="225"/>
      <c r="AH782" s="225"/>
      <c r="AI782" s="225"/>
      <c r="AJ782" s="225"/>
      <c r="AK782" s="323"/>
      <c r="AL782" s="225"/>
    </row>
    <row r="783" ht="13.5" customHeight="1">
      <c r="A783" s="225"/>
      <c r="B783" s="225"/>
      <c r="C783" s="225"/>
      <c r="D783" s="225"/>
      <c r="E783" s="225"/>
      <c r="F783" s="44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  <c r="AA783" s="225"/>
      <c r="AB783" s="225"/>
      <c r="AC783" s="225"/>
      <c r="AD783" s="225"/>
      <c r="AE783" s="225"/>
      <c r="AF783" s="225"/>
      <c r="AG783" s="225"/>
      <c r="AH783" s="225"/>
      <c r="AI783" s="225"/>
      <c r="AJ783" s="225"/>
      <c r="AK783" s="323"/>
      <c r="AL783" s="225"/>
    </row>
    <row r="784" ht="13.5" customHeight="1">
      <c r="A784" s="225"/>
      <c r="B784" s="225"/>
      <c r="C784" s="225"/>
      <c r="D784" s="225"/>
      <c r="E784" s="225"/>
      <c r="F784" s="44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  <c r="AA784" s="225"/>
      <c r="AB784" s="225"/>
      <c r="AC784" s="225"/>
      <c r="AD784" s="225"/>
      <c r="AE784" s="225"/>
      <c r="AF784" s="225"/>
      <c r="AG784" s="225"/>
      <c r="AH784" s="225"/>
      <c r="AI784" s="225"/>
      <c r="AJ784" s="225"/>
      <c r="AK784" s="323"/>
      <c r="AL784" s="225"/>
    </row>
    <row r="785" ht="13.5" customHeight="1">
      <c r="A785" s="225"/>
      <c r="B785" s="225"/>
      <c r="C785" s="225"/>
      <c r="D785" s="225"/>
      <c r="E785" s="225"/>
      <c r="F785" s="44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  <c r="AA785" s="225"/>
      <c r="AB785" s="225"/>
      <c r="AC785" s="225"/>
      <c r="AD785" s="225"/>
      <c r="AE785" s="225"/>
      <c r="AF785" s="225"/>
      <c r="AG785" s="225"/>
      <c r="AH785" s="225"/>
      <c r="AI785" s="225"/>
      <c r="AJ785" s="225"/>
      <c r="AK785" s="323"/>
      <c r="AL785" s="225"/>
    </row>
    <row r="786" ht="13.5" customHeight="1">
      <c r="A786" s="225"/>
      <c r="B786" s="225"/>
      <c r="C786" s="225"/>
      <c r="D786" s="225"/>
      <c r="E786" s="225"/>
      <c r="F786" s="44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  <c r="AA786" s="225"/>
      <c r="AB786" s="225"/>
      <c r="AC786" s="225"/>
      <c r="AD786" s="225"/>
      <c r="AE786" s="225"/>
      <c r="AF786" s="225"/>
      <c r="AG786" s="225"/>
      <c r="AH786" s="225"/>
      <c r="AI786" s="225"/>
      <c r="AJ786" s="225"/>
      <c r="AK786" s="323"/>
      <c r="AL786" s="225"/>
    </row>
    <row r="787" ht="13.5" customHeight="1">
      <c r="A787" s="225"/>
      <c r="B787" s="225"/>
      <c r="C787" s="225"/>
      <c r="D787" s="225"/>
      <c r="E787" s="225"/>
      <c r="F787" s="44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  <c r="AA787" s="225"/>
      <c r="AB787" s="225"/>
      <c r="AC787" s="225"/>
      <c r="AD787" s="225"/>
      <c r="AE787" s="225"/>
      <c r="AF787" s="225"/>
      <c r="AG787" s="225"/>
      <c r="AH787" s="225"/>
      <c r="AI787" s="225"/>
      <c r="AJ787" s="225"/>
      <c r="AK787" s="323"/>
      <c r="AL787" s="225"/>
    </row>
    <row r="788" ht="13.5" customHeight="1">
      <c r="A788" s="225"/>
      <c r="B788" s="225"/>
      <c r="C788" s="225"/>
      <c r="D788" s="225"/>
      <c r="E788" s="225"/>
      <c r="F788" s="44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  <c r="AA788" s="225"/>
      <c r="AB788" s="225"/>
      <c r="AC788" s="225"/>
      <c r="AD788" s="225"/>
      <c r="AE788" s="225"/>
      <c r="AF788" s="225"/>
      <c r="AG788" s="225"/>
      <c r="AH788" s="225"/>
      <c r="AI788" s="225"/>
      <c r="AJ788" s="225"/>
      <c r="AK788" s="323"/>
      <c r="AL788" s="225"/>
    </row>
    <row r="789" ht="13.5" customHeight="1">
      <c r="A789" s="225"/>
      <c r="B789" s="225"/>
      <c r="C789" s="225"/>
      <c r="D789" s="225"/>
      <c r="E789" s="225"/>
      <c r="F789" s="44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  <c r="AA789" s="225"/>
      <c r="AB789" s="225"/>
      <c r="AC789" s="225"/>
      <c r="AD789" s="225"/>
      <c r="AE789" s="225"/>
      <c r="AF789" s="225"/>
      <c r="AG789" s="225"/>
      <c r="AH789" s="225"/>
      <c r="AI789" s="225"/>
      <c r="AJ789" s="225"/>
      <c r="AK789" s="323"/>
      <c r="AL789" s="225"/>
    </row>
    <row r="790" ht="13.5" customHeight="1">
      <c r="A790" s="225"/>
      <c r="B790" s="225"/>
      <c r="C790" s="225"/>
      <c r="D790" s="225"/>
      <c r="E790" s="225"/>
      <c r="F790" s="44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  <c r="AA790" s="225"/>
      <c r="AB790" s="225"/>
      <c r="AC790" s="225"/>
      <c r="AD790" s="225"/>
      <c r="AE790" s="225"/>
      <c r="AF790" s="225"/>
      <c r="AG790" s="225"/>
      <c r="AH790" s="225"/>
      <c r="AI790" s="225"/>
      <c r="AJ790" s="225"/>
      <c r="AK790" s="323"/>
      <c r="AL790" s="225"/>
    </row>
    <row r="791" ht="13.5" customHeight="1">
      <c r="A791" s="225"/>
      <c r="B791" s="225"/>
      <c r="C791" s="225"/>
      <c r="D791" s="225"/>
      <c r="E791" s="225"/>
      <c r="F791" s="44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  <c r="AA791" s="225"/>
      <c r="AB791" s="225"/>
      <c r="AC791" s="225"/>
      <c r="AD791" s="225"/>
      <c r="AE791" s="225"/>
      <c r="AF791" s="225"/>
      <c r="AG791" s="225"/>
      <c r="AH791" s="225"/>
      <c r="AI791" s="225"/>
      <c r="AJ791" s="225"/>
      <c r="AK791" s="323"/>
      <c r="AL791" s="225"/>
    </row>
    <row r="792" ht="13.5" customHeight="1">
      <c r="A792" s="225"/>
      <c r="B792" s="225"/>
      <c r="C792" s="225"/>
      <c r="D792" s="225"/>
      <c r="E792" s="225"/>
      <c r="F792" s="44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  <c r="AA792" s="225"/>
      <c r="AB792" s="225"/>
      <c r="AC792" s="225"/>
      <c r="AD792" s="225"/>
      <c r="AE792" s="225"/>
      <c r="AF792" s="225"/>
      <c r="AG792" s="225"/>
      <c r="AH792" s="225"/>
      <c r="AI792" s="225"/>
      <c r="AJ792" s="225"/>
      <c r="AK792" s="323"/>
      <c r="AL792" s="225"/>
    </row>
    <row r="793" ht="13.5" customHeight="1">
      <c r="A793" s="225"/>
      <c r="B793" s="225"/>
      <c r="C793" s="225"/>
      <c r="D793" s="225"/>
      <c r="E793" s="225"/>
      <c r="F793" s="44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  <c r="AA793" s="225"/>
      <c r="AB793" s="225"/>
      <c r="AC793" s="225"/>
      <c r="AD793" s="225"/>
      <c r="AE793" s="225"/>
      <c r="AF793" s="225"/>
      <c r="AG793" s="225"/>
      <c r="AH793" s="225"/>
      <c r="AI793" s="225"/>
      <c r="AJ793" s="225"/>
      <c r="AK793" s="323"/>
      <c r="AL793" s="225"/>
    </row>
    <row r="794" ht="13.5" customHeight="1">
      <c r="A794" s="225"/>
      <c r="B794" s="225"/>
      <c r="C794" s="225"/>
      <c r="D794" s="225"/>
      <c r="E794" s="225"/>
      <c r="F794" s="44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  <c r="AA794" s="225"/>
      <c r="AB794" s="225"/>
      <c r="AC794" s="225"/>
      <c r="AD794" s="225"/>
      <c r="AE794" s="225"/>
      <c r="AF794" s="225"/>
      <c r="AG794" s="225"/>
      <c r="AH794" s="225"/>
      <c r="AI794" s="225"/>
      <c r="AJ794" s="225"/>
      <c r="AK794" s="323"/>
      <c r="AL794" s="225"/>
    </row>
    <row r="795" ht="13.5" customHeight="1">
      <c r="A795" s="225"/>
      <c r="B795" s="225"/>
      <c r="C795" s="225"/>
      <c r="D795" s="225"/>
      <c r="E795" s="225"/>
      <c r="F795" s="44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  <c r="AA795" s="225"/>
      <c r="AB795" s="225"/>
      <c r="AC795" s="225"/>
      <c r="AD795" s="225"/>
      <c r="AE795" s="225"/>
      <c r="AF795" s="225"/>
      <c r="AG795" s="225"/>
      <c r="AH795" s="225"/>
      <c r="AI795" s="225"/>
      <c r="AJ795" s="225"/>
      <c r="AK795" s="323"/>
      <c r="AL795" s="225"/>
    </row>
    <row r="796" ht="13.5" customHeight="1">
      <c r="A796" s="225"/>
      <c r="B796" s="225"/>
      <c r="C796" s="225"/>
      <c r="D796" s="225"/>
      <c r="E796" s="225"/>
      <c r="F796" s="44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  <c r="AA796" s="225"/>
      <c r="AB796" s="225"/>
      <c r="AC796" s="225"/>
      <c r="AD796" s="225"/>
      <c r="AE796" s="225"/>
      <c r="AF796" s="225"/>
      <c r="AG796" s="225"/>
      <c r="AH796" s="225"/>
      <c r="AI796" s="225"/>
      <c r="AJ796" s="225"/>
      <c r="AK796" s="323"/>
      <c r="AL796" s="225"/>
    </row>
    <row r="797" ht="13.5" customHeight="1">
      <c r="A797" s="225"/>
      <c r="B797" s="225"/>
      <c r="C797" s="225"/>
      <c r="D797" s="225"/>
      <c r="E797" s="225"/>
      <c r="F797" s="44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  <c r="AA797" s="225"/>
      <c r="AB797" s="225"/>
      <c r="AC797" s="225"/>
      <c r="AD797" s="225"/>
      <c r="AE797" s="225"/>
      <c r="AF797" s="225"/>
      <c r="AG797" s="225"/>
      <c r="AH797" s="225"/>
      <c r="AI797" s="225"/>
      <c r="AJ797" s="225"/>
      <c r="AK797" s="323"/>
      <c r="AL797" s="225"/>
    </row>
    <row r="798" ht="13.5" customHeight="1">
      <c r="A798" s="225"/>
      <c r="B798" s="225"/>
      <c r="C798" s="225"/>
      <c r="D798" s="225"/>
      <c r="E798" s="225"/>
      <c r="F798" s="44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  <c r="AA798" s="225"/>
      <c r="AB798" s="225"/>
      <c r="AC798" s="225"/>
      <c r="AD798" s="225"/>
      <c r="AE798" s="225"/>
      <c r="AF798" s="225"/>
      <c r="AG798" s="225"/>
      <c r="AH798" s="225"/>
      <c r="AI798" s="225"/>
      <c r="AJ798" s="225"/>
      <c r="AK798" s="323"/>
      <c r="AL798" s="225"/>
    </row>
    <row r="799" ht="13.5" customHeight="1">
      <c r="A799" s="225"/>
      <c r="B799" s="225"/>
      <c r="C799" s="225"/>
      <c r="D799" s="225"/>
      <c r="E799" s="225"/>
      <c r="F799" s="44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  <c r="AA799" s="225"/>
      <c r="AB799" s="225"/>
      <c r="AC799" s="225"/>
      <c r="AD799" s="225"/>
      <c r="AE799" s="225"/>
      <c r="AF799" s="225"/>
      <c r="AG799" s="225"/>
      <c r="AH799" s="225"/>
      <c r="AI799" s="225"/>
      <c r="AJ799" s="225"/>
      <c r="AK799" s="323"/>
      <c r="AL799" s="225"/>
    </row>
    <row r="800" ht="13.5" customHeight="1">
      <c r="A800" s="225"/>
      <c r="B800" s="225"/>
      <c r="C800" s="225"/>
      <c r="D800" s="225"/>
      <c r="E800" s="225"/>
      <c r="F800" s="44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  <c r="AA800" s="225"/>
      <c r="AB800" s="225"/>
      <c r="AC800" s="225"/>
      <c r="AD800" s="225"/>
      <c r="AE800" s="225"/>
      <c r="AF800" s="225"/>
      <c r="AG800" s="225"/>
      <c r="AH800" s="225"/>
      <c r="AI800" s="225"/>
      <c r="AJ800" s="225"/>
      <c r="AK800" s="323"/>
      <c r="AL800" s="225"/>
    </row>
    <row r="801" ht="13.5" customHeight="1">
      <c r="A801" s="225"/>
      <c r="B801" s="225"/>
      <c r="C801" s="225"/>
      <c r="D801" s="225"/>
      <c r="E801" s="225"/>
      <c r="F801" s="44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  <c r="AA801" s="225"/>
      <c r="AB801" s="225"/>
      <c r="AC801" s="225"/>
      <c r="AD801" s="225"/>
      <c r="AE801" s="225"/>
      <c r="AF801" s="225"/>
      <c r="AG801" s="225"/>
      <c r="AH801" s="225"/>
      <c r="AI801" s="225"/>
      <c r="AJ801" s="225"/>
      <c r="AK801" s="323"/>
      <c r="AL801" s="225"/>
    </row>
    <row r="802" ht="13.5" customHeight="1">
      <c r="A802" s="225"/>
      <c r="B802" s="225"/>
      <c r="C802" s="225"/>
      <c r="D802" s="225"/>
      <c r="E802" s="225"/>
      <c r="F802" s="44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  <c r="AA802" s="225"/>
      <c r="AB802" s="225"/>
      <c r="AC802" s="225"/>
      <c r="AD802" s="225"/>
      <c r="AE802" s="225"/>
      <c r="AF802" s="225"/>
      <c r="AG802" s="225"/>
      <c r="AH802" s="225"/>
      <c r="AI802" s="225"/>
      <c r="AJ802" s="225"/>
      <c r="AK802" s="323"/>
      <c r="AL802" s="225"/>
    </row>
    <row r="803" ht="13.5" customHeight="1">
      <c r="A803" s="225"/>
      <c r="B803" s="225"/>
      <c r="C803" s="225"/>
      <c r="D803" s="225"/>
      <c r="E803" s="225"/>
      <c r="F803" s="44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  <c r="AA803" s="225"/>
      <c r="AB803" s="225"/>
      <c r="AC803" s="225"/>
      <c r="AD803" s="225"/>
      <c r="AE803" s="225"/>
      <c r="AF803" s="225"/>
      <c r="AG803" s="225"/>
      <c r="AH803" s="225"/>
      <c r="AI803" s="225"/>
      <c r="AJ803" s="225"/>
      <c r="AK803" s="323"/>
      <c r="AL803" s="225"/>
    </row>
    <row r="804" ht="13.5" customHeight="1">
      <c r="A804" s="225"/>
      <c r="B804" s="225"/>
      <c r="C804" s="225"/>
      <c r="D804" s="225"/>
      <c r="E804" s="225"/>
      <c r="F804" s="44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  <c r="AA804" s="225"/>
      <c r="AB804" s="225"/>
      <c r="AC804" s="225"/>
      <c r="AD804" s="225"/>
      <c r="AE804" s="225"/>
      <c r="AF804" s="225"/>
      <c r="AG804" s="225"/>
      <c r="AH804" s="225"/>
      <c r="AI804" s="225"/>
      <c r="AJ804" s="225"/>
      <c r="AK804" s="323"/>
      <c r="AL804" s="225"/>
    </row>
    <row r="805" ht="13.5" customHeight="1">
      <c r="A805" s="225"/>
      <c r="B805" s="225"/>
      <c r="C805" s="225"/>
      <c r="D805" s="225"/>
      <c r="E805" s="225"/>
      <c r="F805" s="44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  <c r="AA805" s="225"/>
      <c r="AB805" s="225"/>
      <c r="AC805" s="225"/>
      <c r="AD805" s="225"/>
      <c r="AE805" s="225"/>
      <c r="AF805" s="225"/>
      <c r="AG805" s="225"/>
      <c r="AH805" s="225"/>
      <c r="AI805" s="225"/>
      <c r="AJ805" s="225"/>
      <c r="AK805" s="323"/>
      <c r="AL805" s="225"/>
    </row>
    <row r="806" ht="13.5" customHeight="1">
      <c r="A806" s="225"/>
      <c r="B806" s="225"/>
      <c r="C806" s="225"/>
      <c r="D806" s="225"/>
      <c r="E806" s="225"/>
      <c r="F806" s="44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  <c r="AA806" s="225"/>
      <c r="AB806" s="225"/>
      <c r="AC806" s="225"/>
      <c r="AD806" s="225"/>
      <c r="AE806" s="225"/>
      <c r="AF806" s="225"/>
      <c r="AG806" s="225"/>
      <c r="AH806" s="225"/>
      <c r="AI806" s="225"/>
      <c r="AJ806" s="225"/>
      <c r="AK806" s="323"/>
      <c r="AL806" s="225"/>
    </row>
    <row r="807" ht="13.5" customHeight="1">
      <c r="A807" s="225"/>
      <c r="B807" s="225"/>
      <c r="C807" s="225"/>
      <c r="D807" s="225"/>
      <c r="E807" s="225"/>
      <c r="F807" s="44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  <c r="AA807" s="225"/>
      <c r="AB807" s="225"/>
      <c r="AC807" s="225"/>
      <c r="AD807" s="225"/>
      <c r="AE807" s="225"/>
      <c r="AF807" s="225"/>
      <c r="AG807" s="225"/>
      <c r="AH807" s="225"/>
      <c r="AI807" s="225"/>
      <c r="AJ807" s="225"/>
      <c r="AK807" s="323"/>
      <c r="AL807" s="225"/>
    </row>
    <row r="808" ht="13.5" customHeight="1">
      <c r="A808" s="225"/>
      <c r="B808" s="225"/>
      <c r="C808" s="225"/>
      <c r="D808" s="225"/>
      <c r="E808" s="225"/>
      <c r="F808" s="44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  <c r="AA808" s="225"/>
      <c r="AB808" s="225"/>
      <c r="AC808" s="225"/>
      <c r="AD808" s="225"/>
      <c r="AE808" s="225"/>
      <c r="AF808" s="225"/>
      <c r="AG808" s="225"/>
      <c r="AH808" s="225"/>
      <c r="AI808" s="225"/>
      <c r="AJ808" s="225"/>
      <c r="AK808" s="323"/>
      <c r="AL808" s="225"/>
    </row>
    <row r="809" ht="13.5" customHeight="1">
      <c r="A809" s="225"/>
      <c r="B809" s="225"/>
      <c r="C809" s="225"/>
      <c r="D809" s="225"/>
      <c r="E809" s="225"/>
      <c r="F809" s="44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  <c r="AA809" s="225"/>
      <c r="AB809" s="225"/>
      <c r="AC809" s="225"/>
      <c r="AD809" s="225"/>
      <c r="AE809" s="225"/>
      <c r="AF809" s="225"/>
      <c r="AG809" s="225"/>
      <c r="AH809" s="225"/>
      <c r="AI809" s="225"/>
      <c r="AJ809" s="225"/>
      <c r="AK809" s="323"/>
      <c r="AL809" s="225"/>
    </row>
    <row r="810" ht="13.5" customHeight="1">
      <c r="A810" s="225"/>
      <c r="B810" s="225"/>
      <c r="C810" s="225"/>
      <c r="D810" s="225"/>
      <c r="E810" s="225"/>
      <c r="F810" s="44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  <c r="AA810" s="225"/>
      <c r="AB810" s="225"/>
      <c r="AC810" s="225"/>
      <c r="AD810" s="225"/>
      <c r="AE810" s="225"/>
      <c r="AF810" s="225"/>
      <c r="AG810" s="225"/>
      <c r="AH810" s="225"/>
      <c r="AI810" s="225"/>
      <c r="AJ810" s="225"/>
      <c r="AK810" s="323"/>
      <c r="AL810" s="225"/>
    </row>
    <row r="811" ht="13.5" customHeight="1">
      <c r="A811" s="225"/>
      <c r="B811" s="225"/>
      <c r="C811" s="225"/>
      <c r="D811" s="225"/>
      <c r="E811" s="225"/>
      <c r="F811" s="44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  <c r="AA811" s="225"/>
      <c r="AB811" s="225"/>
      <c r="AC811" s="225"/>
      <c r="AD811" s="225"/>
      <c r="AE811" s="225"/>
      <c r="AF811" s="225"/>
      <c r="AG811" s="225"/>
      <c r="AH811" s="225"/>
      <c r="AI811" s="225"/>
      <c r="AJ811" s="225"/>
      <c r="AK811" s="323"/>
      <c r="AL811" s="225"/>
    </row>
    <row r="812" ht="13.5" customHeight="1">
      <c r="A812" s="225"/>
      <c r="B812" s="225"/>
      <c r="C812" s="225"/>
      <c r="D812" s="225"/>
      <c r="E812" s="225"/>
      <c r="F812" s="44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  <c r="AA812" s="225"/>
      <c r="AB812" s="225"/>
      <c r="AC812" s="225"/>
      <c r="AD812" s="225"/>
      <c r="AE812" s="225"/>
      <c r="AF812" s="225"/>
      <c r="AG812" s="225"/>
      <c r="AH812" s="225"/>
      <c r="AI812" s="225"/>
      <c r="AJ812" s="225"/>
      <c r="AK812" s="323"/>
      <c r="AL812" s="225"/>
    </row>
    <row r="813" ht="13.5" customHeight="1">
      <c r="A813" s="225"/>
      <c r="B813" s="225"/>
      <c r="C813" s="225"/>
      <c r="D813" s="225"/>
      <c r="E813" s="225"/>
      <c r="F813" s="44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  <c r="AA813" s="225"/>
      <c r="AB813" s="225"/>
      <c r="AC813" s="225"/>
      <c r="AD813" s="225"/>
      <c r="AE813" s="225"/>
      <c r="AF813" s="225"/>
      <c r="AG813" s="225"/>
      <c r="AH813" s="225"/>
      <c r="AI813" s="225"/>
      <c r="AJ813" s="225"/>
      <c r="AK813" s="323"/>
      <c r="AL813" s="225"/>
    </row>
    <row r="814" ht="13.5" customHeight="1">
      <c r="A814" s="225"/>
      <c r="B814" s="225"/>
      <c r="C814" s="225"/>
      <c r="D814" s="225"/>
      <c r="E814" s="225"/>
      <c r="F814" s="44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  <c r="AA814" s="225"/>
      <c r="AB814" s="225"/>
      <c r="AC814" s="225"/>
      <c r="AD814" s="225"/>
      <c r="AE814" s="225"/>
      <c r="AF814" s="225"/>
      <c r="AG814" s="225"/>
      <c r="AH814" s="225"/>
      <c r="AI814" s="225"/>
      <c r="AJ814" s="225"/>
      <c r="AK814" s="323"/>
      <c r="AL814" s="225"/>
    </row>
    <row r="815" ht="13.5" customHeight="1">
      <c r="A815" s="225"/>
      <c r="B815" s="225"/>
      <c r="C815" s="225"/>
      <c r="D815" s="225"/>
      <c r="E815" s="225"/>
      <c r="F815" s="44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  <c r="AA815" s="225"/>
      <c r="AB815" s="225"/>
      <c r="AC815" s="225"/>
      <c r="AD815" s="225"/>
      <c r="AE815" s="225"/>
      <c r="AF815" s="225"/>
      <c r="AG815" s="225"/>
      <c r="AH815" s="225"/>
      <c r="AI815" s="225"/>
      <c r="AJ815" s="225"/>
      <c r="AK815" s="323"/>
      <c r="AL815" s="225"/>
    </row>
    <row r="816" ht="13.5" customHeight="1">
      <c r="A816" s="225"/>
      <c r="B816" s="225"/>
      <c r="C816" s="225"/>
      <c r="D816" s="225"/>
      <c r="E816" s="225"/>
      <c r="F816" s="44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  <c r="AA816" s="225"/>
      <c r="AB816" s="225"/>
      <c r="AC816" s="225"/>
      <c r="AD816" s="225"/>
      <c r="AE816" s="225"/>
      <c r="AF816" s="225"/>
      <c r="AG816" s="225"/>
      <c r="AH816" s="225"/>
      <c r="AI816" s="225"/>
      <c r="AJ816" s="225"/>
      <c r="AK816" s="323"/>
      <c r="AL816" s="225"/>
    </row>
    <row r="817" ht="13.5" customHeight="1">
      <c r="A817" s="225"/>
      <c r="B817" s="225"/>
      <c r="C817" s="225"/>
      <c r="D817" s="225"/>
      <c r="E817" s="225"/>
      <c r="F817" s="44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  <c r="AA817" s="225"/>
      <c r="AB817" s="225"/>
      <c r="AC817" s="225"/>
      <c r="AD817" s="225"/>
      <c r="AE817" s="225"/>
      <c r="AF817" s="225"/>
      <c r="AG817" s="225"/>
      <c r="AH817" s="225"/>
      <c r="AI817" s="225"/>
      <c r="AJ817" s="225"/>
      <c r="AK817" s="323"/>
      <c r="AL817" s="225"/>
    </row>
    <row r="818" ht="13.5" customHeight="1">
      <c r="A818" s="225"/>
      <c r="B818" s="225"/>
      <c r="C818" s="225"/>
      <c r="D818" s="225"/>
      <c r="E818" s="225"/>
      <c r="F818" s="44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  <c r="AA818" s="225"/>
      <c r="AB818" s="225"/>
      <c r="AC818" s="225"/>
      <c r="AD818" s="225"/>
      <c r="AE818" s="225"/>
      <c r="AF818" s="225"/>
      <c r="AG818" s="225"/>
      <c r="AH818" s="225"/>
      <c r="AI818" s="225"/>
      <c r="AJ818" s="225"/>
      <c r="AK818" s="323"/>
      <c r="AL818" s="225"/>
    </row>
    <row r="819" ht="13.5" customHeight="1">
      <c r="A819" s="225"/>
      <c r="B819" s="225"/>
      <c r="C819" s="225"/>
      <c r="D819" s="225"/>
      <c r="E819" s="225"/>
      <c r="F819" s="44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  <c r="AA819" s="225"/>
      <c r="AB819" s="225"/>
      <c r="AC819" s="225"/>
      <c r="AD819" s="225"/>
      <c r="AE819" s="225"/>
      <c r="AF819" s="225"/>
      <c r="AG819" s="225"/>
      <c r="AH819" s="225"/>
      <c r="AI819" s="225"/>
      <c r="AJ819" s="225"/>
      <c r="AK819" s="323"/>
      <c r="AL819" s="225"/>
    </row>
    <row r="820" ht="13.5" customHeight="1">
      <c r="A820" s="225"/>
      <c r="B820" s="225"/>
      <c r="C820" s="225"/>
      <c r="D820" s="225"/>
      <c r="E820" s="225"/>
      <c r="F820" s="44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  <c r="AA820" s="225"/>
      <c r="AB820" s="225"/>
      <c r="AC820" s="225"/>
      <c r="AD820" s="225"/>
      <c r="AE820" s="225"/>
      <c r="AF820" s="225"/>
      <c r="AG820" s="225"/>
      <c r="AH820" s="225"/>
      <c r="AI820" s="225"/>
      <c r="AJ820" s="225"/>
      <c r="AK820" s="323"/>
      <c r="AL820" s="225"/>
    </row>
    <row r="821" ht="13.5" customHeight="1">
      <c r="A821" s="225"/>
      <c r="B821" s="225"/>
      <c r="C821" s="225"/>
      <c r="D821" s="225"/>
      <c r="E821" s="225"/>
      <c r="F821" s="44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5"/>
      <c r="AB821" s="225"/>
      <c r="AC821" s="225"/>
      <c r="AD821" s="225"/>
      <c r="AE821" s="225"/>
      <c r="AF821" s="225"/>
      <c r="AG821" s="225"/>
      <c r="AH821" s="225"/>
      <c r="AI821" s="225"/>
      <c r="AJ821" s="225"/>
      <c r="AK821" s="323"/>
      <c r="AL821" s="225"/>
    </row>
    <row r="822" ht="13.5" customHeight="1">
      <c r="A822" s="225"/>
      <c r="B822" s="225"/>
      <c r="C822" s="225"/>
      <c r="D822" s="225"/>
      <c r="E822" s="225"/>
      <c r="F822" s="44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5"/>
      <c r="AB822" s="225"/>
      <c r="AC822" s="225"/>
      <c r="AD822" s="225"/>
      <c r="AE822" s="225"/>
      <c r="AF822" s="225"/>
      <c r="AG822" s="225"/>
      <c r="AH822" s="225"/>
      <c r="AI822" s="225"/>
      <c r="AJ822" s="225"/>
      <c r="AK822" s="323"/>
      <c r="AL822" s="225"/>
    </row>
    <row r="823" ht="13.5" customHeight="1">
      <c r="A823" s="225"/>
      <c r="B823" s="225"/>
      <c r="C823" s="225"/>
      <c r="D823" s="225"/>
      <c r="E823" s="225"/>
      <c r="F823" s="44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5"/>
      <c r="AB823" s="225"/>
      <c r="AC823" s="225"/>
      <c r="AD823" s="225"/>
      <c r="AE823" s="225"/>
      <c r="AF823" s="225"/>
      <c r="AG823" s="225"/>
      <c r="AH823" s="225"/>
      <c r="AI823" s="225"/>
      <c r="AJ823" s="225"/>
      <c r="AK823" s="323"/>
      <c r="AL823" s="225"/>
    </row>
    <row r="824" ht="13.5" customHeight="1">
      <c r="A824" s="225"/>
      <c r="B824" s="225"/>
      <c r="C824" s="225"/>
      <c r="D824" s="225"/>
      <c r="E824" s="225"/>
      <c r="F824" s="44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5"/>
      <c r="AB824" s="225"/>
      <c r="AC824" s="225"/>
      <c r="AD824" s="225"/>
      <c r="AE824" s="225"/>
      <c r="AF824" s="225"/>
      <c r="AG824" s="225"/>
      <c r="AH824" s="225"/>
      <c r="AI824" s="225"/>
      <c r="AJ824" s="225"/>
      <c r="AK824" s="323"/>
      <c r="AL824" s="225"/>
    </row>
    <row r="825" ht="13.5" customHeight="1">
      <c r="A825" s="225"/>
      <c r="B825" s="225"/>
      <c r="C825" s="225"/>
      <c r="D825" s="225"/>
      <c r="E825" s="225"/>
      <c r="F825" s="44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5"/>
      <c r="AB825" s="225"/>
      <c r="AC825" s="225"/>
      <c r="AD825" s="225"/>
      <c r="AE825" s="225"/>
      <c r="AF825" s="225"/>
      <c r="AG825" s="225"/>
      <c r="AH825" s="225"/>
      <c r="AI825" s="225"/>
      <c r="AJ825" s="225"/>
      <c r="AK825" s="323"/>
      <c r="AL825" s="225"/>
    </row>
    <row r="826" ht="13.5" customHeight="1">
      <c r="A826" s="225"/>
      <c r="B826" s="225"/>
      <c r="C826" s="225"/>
      <c r="D826" s="225"/>
      <c r="E826" s="225"/>
      <c r="F826" s="44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5"/>
      <c r="AB826" s="225"/>
      <c r="AC826" s="225"/>
      <c r="AD826" s="225"/>
      <c r="AE826" s="225"/>
      <c r="AF826" s="225"/>
      <c r="AG826" s="225"/>
      <c r="AH826" s="225"/>
      <c r="AI826" s="225"/>
      <c r="AJ826" s="225"/>
      <c r="AK826" s="323"/>
      <c r="AL826" s="225"/>
    </row>
    <row r="827" ht="13.5" customHeight="1">
      <c r="A827" s="225"/>
      <c r="B827" s="225"/>
      <c r="C827" s="225"/>
      <c r="D827" s="225"/>
      <c r="E827" s="225"/>
      <c r="F827" s="44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5"/>
      <c r="AB827" s="225"/>
      <c r="AC827" s="225"/>
      <c r="AD827" s="225"/>
      <c r="AE827" s="225"/>
      <c r="AF827" s="225"/>
      <c r="AG827" s="225"/>
      <c r="AH827" s="225"/>
      <c r="AI827" s="225"/>
      <c r="AJ827" s="225"/>
      <c r="AK827" s="323"/>
      <c r="AL827" s="225"/>
    </row>
    <row r="828" ht="13.5" customHeight="1">
      <c r="A828" s="225"/>
      <c r="B828" s="225"/>
      <c r="C828" s="225"/>
      <c r="D828" s="225"/>
      <c r="E828" s="225"/>
      <c r="F828" s="44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5"/>
      <c r="AB828" s="225"/>
      <c r="AC828" s="225"/>
      <c r="AD828" s="225"/>
      <c r="AE828" s="225"/>
      <c r="AF828" s="225"/>
      <c r="AG828" s="225"/>
      <c r="AH828" s="225"/>
      <c r="AI828" s="225"/>
      <c r="AJ828" s="225"/>
      <c r="AK828" s="323"/>
      <c r="AL828" s="225"/>
    </row>
    <row r="829" ht="13.5" customHeight="1">
      <c r="A829" s="225"/>
      <c r="B829" s="225"/>
      <c r="C829" s="225"/>
      <c r="D829" s="225"/>
      <c r="E829" s="225"/>
      <c r="F829" s="44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5"/>
      <c r="AB829" s="225"/>
      <c r="AC829" s="225"/>
      <c r="AD829" s="225"/>
      <c r="AE829" s="225"/>
      <c r="AF829" s="225"/>
      <c r="AG829" s="225"/>
      <c r="AH829" s="225"/>
      <c r="AI829" s="225"/>
      <c r="AJ829" s="225"/>
      <c r="AK829" s="323"/>
      <c r="AL829" s="225"/>
    </row>
    <row r="830" ht="13.5" customHeight="1">
      <c r="A830" s="225"/>
      <c r="B830" s="225"/>
      <c r="C830" s="225"/>
      <c r="D830" s="225"/>
      <c r="E830" s="225"/>
      <c r="F830" s="44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5"/>
      <c r="AB830" s="225"/>
      <c r="AC830" s="225"/>
      <c r="AD830" s="225"/>
      <c r="AE830" s="225"/>
      <c r="AF830" s="225"/>
      <c r="AG830" s="225"/>
      <c r="AH830" s="225"/>
      <c r="AI830" s="225"/>
      <c r="AJ830" s="225"/>
      <c r="AK830" s="323"/>
      <c r="AL830" s="225"/>
    </row>
    <row r="831" ht="13.5" customHeight="1">
      <c r="A831" s="225"/>
      <c r="B831" s="225"/>
      <c r="C831" s="225"/>
      <c r="D831" s="225"/>
      <c r="E831" s="225"/>
      <c r="F831" s="44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5"/>
      <c r="AB831" s="225"/>
      <c r="AC831" s="225"/>
      <c r="AD831" s="225"/>
      <c r="AE831" s="225"/>
      <c r="AF831" s="225"/>
      <c r="AG831" s="225"/>
      <c r="AH831" s="225"/>
      <c r="AI831" s="225"/>
      <c r="AJ831" s="225"/>
      <c r="AK831" s="323"/>
      <c r="AL831" s="225"/>
    </row>
    <row r="832" ht="13.5" customHeight="1">
      <c r="A832" s="225"/>
      <c r="B832" s="225"/>
      <c r="C832" s="225"/>
      <c r="D832" s="225"/>
      <c r="E832" s="225"/>
      <c r="F832" s="44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5"/>
      <c r="AB832" s="225"/>
      <c r="AC832" s="225"/>
      <c r="AD832" s="225"/>
      <c r="AE832" s="225"/>
      <c r="AF832" s="225"/>
      <c r="AG832" s="225"/>
      <c r="AH832" s="225"/>
      <c r="AI832" s="225"/>
      <c r="AJ832" s="225"/>
      <c r="AK832" s="323"/>
      <c r="AL832" s="225"/>
    </row>
    <row r="833" ht="13.5" customHeight="1">
      <c r="A833" s="225"/>
      <c r="B833" s="225"/>
      <c r="C833" s="225"/>
      <c r="D833" s="225"/>
      <c r="E833" s="225"/>
      <c r="F833" s="44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  <c r="AA833" s="225"/>
      <c r="AB833" s="225"/>
      <c r="AC833" s="225"/>
      <c r="AD833" s="225"/>
      <c r="AE833" s="225"/>
      <c r="AF833" s="225"/>
      <c r="AG833" s="225"/>
      <c r="AH833" s="225"/>
      <c r="AI833" s="225"/>
      <c r="AJ833" s="225"/>
      <c r="AK833" s="323"/>
      <c r="AL833" s="225"/>
    </row>
    <row r="834" ht="13.5" customHeight="1">
      <c r="A834" s="225"/>
      <c r="B834" s="225"/>
      <c r="C834" s="225"/>
      <c r="D834" s="225"/>
      <c r="E834" s="225"/>
      <c r="F834" s="44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  <c r="AA834" s="225"/>
      <c r="AB834" s="225"/>
      <c r="AC834" s="225"/>
      <c r="AD834" s="225"/>
      <c r="AE834" s="225"/>
      <c r="AF834" s="225"/>
      <c r="AG834" s="225"/>
      <c r="AH834" s="225"/>
      <c r="AI834" s="225"/>
      <c r="AJ834" s="225"/>
      <c r="AK834" s="323"/>
      <c r="AL834" s="225"/>
    </row>
    <row r="835" ht="13.5" customHeight="1">
      <c r="A835" s="225"/>
      <c r="B835" s="225"/>
      <c r="C835" s="225"/>
      <c r="D835" s="225"/>
      <c r="E835" s="225"/>
      <c r="F835" s="44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  <c r="AA835" s="225"/>
      <c r="AB835" s="225"/>
      <c r="AC835" s="225"/>
      <c r="AD835" s="225"/>
      <c r="AE835" s="225"/>
      <c r="AF835" s="225"/>
      <c r="AG835" s="225"/>
      <c r="AH835" s="225"/>
      <c r="AI835" s="225"/>
      <c r="AJ835" s="225"/>
      <c r="AK835" s="323"/>
      <c r="AL835" s="225"/>
    </row>
    <row r="836" ht="13.5" customHeight="1">
      <c r="A836" s="225"/>
      <c r="B836" s="225"/>
      <c r="C836" s="225"/>
      <c r="D836" s="225"/>
      <c r="E836" s="225"/>
      <c r="F836" s="44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  <c r="AA836" s="225"/>
      <c r="AB836" s="225"/>
      <c r="AC836" s="225"/>
      <c r="AD836" s="225"/>
      <c r="AE836" s="225"/>
      <c r="AF836" s="225"/>
      <c r="AG836" s="225"/>
      <c r="AH836" s="225"/>
      <c r="AI836" s="225"/>
      <c r="AJ836" s="225"/>
      <c r="AK836" s="323"/>
      <c r="AL836" s="225"/>
    </row>
    <row r="837" ht="13.5" customHeight="1">
      <c r="A837" s="225"/>
      <c r="B837" s="225"/>
      <c r="C837" s="225"/>
      <c r="D837" s="225"/>
      <c r="E837" s="225"/>
      <c r="F837" s="44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  <c r="AA837" s="225"/>
      <c r="AB837" s="225"/>
      <c r="AC837" s="225"/>
      <c r="AD837" s="225"/>
      <c r="AE837" s="225"/>
      <c r="AF837" s="225"/>
      <c r="AG837" s="225"/>
      <c r="AH837" s="225"/>
      <c r="AI837" s="225"/>
      <c r="AJ837" s="225"/>
      <c r="AK837" s="323"/>
      <c r="AL837" s="225"/>
    </row>
    <row r="838" ht="13.5" customHeight="1">
      <c r="A838" s="225"/>
      <c r="B838" s="225"/>
      <c r="C838" s="225"/>
      <c r="D838" s="225"/>
      <c r="E838" s="225"/>
      <c r="F838" s="44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  <c r="AA838" s="225"/>
      <c r="AB838" s="225"/>
      <c r="AC838" s="225"/>
      <c r="AD838" s="225"/>
      <c r="AE838" s="225"/>
      <c r="AF838" s="225"/>
      <c r="AG838" s="225"/>
      <c r="AH838" s="225"/>
      <c r="AI838" s="225"/>
      <c r="AJ838" s="225"/>
      <c r="AK838" s="323"/>
      <c r="AL838" s="225"/>
    </row>
    <row r="839" ht="13.5" customHeight="1">
      <c r="A839" s="225"/>
      <c r="B839" s="225"/>
      <c r="C839" s="225"/>
      <c r="D839" s="225"/>
      <c r="E839" s="225"/>
      <c r="F839" s="44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  <c r="AA839" s="225"/>
      <c r="AB839" s="225"/>
      <c r="AC839" s="225"/>
      <c r="AD839" s="225"/>
      <c r="AE839" s="225"/>
      <c r="AF839" s="225"/>
      <c r="AG839" s="225"/>
      <c r="AH839" s="225"/>
      <c r="AI839" s="225"/>
      <c r="AJ839" s="225"/>
      <c r="AK839" s="323"/>
      <c r="AL839" s="225"/>
    </row>
    <row r="840" ht="13.5" customHeight="1">
      <c r="A840" s="225"/>
      <c r="B840" s="225"/>
      <c r="C840" s="225"/>
      <c r="D840" s="225"/>
      <c r="E840" s="225"/>
      <c r="F840" s="44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  <c r="AA840" s="225"/>
      <c r="AB840" s="225"/>
      <c r="AC840" s="225"/>
      <c r="AD840" s="225"/>
      <c r="AE840" s="225"/>
      <c r="AF840" s="225"/>
      <c r="AG840" s="225"/>
      <c r="AH840" s="225"/>
      <c r="AI840" s="225"/>
      <c r="AJ840" s="225"/>
      <c r="AK840" s="323"/>
      <c r="AL840" s="225"/>
    </row>
    <row r="841" ht="13.5" customHeight="1">
      <c r="A841" s="225"/>
      <c r="B841" s="225"/>
      <c r="C841" s="225"/>
      <c r="D841" s="225"/>
      <c r="E841" s="225"/>
      <c r="F841" s="44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  <c r="AA841" s="225"/>
      <c r="AB841" s="225"/>
      <c r="AC841" s="225"/>
      <c r="AD841" s="225"/>
      <c r="AE841" s="225"/>
      <c r="AF841" s="225"/>
      <c r="AG841" s="225"/>
      <c r="AH841" s="225"/>
      <c r="AI841" s="225"/>
      <c r="AJ841" s="225"/>
      <c r="AK841" s="323"/>
      <c r="AL841" s="225"/>
    </row>
    <row r="842" ht="13.5" customHeight="1">
      <c r="A842" s="225"/>
      <c r="B842" s="225"/>
      <c r="C842" s="225"/>
      <c r="D842" s="225"/>
      <c r="E842" s="225"/>
      <c r="F842" s="44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  <c r="AA842" s="225"/>
      <c r="AB842" s="225"/>
      <c r="AC842" s="225"/>
      <c r="AD842" s="225"/>
      <c r="AE842" s="225"/>
      <c r="AF842" s="225"/>
      <c r="AG842" s="225"/>
      <c r="AH842" s="225"/>
      <c r="AI842" s="225"/>
      <c r="AJ842" s="225"/>
      <c r="AK842" s="323"/>
      <c r="AL842" s="225"/>
    </row>
    <row r="843" ht="13.5" customHeight="1">
      <c r="A843" s="225"/>
      <c r="B843" s="225"/>
      <c r="C843" s="225"/>
      <c r="D843" s="225"/>
      <c r="E843" s="225"/>
      <c r="F843" s="44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  <c r="AA843" s="225"/>
      <c r="AB843" s="225"/>
      <c r="AC843" s="225"/>
      <c r="AD843" s="225"/>
      <c r="AE843" s="225"/>
      <c r="AF843" s="225"/>
      <c r="AG843" s="225"/>
      <c r="AH843" s="225"/>
      <c r="AI843" s="225"/>
      <c r="AJ843" s="225"/>
      <c r="AK843" s="323"/>
      <c r="AL843" s="225"/>
    </row>
    <row r="844" ht="13.5" customHeight="1">
      <c r="A844" s="225"/>
      <c r="B844" s="225"/>
      <c r="C844" s="225"/>
      <c r="D844" s="225"/>
      <c r="E844" s="225"/>
      <c r="F844" s="44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  <c r="AA844" s="225"/>
      <c r="AB844" s="225"/>
      <c r="AC844" s="225"/>
      <c r="AD844" s="225"/>
      <c r="AE844" s="225"/>
      <c r="AF844" s="225"/>
      <c r="AG844" s="225"/>
      <c r="AH844" s="225"/>
      <c r="AI844" s="225"/>
      <c r="AJ844" s="225"/>
      <c r="AK844" s="323"/>
      <c r="AL844" s="225"/>
    </row>
    <row r="845" ht="13.5" customHeight="1">
      <c r="A845" s="225"/>
      <c r="B845" s="225"/>
      <c r="C845" s="225"/>
      <c r="D845" s="225"/>
      <c r="E845" s="225"/>
      <c r="F845" s="44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  <c r="AA845" s="225"/>
      <c r="AB845" s="225"/>
      <c r="AC845" s="225"/>
      <c r="AD845" s="225"/>
      <c r="AE845" s="225"/>
      <c r="AF845" s="225"/>
      <c r="AG845" s="225"/>
      <c r="AH845" s="225"/>
      <c r="AI845" s="225"/>
      <c r="AJ845" s="225"/>
      <c r="AK845" s="323"/>
      <c r="AL845" s="225"/>
    </row>
    <row r="846" ht="13.5" customHeight="1">
      <c r="A846" s="225"/>
      <c r="B846" s="225"/>
      <c r="C846" s="225"/>
      <c r="D846" s="225"/>
      <c r="E846" s="225"/>
      <c r="F846" s="44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  <c r="AA846" s="225"/>
      <c r="AB846" s="225"/>
      <c r="AC846" s="225"/>
      <c r="AD846" s="225"/>
      <c r="AE846" s="225"/>
      <c r="AF846" s="225"/>
      <c r="AG846" s="225"/>
      <c r="AH846" s="225"/>
      <c r="AI846" s="225"/>
      <c r="AJ846" s="225"/>
      <c r="AK846" s="323"/>
      <c r="AL846" s="225"/>
    </row>
    <row r="847" ht="13.5" customHeight="1">
      <c r="A847" s="225"/>
      <c r="B847" s="225"/>
      <c r="C847" s="225"/>
      <c r="D847" s="225"/>
      <c r="E847" s="225"/>
      <c r="F847" s="44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5"/>
      <c r="AB847" s="225"/>
      <c r="AC847" s="225"/>
      <c r="AD847" s="225"/>
      <c r="AE847" s="225"/>
      <c r="AF847" s="225"/>
      <c r="AG847" s="225"/>
      <c r="AH847" s="225"/>
      <c r="AI847" s="225"/>
      <c r="AJ847" s="225"/>
      <c r="AK847" s="323"/>
      <c r="AL847" s="225"/>
    </row>
    <row r="848" ht="13.5" customHeight="1">
      <c r="A848" s="225"/>
      <c r="B848" s="225"/>
      <c r="C848" s="225"/>
      <c r="D848" s="225"/>
      <c r="E848" s="225"/>
      <c r="F848" s="44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5"/>
      <c r="AB848" s="225"/>
      <c r="AC848" s="225"/>
      <c r="AD848" s="225"/>
      <c r="AE848" s="225"/>
      <c r="AF848" s="225"/>
      <c r="AG848" s="225"/>
      <c r="AH848" s="225"/>
      <c r="AI848" s="225"/>
      <c r="AJ848" s="225"/>
      <c r="AK848" s="323"/>
      <c r="AL848" s="225"/>
    </row>
    <row r="849" ht="13.5" customHeight="1">
      <c r="A849" s="225"/>
      <c r="B849" s="225"/>
      <c r="C849" s="225"/>
      <c r="D849" s="225"/>
      <c r="E849" s="225"/>
      <c r="F849" s="44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5"/>
      <c r="AB849" s="225"/>
      <c r="AC849" s="225"/>
      <c r="AD849" s="225"/>
      <c r="AE849" s="225"/>
      <c r="AF849" s="225"/>
      <c r="AG849" s="225"/>
      <c r="AH849" s="225"/>
      <c r="AI849" s="225"/>
      <c r="AJ849" s="225"/>
      <c r="AK849" s="323"/>
      <c r="AL849" s="225"/>
    </row>
    <row r="850" ht="13.5" customHeight="1">
      <c r="A850" s="225"/>
      <c r="B850" s="225"/>
      <c r="C850" s="225"/>
      <c r="D850" s="225"/>
      <c r="E850" s="225"/>
      <c r="F850" s="44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5"/>
      <c r="AB850" s="225"/>
      <c r="AC850" s="225"/>
      <c r="AD850" s="225"/>
      <c r="AE850" s="225"/>
      <c r="AF850" s="225"/>
      <c r="AG850" s="225"/>
      <c r="AH850" s="225"/>
      <c r="AI850" s="225"/>
      <c r="AJ850" s="225"/>
      <c r="AK850" s="323"/>
      <c r="AL850" s="225"/>
    </row>
    <row r="851" ht="13.5" customHeight="1">
      <c r="A851" s="225"/>
      <c r="B851" s="225"/>
      <c r="C851" s="225"/>
      <c r="D851" s="225"/>
      <c r="E851" s="225"/>
      <c r="F851" s="44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5"/>
      <c r="AB851" s="225"/>
      <c r="AC851" s="225"/>
      <c r="AD851" s="225"/>
      <c r="AE851" s="225"/>
      <c r="AF851" s="225"/>
      <c r="AG851" s="225"/>
      <c r="AH851" s="225"/>
      <c r="AI851" s="225"/>
      <c r="AJ851" s="225"/>
      <c r="AK851" s="323"/>
      <c r="AL851" s="225"/>
    </row>
    <row r="852" ht="13.5" customHeight="1">
      <c r="A852" s="225"/>
      <c r="B852" s="225"/>
      <c r="C852" s="225"/>
      <c r="D852" s="225"/>
      <c r="E852" s="225"/>
      <c r="F852" s="44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5"/>
      <c r="AB852" s="225"/>
      <c r="AC852" s="225"/>
      <c r="AD852" s="225"/>
      <c r="AE852" s="225"/>
      <c r="AF852" s="225"/>
      <c r="AG852" s="225"/>
      <c r="AH852" s="225"/>
      <c r="AI852" s="225"/>
      <c r="AJ852" s="225"/>
      <c r="AK852" s="323"/>
      <c r="AL852" s="225"/>
    </row>
    <row r="853" ht="13.5" customHeight="1">
      <c r="A853" s="225"/>
      <c r="B853" s="225"/>
      <c r="C853" s="225"/>
      <c r="D853" s="225"/>
      <c r="E853" s="225"/>
      <c r="F853" s="44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5"/>
      <c r="AB853" s="225"/>
      <c r="AC853" s="225"/>
      <c r="AD853" s="225"/>
      <c r="AE853" s="225"/>
      <c r="AF853" s="225"/>
      <c r="AG853" s="225"/>
      <c r="AH853" s="225"/>
      <c r="AI853" s="225"/>
      <c r="AJ853" s="225"/>
      <c r="AK853" s="323"/>
      <c r="AL853" s="225"/>
    </row>
    <row r="854" ht="13.5" customHeight="1">
      <c r="A854" s="225"/>
      <c r="B854" s="225"/>
      <c r="C854" s="225"/>
      <c r="D854" s="225"/>
      <c r="E854" s="225"/>
      <c r="F854" s="44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5"/>
      <c r="AB854" s="225"/>
      <c r="AC854" s="225"/>
      <c r="AD854" s="225"/>
      <c r="AE854" s="225"/>
      <c r="AF854" s="225"/>
      <c r="AG854" s="225"/>
      <c r="AH854" s="225"/>
      <c r="AI854" s="225"/>
      <c r="AJ854" s="225"/>
      <c r="AK854" s="323"/>
      <c r="AL854" s="225"/>
    </row>
    <row r="855" ht="13.5" customHeight="1">
      <c r="A855" s="225"/>
      <c r="B855" s="225"/>
      <c r="C855" s="225"/>
      <c r="D855" s="225"/>
      <c r="E855" s="225"/>
      <c r="F855" s="44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5"/>
      <c r="AB855" s="225"/>
      <c r="AC855" s="225"/>
      <c r="AD855" s="225"/>
      <c r="AE855" s="225"/>
      <c r="AF855" s="225"/>
      <c r="AG855" s="225"/>
      <c r="AH855" s="225"/>
      <c r="AI855" s="225"/>
      <c r="AJ855" s="225"/>
      <c r="AK855" s="323"/>
      <c r="AL855" s="225"/>
    </row>
    <row r="856" ht="13.5" customHeight="1">
      <c r="A856" s="225"/>
      <c r="B856" s="225"/>
      <c r="C856" s="225"/>
      <c r="D856" s="225"/>
      <c r="E856" s="225"/>
      <c r="F856" s="44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5"/>
      <c r="AB856" s="225"/>
      <c r="AC856" s="225"/>
      <c r="AD856" s="225"/>
      <c r="AE856" s="225"/>
      <c r="AF856" s="225"/>
      <c r="AG856" s="225"/>
      <c r="AH856" s="225"/>
      <c r="AI856" s="225"/>
      <c r="AJ856" s="225"/>
      <c r="AK856" s="323"/>
      <c r="AL856" s="225"/>
    </row>
    <row r="857" ht="13.5" customHeight="1">
      <c r="A857" s="225"/>
      <c r="B857" s="225"/>
      <c r="C857" s="225"/>
      <c r="D857" s="225"/>
      <c r="E857" s="225"/>
      <c r="F857" s="44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5"/>
      <c r="AB857" s="225"/>
      <c r="AC857" s="225"/>
      <c r="AD857" s="225"/>
      <c r="AE857" s="225"/>
      <c r="AF857" s="225"/>
      <c r="AG857" s="225"/>
      <c r="AH857" s="225"/>
      <c r="AI857" s="225"/>
      <c r="AJ857" s="225"/>
      <c r="AK857" s="323"/>
      <c r="AL857" s="225"/>
    </row>
    <row r="858" ht="13.5" customHeight="1">
      <c r="A858" s="225"/>
      <c r="B858" s="225"/>
      <c r="C858" s="225"/>
      <c r="D858" s="225"/>
      <c r="E858" s="225"/>
      <c r="F858" s="44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5"/>
      <c r="AB858" s="225"/>
      <c r="AC858" s="225"/>
      <c r="AD858" s="225"/>
      <c r="AE858" s="225"/>
      <c r="AF858" s="225"/>
      <c r="AG858" s="225"/>
      <c r="AH858" s="225"/>
      <c r="AI858" s="225"/>
      <c r="AJ858" s="225"/>
      <c r="AK858" s="323"/>
      <c r="AL858" s="225"/>
    </row>
    <row r="859" ht="13.5" customHeight="1">
      <c r="A859" s="225"/>
      <c r="B859" s="225"/>
      <c r="C859" s="225"/>
      <c r="D859" s="225"/>
      <c r="E859" s="225"/>
      <c r="F859" s="44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5"/>
      <c r="AB859" s="225"/>
      <c r="AC859" s="225"/>
      <c r="AD859" s="225"/>
      <c r="AE859" s="225"/>
      <c r="AF859" s="225"/>
      <c r="AG859" s="225"/>
      <c r="AH859" s="225"/>
      <c r="AI859" s="225"/>
      <c r="AJ859" s="225"/>
      <c r="AK859" s="323"/>
      <c r="AL859" s="225"/>
    </row>
    <row r="860" ht="13.5" customHeight="1">
      <c r="A860" s="225"/>
      <c r="B860" s="225"/>
      <c r="C860" s="225"/>
      <c r="D860" s="225"/>
      <c r="E860" s="225"/>
      <c r="F860" s="44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5"/>
      <c r="AB860" s="225"/>
      <c r="AC860" s="225"/>
      <c r="AD860" s="225"/>
      <c r="AE860" s="225"/>
      <c r="AF860" s="225"/>
      <c r="AG860" s="225"/>
      <c r="AH860" s="225"/>
      <c r="AI860" s="225"/>
      <c r="AJ860" s="225"/>
      <c r="AK860" s="323"/>
      <c r="AL860" s="225"/>
    </row>
    <row r="861" ht="13.5" customHeight="1">
      <c r="A861" s="225"/>
      <c r="B861" s="225"/>
      <c r="C861" s="225"/>
      <c r="D861" s="225"/>
      <c r="E861" s="225"/>
      <c r="F861" s="44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  <c r="AA861" s="225"/>
      <c r="AB861" s="225"/>
      <c r="AC861" s="225"/>
      <c r="AD861" s="225"/>
      <c r="AE861" s="225"/>
      <c r="AF861" s="225"/>
      <c r="AG861" s="225"/>
      <c r="AH861" s="225"/>
      <c r="AI861" s="225"/>
      <c r="AJ861" s="225"/>
      <c r="AK861" s="323"/>
      <c r="AL861" s="225"/>
    </row>
    <row r="862" ht="13.5" customHeight="1">
      <c r="A862" s="225"/>
      <c r="B862" s="225"/>
      <c r="C862" s="225"/>
      <c r="D862" s="225"/>
      <c r="E862" s="225"/>
      <c r="F862" s="44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5"/>
      <c r="AB862" s="225"/>
      <c r="AC862" s="225"/>
      <c r="AD862" s="225"/>
      <c r="AE862" s="225"/>
      <c r="AF862" s="225"/>
      <c r="AG862" s="225"/>
      <c r="AH862" s="225"/>
      <c r="AI862" s="225"/>
      <c r="AJ862" s="225"/>
      <c r="AK862" s="323"/>
      <c r="AL862" s="225"/>
    </row>
    <row r="863" ht="13.5" customHeight="1">
      <c r="A863" s="225"/>
      <c r="B863" s="225"/>
      <c r="C863" s="225"/>
      <c r="D863" s="225"/>
      <c r="E863" s="225"/>
      <c r="F863" s="44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5"/>
      <c r="AB863" s="225"/>
      <c r="AC863" s="225"/>
      <c r="AD863" s="225"/>
      <c r="AE863" s="225"/>
      <c r="AF863" s="225"/>
      <c r="AG863" s="225"/>
      <c r="AH863" s="225"/>
      <c r="AI863" s="225"/>
      <c r="AJ863" s="225"/>
      <c r="AK863" s="323"/>
      <c r="AL863" s="225"/>
    </row>
    <row r="864" ht="13.5" customHeight="1">
      <c r="A864" s="225"/>
      <c r="B864" s="225"/>
      <c r="C864" s="225"/>
      <c r="D864" s="225"/>
      <c r="E864" s="225"/>
      <c r="F864" s="44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5"/>
      <c r="AB864" s="225"/>
      <c r="AC864" s="225"/>
      <c r="AD864" s="225"/>
      <c r="AE864" s="225"/>
      <c r="AF864" s="225"/>
      <c r="AG864" s="225"/>
      <c r="AH864" s="225"/>
      <c r="AI864" s="225"/>
      <c r="AJ864" s="225"/>
      <c r="AK864" s="323"/>
      <c r="AL864" s="225"/>
    </row>
    <row r="865" ht="13.5" customHeight="1">
      <c r="A865" s="225"/>
      <c r="B865" s="225"/>
      <c r="C865" s="225"/>
      <c r="D865" s="225"/>
      <c r="E865" s="225"/>
      <c r="F865" s="44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5"/>
      <c r="AB865" s="225"/>
      <c r="AC865" s="225"/>
      <c r="AD865" s="225"/>
      <c r="AE865" s="225"/>
      <c r="AF865" s="225"/>
      <c r="AG865" s="225"/>
      <c r="AH865" s="225"/>
      <c r="AI865" s="225"/>
      <c r="AJ865" s="225"/>
      <c r="AK865" s="323"/>
      <c r="AL865" s="225"/>
    </row>
    <row r="866" ht="13.5" customHeight="1">
      <c r="A866" s="225"/>
      <c r="B866" s="225"/>
      <c r="C866" s="225"/>
      <c r="D866" s="225"/>
      <c r="E866" s="225"/>
      <c r="F866" s="44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5"/>
      <c r="AB866" s="225"/>
      <c r="AC866" s="225"/>
      <c r="AD866" s="225"/>
      <c r="AE866" s="225"/>
      <c r="AF866" s="225"/>
      <c r="AG866" s="225"/>
      <c r="AH866" s="225"/>
      <c r="AI866" s="225"/>
      <c r="AJ866" s="225"/>
      <c r="AK866" s="323"/>
      <c r="AL866" s="225"/>
    </row>
    <row r="867" ht="13.5" customHeight="1">
      <c r="A867" s="225"/>
      <c r="B867" s="225"/>
      <c r="C867" s="225"/>
      <c r="D867" s="225"/>
      <c r="E867" s="225"/>
      <c r="F867" s="44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  <c r="AA867" s="225"/>
      <c r="AB867" s="225"/>
      <c r="AC867" s="225"/>
      <c r="AD867" s="225"/>
      <c r="AE867" s="225"/>
      <c r="AF867" s="225"/>
      <c r="AG867" s="225"/>
      <c r="AH867" s="225"/>
      <c r="AI867" s="225"/>
      <c r="AJ867" s="225"/>
      <c r="AK867" s="323"/>
      <c r="AL867" s="225"/>
    </row>
    <row r="868" ht="13.5" customHeight="1">
      <c r="A868" s="225"/>
      <c r="B868" s="225"/>
      <c r="C868" s="225"/>
      <c r="D868" s="225"/>
      <c r="E868" s="225"/>
      <c r="F868" s="44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  <c r="AA868" s="225"/>
      <c r="AB868" s="225"/>
      <c r="AC868" s="225"/>
      <c r="AD868" s="225"/>
      <c r="AE868" s="225"/>
      <c r="AF868" s="225"/>
      <c r="AG868" s="225"/>
      <c r="AH868" s="225"/>
      <c r="AI868" s="225"/>
      <c r="AJ868" s="225"/>
      <c r="AK868" s="323"/>
      <c r="AL868" s="225"/>
    </row>
    <row r="869" ht="13.5" customHeight="1">
      <c r="A869" s="225"/>
      <c r="B869" s="225"/>
      <c r="C869" s="225"/>
      <c r="D869" s="225"/>
      <c r="E869" s="225"/>
      <c r="F869" s="44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  <c r="AA869" s="225"/>
      <c r="AB869" s="225"/>
      <c r="AC869" s="225"/>
      <c r="AD869" s="225"/>
      <c r="AE869" s="225"/>
      <c r="AF869" s="225"/>
      <c r="AG869" s="225"/>
      <c r="AH869" s="225"/>
      <c r="AI869" s="225"/>
      <c r="AJ869" s="225"/>
      <c r="AK869" s="323"/>
      <c r="AL869" s="225"/>
    </row>
    <row r="870" ht="13.5" customHeight="1">
      <c r="A870" s="225"/>
      <c r="B870" s="225"/>
      <c r="C870" s="225"/>
      <c r="D870" s="225"/>
      <c r="E870" s="225"/>
      <c r="F870" s="44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  <c r="AA870" s="225"/>
      <c r="AB870" s="225"/>
      <c r="AC870" s="225"/>
      <c r="AD870" s="225"/>
      <c r="AE870" s="225"/>
      <c r="AF870" s="225"/>
      <c r="AG870" s="225"/>
      <c r="AH870" s="225"/>
      <c r="AI870" s="225"/>
      <c r="AJ870" s="225"/>
      <c r="AK870" s="323"/>
      <c r="AL870" s="225"/>
    </row>
    <row r="871" ht="13.5" customHeight="1">
      <c r="A871" s="225"/>
      <c r="B871" s="225"/>
      <c r="C871" s="225"/>
      <c r="D871" s="225"/>
      <c r="E871" s="225"/>
      <c r="F871" s="44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  <c r="AA871" s="225"/>
      <c r="AB871" s="225"/>
      <c r="AC871" s="225"/>
      <c r="AD871" s="225"/>
      <c r="AE871" s="225"/>
      <c r="AF871" s="225"/>
      <c r="AG871" s="225"/>
      <c r="AH871" s="225"/>
      <c r="AI871" s="225"/>
      <c r="AJ871" s="225"/>
      <c r="AK871" s="323"/>
      <c r="AL871" s="225"/>
    </row>
    <row r="872" ht="13.5" customHeight="1">
      <c r="A872" s="225"/>
      <c r="B872" s="225"/>
      <c r="C872" s="225"/>
      <c r="D872" s="225"/>
      <c r="E872" s="225"/>
      <c r="F872" s="44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5"/>
      <c r="AB872" s="225"/>
      <c r="AC872" s="225"/>
      <c r="AD872" s="225"/>
      <c r="AE872" s="225"/>
      <c r="AF872" s="225"/>
      <c r="AG872" s="225"/>
      <c r="AH872" s="225"/>
      <c r="AI872" s="225"/>
      <c r="AJ872" s="225"/>
      <c r="AK872" s="323"/>
      <c r="AL872" s="225"/>
    </row>
    <row r="873" ht="13.5" customHeight="1">
      <c r="A873" s="225"/>
      <c r="B873" s="225"/>
      <c r="C873" s="225"/>
      <c r="D873" s="225"/>
      <c r="E873" s="225"/>
      <c r="F873" s="44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5"/>
      <c r="AB873" s="225"/>
      <c r="AC873" s="225"/>
      <c r="AD873" s="225"/>
      <c r="AE873" s="225"/>
      <c r="AF873" s="225"/>
      <c r="AG873" s="225"/>
      <c r="AH873" s="225"/>
      <c r="AI873" s="225"/>
      <c r="AJ873" s="225"/>
      <c r="AK873" s="323"/>
      <c r="AL873" s="225"/>
    </row>
    <row r="874" ht="13.5" customHeight="1">
      <c r="A874" s="225"/>
      <c r="B874" s="225"/>
      <c r="C874" s="225"/>
      <c r="D874" s="225"/>
      <c r="E874" s="225"/>
      <c r="F874" s="44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5"/>
      <c r="AB874" s="225"/>
      <c r="AC874" s="225"/>
      <c r="AD874" s="225"/>
      <c r="AE874" s="225"/>
      <c r="AF874" s="225"/>
      <c r="AG874" s="225"/>
      <c r="AH874" s="225"/>
      <c r="AI874" s="225"/>
      <c r="AJ874" s="225"/>
      <c r="AK874" s="323"/>
      <c r="AL874" s="225"/>
    </row>
    <row r="875" ht="13.5" customHeight="1">
      <c r="A875" s="225"/>
      <c r="B875" s="225"/>
      <c r="C875" s="225"/>
      <c r="D875" s="225"/>
      <c r="E875" s="225"/>
      <c r="F875" s="44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5"/>
      <c r="AB875" s="225"/>
      <c r="AC875" s="225"/>
      <c r="AD875" s="225"/>
      <c r="AE875" s="225"/>
      <c r="AF875" s="225"/>
      <c r="AG875" s="225"/>
      <c r="AH875" s="225"/>
      <c r="AI875" s="225"/>
      <c r="AJ875" s="225"/>
      <c r="AK875" s="323"/>
      <c r="AL875" s="225"/>
    </row>
    <row r="876" ht="13.5" customHeight="1">
      <c r="A876" s="225"/>
      <c r="B876" s="225"/>
      <c r="C876" s="225"/>
      <c r="D876" s="225"/>
      <c r="E876" s="225"/>
      <c r="F876" s="44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5"/>
      <c r="AB876" s="225"/>
      <c r="AC876" s="225"/>
      <c r="AD876" s="225"/>
      <c r="AE876" s="225"/>
      <c r="AF876" s="225"/>
      <c r="AG876" s="225"/>
      <c r="AH876" s="225"/>
      <c r="AI876" s="225"/>
      <c r="AJ876" s="225"/>
      <c r="AK876" s="323"/>
      <c r="AL876" s="225"/>
    </row>
    <row r="877" ht="13.5" customHeight="1">
      <c r="A877" s="225"/>
      <c r="B877" s="225"/>
      <c r="C877" s="225"/>
      <c r="D877" s="225"/>
      <c r="E877" s="225"/>
      <c r="F877" s="44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5"/>
      <c r="AB877" s="225"/>
      <c r="AC877" s="225"/>
      <c r="AD877" s="225"/>
      <c r="AE877" s="225"/>
      <c r="AF877" s="225"/>
      <c r="AG877" s="225"/>
      <c r="AH877" s="225"/>
      <c r="AI877" s="225"/>
      <c r="AJ877" s="225"/>
      <c r="AK877" s="323"/>
      <c r="AL877" s="225"/>
    </row>
    <row r="878" ht="13.5" customHeight="1">
      <c r="A878" s="225"/>
      <c r="B878" s="225"/>
      <c r="C878" s="225"/>
      <c r="D878" s="225"/>
      <c r="E878" s="225"/>
      <c r="F878" s="44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5"/>
      <c r="AB878" s="225"/>
      <c r="AC878" s="225"/>
      <c r="AD878" s="225"/>
      <c r="AE878" s="225"/>
      <c r="AF878" s="225"/>
      <c r="AG878" s="225"/>
      <c r="AH878" s="225"/>
      <c r="AI878" s="225"/>
      <c r="AJ878" s="225"/>
      <c r="AK878" s="323"/>
      <c r="AL878" s="225"/>
    </row>
    <row r="879" ht="13.5" customHeight="1">
      <c r="A879" s="225"/>
      <c r="B879" s="225"/>
      <c r="C879" s="225"/>
      <c r="D879" s="225"/>
      <c r="E879" s="225"/>
      <c r="F879" s="44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5"/>
      <c r="AB879" s="225"/>
      <c r="AC879" s="225"/>
      <c r="AD879" s="225"/>
      <c r="AE879" s="225"/>
      <c r="AF879" s="225"/>
      <c r="AG879" s="225"/>
      <c r="AH879" s="225"/>
      <c r="AI879" s="225"/>
      <c r="AJ879" s="225"/>
      <c r="AK879" s="323"/>
      <c r="AL879" s="225"/>
    </row>
    <row r="880" ht="13.5" customHeight="1">
      <c r="A880" s="225"/>
      <c r="B880" s="225"/>
      <c r="C880" s="225"/>
      <c r="D880" s="225"/>
      <c r="E880" s="225"/>
      <c r="F880" s="44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  <c r="AA880" s="225"/>
      <c r="AB880" s="225"/>
      <c r="AC880" s="225"/>
      <c r="AD880" s="225"/>
      <c r="AE880" s="225"/>
      <c r="AF880" s="225"/>
      <c r="AG880" s="225"/>
      <c r="AH880" s="225"/>
      <c r="AI880" s="225"/>
      <c r="AJ880" s="225"/>
      <c r="AK880" s="323"/>
      <c r="AL880" s="225"/>
    </row>
    <row r="881" ht="13.5" customHeight="1">
      <c r="A881" s="225"/>
      <c r="B881" s="225"/>
      <c r="C881" s="225"/>
      <c r="D881" s="225"/>
      <c r="E881" s="225"/>
      <c r="F881" s="44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  <c r="AA881" s="225"/>
      <c r="AB881" s="225"/>
      <c r="AC881" s="225"/>
      <c r="AD881" s="225"/>
      <c r="AE881" s="225"/>
      <c r="AF881" s="225"/>
      <c r="AG881" s="225"/>
      <c r="AH881" s="225"/>
      <c r="AI881" s="225"/>
      <c r="AJ881" s="225"/>
      <c r="AK881" s="323"/>
      <c r="AL881" s="225"/>
    </row>
    <row r="882" ht="13.5" customHeight="1">
      <c r="A882" s="225"/>
      <c r="B882" s="225"/>
      <c r="C882" s="225"/>
      <c r="D882" s="225"/>
      <c r="E882" s="225"/>
      <c r="F882" s="44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  <c r="AA882" s="225"/>
      <c r="AB882" s="225"/>
      <c r="AC882" s="225"/>
      <c r="AD882" s="225"/>
      <c r="AE882" s="225"/>
      <c r="AF882" s="225"/>
      <c r="AG882" s="225"/>
      <c r="AH882" s="225"/>
      <c r="AI882" s="225"/>
      <c r="AJ882" s="225"/>
      <c r="AK882" s="323"/>
      <c r="AL882" s="225"/>
    </row>
    <row r="883" ht="13.5" customHeight="1">
      <c r="A883" s="225"/>
      <c r="B883" s="225"/>
      <c r="C883" s="225"/>
      <c r="D883" s="225"/>
      <c r="E883" s="225"/>
      <c r="F883" s="44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  <c r="AA883" s="225"/>
      <c r="AB883" s="225"/>
      <c r="AC883" s="225"/>
      <c r="AD883" s="225"/>
      <c r="AE883" s="225"/>
      <c r="AF883" s="225"/>
      <c r="AG883" s="225"/>
      <c r="AH883" s="225"/>
      <c r="AI883" s="225"/>
      <c r="AJ883" s="225"/>
      <c r="AK883" s="323"/>
      <c r="AL883" s="225"/>
    </row>
    <row r="884" ht="13.5" customHeight="1">
      <c r="A884" s="225"/>
      <c r="B884" s="225"/>
      <c r="C884" s="225"/>
      <c r="D884" s="225"/>
      <c r="E884" s="225"/>
      <c r="F884" s="44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5"/>
      <c r="AB884" s="225"/>
      <c r="AC884" s="225"/>
      <c r="AD884" s="225"/>
      <c r="AE884" s="225"/>
      <c r="AF884" s="225"/>
      <c r="AG884" s="225"/>
      <c r="AH884" s="225"/>
      <c r="AI884" s="225"/>
      <c r="AJ884" s="225"/>
      <c r="AK884" s="323"/>
      <c r="AL884" s="225"/>
    </row>
    <row r="885" ht="13.5" customHeight="1">
      <c r="A885" s="225"/>
      <c r="B885" s="225"/>
      <c r="C885" s="225"/>
      <c r="D885" s="225"/>
      <c r="E885" s="225"/>
      <c r="F885" s="44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  <c r="AA885" s="225"/>
      <c r="AB885" s="225"/>
      <c r="AC885" s="225"/>
      <c r="AD885" s="225"/>
      <c r="AE885" s="225"/>
      <c r="AF885" s="225"/>
      <c r="AG885" s="225"/>
      <c r="AH885" s="225"/>
      <c r="AI885" s="225"/>
      <c r="AJ885" s="225"/>
      <c r="AK885" s="323"/>
      <c r="AL885" s="225"/>
    </row>
    <row r="886" ht="13.5" customHeight="1">
      <c r="A886" s="225"/>
      <c r="B886" s="225"/>
      <c r="C886" s="225"/>
      <c r="D886" s="225"/>
      <c r="E886" s="225"/>
      <c r="F886" s="44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  <c r="AA886" s="225"/>
      <c r="AB886" s="225"/>
      <c r="AC886" s="225"/>
      <c r="AD886" s="225"/>
      <c r="AE886" s="225"/>
      <c r="AF886" s="225"/>
      <c r="AG886" s="225"/>
      <c r="AH886" s="225"/>
      <c r="AI886" s="225"/>
      <c r="AJ886" s="225"/>
      <c r="AK886" s="323"/>
      <c r="AL886" s="225"/>
    </row>
    <row r="887" ht="13.5" customHeight="1">
      <c r="A887" s="225"/>
      <c r="B887" s="225"/>
      <c r="C887" s="225"/>
      <c r="D887" s="225"/>
      <c r="E887" s="225"/>
      <c r="F887" s="44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  <c r="AA887" s="225"/>
      <c r="AB887" s="225"/>
      <c r="AC887" s="225"/>
      <c r="AD887" s="225"/>
      <c r="AE887" s="225"/>
      <c r="AF887" s="225"/>
      <c r="AG887" s="225"/>
      <c r="AH887" s="225"/>
      <c r="AI887" s="225"/>
      <c r="AJ887" s="225"/>
      <c r="AK887" s="323"/>
      <c r="AL887" s="225"/>
    </row>
    <row r="888" ht="13.5" customHeight="1">
      <c r="A888" s="225"/>
      <c r="B888" s="225"/>
      <c r="C888" s="225"/>
      <c r="D888" s="225"/>
      <c r="E888" s="225"/>
      <c r="F888" s="44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  <c r="AA888" s="225"/>
      <c r="AB888" s="225"/>
      <c r="AC888" s="225"/>
      <c r="AD888" s="225"/>
      <c r="AE888" s="225"/>
      <c r="AF888" s="225"/>
      <c r="AG888" s="225"/>
      <c r="AH888" s="225"/>
      <c r="AI888" s="225"/>
      <c r="AJ888" s="225"/>
      <c r="AK888" s="323"/>
      <c r="AL888" s="225"/>
    </row>
    <row r="889" ht="13.5" customHeight="1">
      <c r="A889" s="225"/>
      <c r="B889" s="225"/>
      <c r="C889" s="225"/>
      <c r="D889" s="225"/>
      <c r="E889" s="225"/>
      <c r="F889" s="44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  <c r="AA889" s="225"/>
      <c r="AB889" s="225"/>
      <c r="AC889" s="225"/>
      <c r="AD889" s="225"/>
      <c r="AE889" s="225"/>
      <c r="AF889" s="225"/>
      <c r="AG889" s="225"/>
      <c r="AH889" s="225"/>
      <c r="AI889" s="225"/>
      <c r="AJ889" s="225"/>
      <c r="AK889" s="323"/>
      <c r="AL889" s="225"/>
    </row>
    <row r="890" ht="13.5" customHeight="1">
      <c r="A890" s="225"/>
      <c r="B890" s="225"/>
      <c r="C890" s="225"/>
      <c r="D890" s="225"/>
      <c r="E890" s="225"/>
      <c r="F890" s="44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  <c r="AA890" s="225"/>
      <c r="AB890" s="225"/>
      <c r="AC890" s="225"/>
      <c r="AD890" s="225"/>
      <c r="AE890" s="225"/>
      <c r="AF890" s="225"/>
      <c r="AG890" s="225"/>
      <c r="AH890" s="225"/>
      <c r="AI890" s="225"/>
      <c r="AJ890" s="225"/>
      <c r="AK890" s="323"/>
      <c r="AL890" s="225"/>
    </row>
    <row r="891" ht="13.5" customHeight="1">
      <c r="A891" s="225"/>
      <c r="B891" s="225"/>
      <c r="C891" s="225"/>
      <c r="D891" s="225"/>
      <c r="E891" s="225"/>
      <c r="F891" s="44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  <c r="AA891" s="225"/>
      <c r="AB891" s="225"/>
      <c r="AC891" s="225"/>
      <c r="AD891" s="225"/>
      <c r="AE891" s="225"/>
      <c r="AF891" s="225"/>
      <c r="AG891" s="225"/>
      <c r="AH891" s="225"/>
      <c r="AI891" s="225"/>
      <c r="AJ891" s="225"/>
      <c r="AK891" s="323"/>
      <c r="AL891" s="225"/>
    </row>
    <row r="892" ht="13.5" customHeight="1">
      <c r="A892" s="225"/>
      <c r="B892" s="225"/>
      <c r="C892" s="225"/>
      <c r="D892" s="225"/>
      <c r="E892" s="225"/>
      <c r="F892" s="44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  <c r="AA892" s="225"/>
      <c r="AB892" s="225"/>
      <c r="AC892" s="225"/>
      <c r="AD892" s="225"/>
      <c r="AE892" s="225"/>
      <c r="AF892" s="225"/>
      <c r="AG892" s="225"/>
      <c r="AH892" s="225"/>
      <c r="AI892" s="225"/>
      <c r="AJ892" s="225"/>
      <c r="AK892" s="323"/>
      <c r="AL892" s="225"/>
    </row>
    <row r="893" ht="13.5" customHeight="1">
      <c r="A893" s="225"/>
      <c r="B893" s="225"/>
      <c r="C893" s="225"/>
      <c r="D893" s="225"/>
      <c r="E893" s="225"/>
      <c r="F893" s="44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  <c r="AA893" s="225"/>
      <c r="AB893" s="225"/>
      <c r="AC893" s="225"/>
      <c r="AD893" s="225"/>
      <c r="AE893" s="225"/>
      <c r="AF893" s="225"/>
      <c r="AG893" s="225"/>
      <c r="AH893" s="225"/>
      <c r="AI893" s="225"/>
      <c r="AJ893" s="225"/>
      <c r="AK893" s="323"/>
      <c r="AL893" s="225"/>
    </row>
    <row r="894" ht="13.5" customHeight="1">
      <c r="A894" s="225"/>
      <c r="B894" s="225"/>
      <c r="C894" s="225"/>
      <c r="D894" s="225"/>
      <c r="E894" s="225"/>
      <c r="F894" s="44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  <c r="AA894" s="225"/>
      <c r="AB894" s="225"/>
      <c r="AC894" s="225"/>
      <c r="AD894" s="225"/>
      <c r="AE894" s="225"/>
      <c r="AF894" s="225"/>
      <c r="AG894" s="225"/>
      <c r="AH894" s="225"/>
      <c r="AI894" s="225"/>
      <c r="AJ894" s="225"/>
      <c r="AK894" s="323"/>
      <c r="AL894" s="225"/>
    </row>
    <row r="895" ht="13.5" customHeight="1">
      <c r="A895" s="225"/>
      <c r="B895" s="225"/>
      <c r="C895" s="225"/>
      <c r="D895" s="225"/>
      <c r="E895" s="225"/>
      <c r="F895" s="44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  <c r="AA895" s="225"/>
      <c r="AB895" s="225"/>
      <c r="AC895" s="225"/>
      <c r="AD895" s="225"/>
      <c r="AE895" s="225"/>
      <c r="AF895" s="225"/>
      <c r="AG895" s="225"/>
      <c r="AH895" s="225"/>
      <c r="AI895" s="225"/>
      <c r="AJ895" s="225"/>
      <c r="AK895" s="323"/>
      <c r="AL895" s="225"/>
    </row>
    <row r="896" ht="13.5" customHeight="1">
      <c r="A896" s="225"/>
      <c r="B896" s="225"/>
      <c r="C896" s="225"/>
      <c r="D896" s="225"/>
      <c r="E896" s="225"/>
      <c r="F896" s="44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  <c r="AA896" s="225"/>
      <c r="AB896" s="225"/>
      <c r="AC896" s="225"/>
      <c r="AD896" s="225"/>
      <c r="AE896" s="225"/>
      <c r="AF896" s="225"/>
      <c r="AG896" s="225"/>
      <c r="AH896" s="225"/>
      <c r="AI896" s="225"/>
      <c r="AJ896" s="225"/>
      <c r="AK896" s="323"/>
      <c r="AL896" s="225"/>
    </row>
    <row r="897" ht="13.5" customHeight="1">
      <c r="A897" s="225"/>
      <c r="B897" s="225"/>
      <c r="C897" s="225"/>
      <c r="D897" s="225"/>
      <c r="E897" s="225"/>
      <c r="F897" s="44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  <c r="AA897" s="225"/>
      <c r="AB897" s="225"/>
      <c r="AC897" s="225"/>
      <c r="AD897" s="225"/>
      <c r="AE897" s="225"/>
      <c r="AF897" s="225"/>
      <c r="AG897" s="225"/>
      <c r="AH897" s="225"/>
      <c r="AI897" s="225"/>
      <c r="AJ897" s="225"/>
      <c r="AK897" s="323"/>
      <c r="AL897" s="225"/>
    </row>
    <row r="898" ht="13.5" customHeight="1">
      <c r="A898" s="225"/>
      <c r="B898" s="225"/>
      <c r="C898" s="225"/>
      <c r="D898" s="225"/>
      <c r="E898" s="225"/>
      <c r="F898" s="44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  <c r="AA898" s="225"/>
      <c r="AB898" s="225"/>
      <c r="AC898" s="225"/>
      <c r="AD898" s="225"/>
      <c r="AE898" s="225"/>
      <c r="AF898" s="225"/>
      <c r="AG898" s="225"/>
      <c r="AH898" s="225"/>
      <c r="AI898" s="225"/>
      <c r="AJ898" s="225"/>
      <c r="AK898" s="323"/>
      <c r="AL898" s="225"/>
    </row>
    <row r="899" ht="13.5" customHeight="1">
      <c r="A899" s="225"/>
      <c r="B899" s="225"/>
      <c r="C899" s="225"/>
      <c r="D899" s="225"/>
      <c r="E899" s="225"/>
      <c r="F899" s="44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  <c r="AA899" s="225"/>
      <c r="AB899" s="225"/>
      <c r="AC899" s="225"/>
      <c r="AD899" s="225"/>
      <c r="AE899" s="225"/>
      <c r="AF899" s="225"/>
      <c r="AG899" s="225"/>
      <c r="AH899" s="225"/>
      <c r="AI899" s="225"/>
      <c r="AJ899" s="225"/>
      <c r="AK899" s="323"/>
      <c r="AL899" s="225"/>
    </row>
    <row r="900" ht="13.5" customHeight="1">
      <c r="A900" s="225"/>
      <c r="B900" s="225"/>
      <c r="C900" s="225"/>
      <c r="D900" s="225"/>
      <c r="E900" s="225"/>
      <c r="F900" s="44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  <c r="AA900" s="225"/>
      <c r="AB900" s="225"/>
      <c r="AC900" s="225"/>
      <c r="AD900" s="225"/>
      <c r="AE900" s="225"/>
      <c r="AF900" s="225"/>
      <c r="AG900" s="225"/>
      <c r="AH900" s="225"/>
      <c r="AI900" s="225"/>
      <c r="AJ900" s="225"/>
      <c r="AK900" s="323"/>
      <c r="AL900" s="225"/>
    </row>
    <row r="901" ht="13.5" customHeight="1">
      <c r="A901" s="225"/>
      <c r="B901" s="225"/>
      <c r="C901" s="225"/>
      <c r="D901" s="225"/>
      <c r="E901" s="225"/>
      <c r="F901" s="44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  <c r="AA901" s="225"/>
      <c r="AB901" s="225"/>
      <c r="AC901" s="225"/>
      <c r="AD901" s="225"/>
      <c r="AE901" s="225"/>
      <c r="AF901" s="225"/>
      <c r="AG901" s="225"/>
      <c r="AH901" s="225"/>
      <c r="AI901" s="225"/>
      <c r="AJ901" s="225"/>
      <c r="AK901" s="323"/>
      <c r="AL901" s="225"/>
    </row>
    <row r="902" ht="13.5" customHeight="1">
      <c r="A902" s="225"/>
      <c r="B902" s="225"/>
      <c r="C902" s="225"/>
      <c r="D902" s="225"/>
      <c r="E902" s="225"/>
      <c r="F902" s="44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  <c r="AA902" s="225"/>
      <c r="AB902" s="225"/>
      <c r="AC902" s="225"/>
      <c r="AD902" s="225"/>
      <c r="AE902" s="225"/>
      <c r="AF902" s="225"/>
      <c r="AG902" s="225"/>
      <c r="AH902" s="225"/>
      <c r="AI902" s="225"/>
      <c r="AJ902" s="225"/>
      <c r="AK902" s="323"/>
      <c r="AL902" s="225"/>
    </row>
    <row r="903" ht="13.5" customHeight="1">
      <c r="A903" s="225"/>
      <c r="B903" s="225"/>
      <c r="C903" s="225"/>
      <c r="D903" s="225"/>
      <c r="E903" s="225"/>
      <c r="F903" s="44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  <c r="AA903" s="225"/>
      <c r="AB903" s="225"/>
      <c r="AC903" s="225"/>
      <c r="AD903" s="225"/>
      <c r="AE903" s="225"/>
      <c r="AF903" s="225"/>
      <c r="AG903" s="225"/>
      <c r="AH903" s="225"/>
      <c r="AI903" s="225"/>
      <c r="AJ903" s="225"/>
      <c r="AK903" s="323"/>
      <c r="AL903" s="225"/>
    </row>
    <row r="904" ht="13.5" customHeight="1">
      <c r="A904" s="225"/>
      <c r="B904" s="225"/>
      <c r="C904" s="225"/>
      <c r="D904" s="225"/>
      <c r="E904" s="225"/>
      <c r="F904" s="44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  <c r="AA904" s="225"/>
      <c r="AB904" s="225"/>
      <c r="AC904" s="225"/>
      <c r="AD904" s="225"/>
      <c r="AE904" s="225"/>
      <c r="AF904" s="225"/>
      <c r="AG904" s="225"/>
      <c r="AH904" s="225"/>
      <c r="AI904" s="225"/>
      <c r="AJ904" s="225"/>
      <c r="AK904" s="323"/>
      <c r="AL904" s="225"/>
    </row>
    <row r="905" ht="13.5" customHeight="1">
      <c r="A905" s="225"/>
      <c r="B905" s="225"/>
      <c r="C905" s="225"/>
      <c r="D905" s="225"/>
      <c r="E905" s="225"/>
      <c r="F905" s="44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  <c r="AA905" s="225"/>
      <c r="AB905" s="225"/>
      <c r="AC905" s="225"/>
      <c r="AD905" s="225"/>
      <c r="AE905" s="225"/>
      <c r="AF905" s="225"/>
      <c r="AG905" s="225"/>
      <c r="AH905" s="225"/>
      <c r="AI905" s="225"/>
      <c r="AJ905" s="225"/>
      <c r="AK905" s="323"/>
      <c r="AL905" s="225"/>
    </row>
    <row r="906" ht="13.5" customHeight="1">
      <c r="A906" s="225"/>
      <c r="B906" s="225"/>
      <c r="C906" s="225"/>
      <c r="D906" s="225"/>
      <c r="E906" s="225"/>
      <c r="F906" s="44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  <c r="AA906" s="225"/>
      <c r="AB906" s="225"/>
      <c r="AC906" s="225"/>
      <c r="AD906" s="225"/>
      <c r="AE906" s="225"/>
      <c r="AF906" s="225"/>
      <c r="AG906" s="225"/>
      <c r="AH906" s="225"/>
      <c r="AI906" s="225"/>
      <c r="AJ906" s="225"/>
      <c r="AK906" s="323"/>
      <c r="AL906" s="225"/>
    </row>
    <row r="907" ht="13.5" customHeight="1">
      <c r="A907" s="225"/>
      <c r="B907" s="225"/>
      <c r="C907" s="225"/>
      <c r="D907" s="225"/>
      <c r="E907" s="225"/>
      <c r="F907" s="44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5"/>
      <c r="AB907" s="225"/>
      <c r="AC907" s="225"/>
      <c r="AD907" s="225"/>
      <c r="AE907" s="225"/>
      <c r="AF907" s="225"/>
      <c r="AG907" s="225"/>
      <c r="AH907" s="225"/>
      <c r="AI907" s="225"/>
      <c r="AJ907" s="225"/>
      <c r="AK907" s="323"/>
      <c r="AL907" s="225"/>
    </row>
    <row r="908" ht="13.5" customHeight="1">
      <c r="A908" s="225"/>
      <c r="B908" s="225"/>
      <c r="C908" s="225"/>
      <c r="D908" s="225"/>
      <c r="E908" s="225"/>
      <c r="F908" s="44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5"/>
      <c r="AB908" s="225"/>
      <c r="AC908" s="225"/>
      <c r="AD908" s="225"/>
      <c r="AE908" s="225"/>
      <c r="AF908" s="225"/>
      <c r="AG908" s="225"/>
      <c r="AH908" s="225"/>
      <c r="AI908" s="225"/>
      <c r="AJ908" s="225"/>
      <c r="AK908" s="323"/>
      <c r="AL908" s="225"/>
    </row>
    <row r="909" ht="13.5" customHeight="1">
      <c r="A909" s="225"/>
      <c r="B909" s="225"/>
      <c r="C909" s="225"/>
      <c r="D909" s="225"/>
      <c r="E909" s="225"/>
      <c r="F909" s="44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5"/>
      <c r="AB909" s="225"/>
      <c r="AC909" s="225"/>
      <c r="AD909" s="225"/>
      <c r="AE909" s="225"/>
      <c r="AF909" s="225"/>
      <c r="AG909" s="225"/>
      <c r="AH909" s="225"/>
      <c r="AI909" s="225"/>
      <c r="AJ909" s="225"/>
      <c r="AK909" s="323"/>
      <c r="AL909" s="225"/>
    </row>
    <row r="910" ht="13.5" customHeight="1">
      <c r="A910" s="225"/>
      <c r="B910" s="225"/>
      <c r="C910" s="225"/>
      <c r="D910" s="225"/>
      <c r="E910" s="225"/>
      <c r="F910" s="44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5"/>
      <c r="AB910" s="225"/>
      <c r="AC910" s="225"/>
      <c r="AD910" s="225"/>
      <c r="AE910" s="225"/>
      <c r="AF910" s="225"/>
      <c r="AG910" s="225"/>
      <c r="AH910" s="225"/>
      <c r="AI910" s="225"/>
      <c r="AJ910" s="225"/>
      <c r="AK910" s="323"/>
      <c r="AL910" s="225"/>
    </row>
    <row r="911" ht="13.5" customHeight="1">
      <c r="A911" s="225"/>
      <c r="B911" s="225"/>
      <c r="C911" s="225"/>
      <c r="D911" s="225"/>
      <c r="E911" s="225"/>
      <c r="F911" s="44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5"/>
      <c r="AB911" s="225"/>
      <c r="AC911" s="225"/>
      <c r="AD911" s="225"/>
      <c r="AE911" s="225"/>
      <c r="AF911" s="225"/>
      <c r="AG911" s="225"/>
      <c r="AH911" s="225"/>
      <c r="AI911" s="225"/>
      <c r="AJ911" s="225"/>
      <c r="AK911" s="323"/>
      <c r="AL911" s="225"/>
    </row>
    <row r="912" ht="13.5" customHeight="1">
      <c r="A912" s="225"/>
      <c r="B912" s="225"/>
      <c r="C912" s="225"/>
      <c r="D912" s="225"/>
      <c r="E912" s="225"/>
      <c r="F912" s="44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5"/>
      <c r="AB912" s="225"/>
      <c r="AC912" s="225"/>
      <c r="AD912" s="225"/>
      <c r="AE912" s="225"/>
      <c r="AF912" s="225"/>
      <c r="AG912" s="225"/>
      <c r="AH912" s="225"/>
      <c r="AI912" s="225"/>
      <c r="AJ912" s="225"/>
      <c r="AK912" s="323"/>
      <c r="AL912" s="225"/>
    </row>
    <row r="913" ht="13.5" customHeight="1">
      <c r="A913" s="225"/>
      <c r="B913" s="225"/>
      <c r="C913" s="225"/>
      <c r="D913" s="225"/>
      <c r="E913" s="225"/>
      <c r="F913" s="44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5"/>
      <c r="AB913" s="225"/>
      <c r="AC913" s="225"/>
      <c r="AD913" s="225"/>
      <c r="AE913" s="225"/>
      <c r="AF913" s="225"/>
      <c r="AG913" s="225"/>
      <c r="AH913" s="225"/>
      <c r="AI913" s="225"/>
      <c r="AJ913" s="225"/>
      <c r="AK913" s="323"/>
      <c r="AL913" s="225"/>
    </row>
    <row r="914" ht="13.5" customHeight="1">
      <c r="A914" s="225"/>
      <c r="B914" s="225"/>
      <c r="C914" s="225"/>
      <c r="D914" s="225"/>
      <c r="E914" s="225"/>
      <c r="F914" s="44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5"/>
      <c r="AB914" s="225"/>
      <c r="AC914" s="225"/>
      <c r="AD914" s="225"/>
      <c r="AE914" s="225"/>
      <c r="AF914" s="225"/>
      <c r="AG914" s="225"/>
      <c r="AH914" s="225"/>
      <c r="AI914" s="225"/>
      <c r="AJ914" s="225"/>
      <c r="AK914" s="323"/>
      <c r="AL914" s="225"/>
    </row>
    <row r="915" ht="13.5" customHeight="1">
      <c r="A915" s="225"/>
      <c r="B915" s="225"/>
      <c r="C915" s="225"/>
      <c r="D915" s="225"/>
      <c r="E915" s="225"/>
      <c r="F915" s="44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5"/>
      <c r="AB915" s="225"/>
      <c r="AC915" s="225"/>
      <c r="AD915" s="225"/>
      <c r="AE915" s="225"/>
      <c r="AF915" s="225"/>
      <c r="AG915" s="225"/>
      <c r="AH915" s="225"/>
      <c r="AI915" s="225"/>
      <c r="AJ915" s="225"/>
      <c r="AK915" s="323"/>
      <c r="AL915" s="225"/>
    </row>
    <row r="916" ht="13.5" customHeight="1">
      <c r="A916" s="225"/>
      <c r="B916" s="225"/>
      <c r="C916" s="225"/>
      <c r="D916" s="225"/>
      <c r="E916" s="225"/>
      <c r="F916" s="44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5"/>
      <c r="AB916" s="225"/>
      <c r="AC916" s="225"/>
      <c r="AD916" s="225"/>
      <c r="AE916" s="225"/>
      <c r="AF916" s="225"/>
      <c r="AG916" s="225"/>
      <c r="AH916" s="225"/>
      <c r="AI916" s="225"/>
      <c r="AJ916" s="225"/>
      <c r="AK916" s="323"/>
      <c r="AL916" s="225"/>
    </row>
    <row r="917" ht="13.5" customHeight="1">
      <c r="A917" s="225"/>
      <c r="B917" s="225"/>
      <c r="C917" s="225"/>
      <c r="D917" s="225"/>
      <c r="E917" s="225"/>
      <c r="F917" s="44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5"/>
      <c r="AB917" s="225"/>
      <c r="AC917" s="225"/>
      <c r="AD917" s="225"/>
      <c r="AE917" s="225"/>
      <c r="AF917" s="225"/>
      <c r="AG917" s="225"/>
      <c r="AH917" s="225"/>
      <c r="AI917" s="225"/>
      <c r="AJ917" s="225"/>
      <c r="AK917" s="323"/>
      <c r="AL917" s="225"/>
    </row>
    <row r="918" ht="13.5" customHeight="1">
      <c r="A918" s="225"/>
      <c r="B918" s="225"/>
      <c r="C918" s="225"/>
      <c r="D918" s="225"/>
      <c r="E918" s="225"/>
      <c r="F918" s="44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5"/>
      <c r="AB918" s="225"/>
      <c r="AC918" s="225"/>
      <c r="AD918" s="225"/>
      <c r="AE918" s="225"/>
      <c r="AF918" s="225"/>
      <c r="AG918" s="225"/>
      <c r="AH918" s="225"/>
      <c r="AI918" s="225"/>
      <c r="AJ918" s="225"/>
      <c r="AK918" s="323"/>
      <c r="AL918" s="225"/>
    </row>
    <row r="919" ht="13.5" customHeight="1">
      <c r="A919" s="225"/>
      <c r="B919" s="225"/>
      <c r="C919" s="225"/>
      <c r="D919" s="225"/>
      <c r="E919" s="225"/>
      <c r="F919" s="44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5"/>
      <c r="AB919" s="225"/>
      <c r="AC919" s="225"/>
      <c r="AD919" s="225"/>
      <c r="AE919" s="225"/>
      <c r="AF919" s="225"/>
      <c r="AG919" s="225"/>
      <c r="AH919" s="225"/>
      <c r="AI919" s="225"/>
      <c r="AJ919" s="225"/>
      <c r="AK919" s="323"/>
      <c r="AL919" s="225"/>
    </row>
    <row r="920" ht="13.5" customHeight="1">
      <c r="A920" s="225"/>
      <c r="B920" s="225"/>
      <c r="C920" s="225"/>
      <c r="D920" s="225"/>
      <c r="E920" s="225"/>
      <c r="F920" s="44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5"/>
      <c r="AB920" s="225"/>
      <c r="AC920" s="225"/>
      <c r="AD920" s="225"/>
      <c r="AE920" s="225"/>
      <c r="AF920" s="225"/>
      <c r="AG920" s="225"/>
      <c r="AH920" s="225"/>
      <c r="AI920" s="225"/>
      <c r="AJ920" s="225"/>
      <c r="AK920" s="323"/>
      <c r="AL920" s="225"/>
    </row>
    <row r="921" ht="13.5" customHeight="1">
      <c r="A921" s="225"/>
      <c r="B921" s="225"/>
      <c r="C921" s="225"/>
      <c r="D921" s="225"/>
      <c r="E921" s="225"/>
      <c r="F921" s="44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5"/>
      <c r="AB921" s="225"/>
      <c r="AC921" s="225"/>
      <c r="AD921" s="225"/>
      <c r="AE921" s="225"/>
      <c r="AF921" s="225"/>
      <c r="AG921" s="225"/>
      <c r="AH921" s="225"/>
      <c r="AI921" s="225"/>
      <c r="AJ921" s="225"/>
      <c r="AK921" s="323"/>
      <c r="AL921" s="225"/>
    </row>
    <row r="922" ht="13.5" customHeight="1">
      <c r="A922" s="225"/>
      <c r="B922" s="225"/>
      <c r="C922" s="225"/>
      <c r="D922" s="225"/>
      <c r="E922" s="225"/>
      <c r="F922" s="44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5"/>
      <c r="AB922" s="225"/>
      <c r="AC922" s="225"/>
      <c r="AD922" s="225"/>
      <c r="AE922" s="225"/>
      <c r="AF922" s="225"/>
      <c r="AG922" s="225"/>
      <c r="AH922" s="225"/>
      <c r="AI922" s="225"/>
      <c r="AJ922" s="225"/>
      <c r="AK922" s="323"/>
      <c r="AL922" s="225"/>
    </row>
    <row r="923" ht="13.5" customHeight="1">
      <c r="A923" s="225"/>
      <c r="B923" s="225"/>
      <c r="C923" s="225"/>
      <c r="D923" s="225"/>
      <c r="E923" s="225"/>
      <c r="F923" s="44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5"/>
      <c r="AB923" s="225"/>
      <c r="AC923" s="225"/>
      <c r="AD923" s="225"/>
      <c r="AE923" s="225"/>
      <c r="AF923" s="225"/>
      <c r="AG923" s="225"/>
      <c r="AH923" s="225"/>
      <c r="AI923" s="225"/>
      <c r="AJ923" s="225"/>
      <c r="AK923" s="323"/>
      <c r="AL923" s="225"/>
    </row>
    <row r="924" ht="13.5" customHeight="1">
      <c r="A924" s="225"/>
      <c r="B924" s="225"/>
      <c r="C924" s="225"/>
      <c r="D924" s="225"/>
      <c r="E924" s="225"/>
      <c r="F924" s="44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5"/>
      <c r="AB924" s="225"/>
      <c r="AC924" s="225"/>
      <c r="AD924" s="225"/>
      <c r="AE924" s="225"/>
      <c r="AF924" s="225"/>
      <c r="AG924" s="225"/>
      <c r="AH924" s="225"/>
      <c r="AI924" s="225"/>
      <c r="AJ924" s="225"/>
      <c r="AK924" s="323"/>
      <c r="AL924" s="225"/>
    </row>
    <row r="925" ht="13.5" customHeight="1">
      <c r="A925" s="225"/>
      <c r="B925" s="225"/>
      <c r="C925" s="225"/>
      <c r="D925" s="225"/>
      <c r="E925" s="225"/>
      <c r="F925" s="44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5"/>
      <c r="AB925" s="225"/>
      <c r="AC925" s="225"/>
      <c r="AD925" s="225"/>
      <c r="AE925" s="225"/>
      <c r="AF925" s="225"/>
      <c r="AG925" s="225"/>
      <c r="AH925" s="225"/>
      <c r="AI925" s="225"/>
      <c r="AJ925" s="225"/>
      <c r="AK925" s="323"/>
      <c r="AL925" s="225"/>
    </row>
    <row r="926" ht="13.5" customHeight="1">
      <c r="A926" s="225"/>
      <c r="B926" s="225"/>
      <c r="C926" s="225"/>
      <c r="D926" s="225"/>
      <c r="E926" s="225"/>
      <c r="F926" s="44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5"/>
      <c r="AB926" s="225"/>
      <c r="AC926" s="225"/>
      <c r="AD926" s="225"/>
      <c r="AE926" s="225"/>
      <c r="AF926" s="225"/>
      <c r="AG926" s="225"/>
      <c r="AH926" s="225"/>
      <c r="AI926" s="225"/>
      <c r="AJ926" s="225"/>
      <c r="AK926" s="323"/>
      <c r="AL926" s="225"/>
    </row>
    <row r="927" ht="13.5" customHeight="1">
      <c r="A927" s="225"/>
      <c r="B927" s="225"/>
      <c r="C927" s="225"/>
      <c r="D927" s="225"/>
      <c r="E927" s="225"/>
      <c r="F927" s="44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  <c r="AA927" s="225"/>
      <c r="AB927" s="225"/>
      <c r="AC927" s="225"/>
      <c r="AD927" s="225"/>
      <c r="AE927" s="225"/>
      <c r="AF927" s="225"/>
      <c r="AG927" s="225"/>
      <c r="AH927" s="225"/>
      <c r="AI927" s="225"/>
      <c r="AJ927" s="225"/>
      <c r="AK927" s="323"/>
      <c r="AL927" s="225"/>
    </row>
    <row r="928" ht="13.5" customHeight="1">
      <c r="A928" s="225"/>
      <c r="B928" s="225"/>
      <c r="C928" s="225"/>
      <c r="D928" s="225"/>
      <c r="E928" s="225"/>
      <c r="F928" s="44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  <c r="AA928" s="225"/>
      <c r="AB928" s="225"/>
      <c r="AC928" s="225"/>
      <c r="AD928" s="225"/>
      <c r="AE928" s="225"/>
      <c r="AF928" s="225"/>
      <c r="AG928" s="225"/>
      <c r="AH928" s="225"/>
      <c r="AI928" s="225"/>
      <c r="AJ928" s="225"/>
      <c r="AK928" s="323"/>
      <c r="AL928" s="225"/>
    </row>
    <row r="929" ht="13.5" customHeight="1">
      <c r="A929" s="225"/>
      <c r="B929" s="225"/>
      <c r="C929" s="225"/>
      <c r="D929" s="225"/>
      <c r="E929" s="225"/>
      <c r="F929" s="44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  <c r="AA929" s="225"/>
      <c r="AB929" s="225"/>
      <c r="AC929" s="225"/>
      <c r="AD929" s="225"/>
      <c r="AE929" s="225"/>
      <c r="AF929" s="225"/>
      <c r="AG929" s="225"/>
      <c r="AH929" s="225"/>
      <c r="AI929" s="225"/>
      <c r="AJ929" s="225"/>
      <c r="AK929" s="323"/>
      <c r="AL929" s="225"/>
    </row>
    <row r="930" ht="13.5" customHeight="1">
      <c r="A930" s="225"/>
      <c r="B930" s="225"/>
      <c r="C930" s="225"/>
      <c r="D930" s="225"/>
      <c r="E930" s="225"/>
      <c r="F930" s="44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  <c r="AA930" s="225"/>
      <c r="AB930" s="225"/>
      <c r="AC930" s="225"/>
      <c r="AD930" s="225"/>
      <c r="AE930" s="225"/>
      <c r="AF930" s="225"/>
      <c r="AG930" s="225"/>
      <c r="AH930" s="225"/>
      <c r="AI930" s="225"/>
      <c r="AJ930" s="225"/>
      <c r="AK930" s="323"/>
      <c r="AL930" s="225"/>
    </row>
    <row r="931" ht="13.5" customHeight="1">
      <c r="A931" s="225"/>
      <c r="B931" s="225"/>
      <c r="C931" s="225"/>
      <c r="D931" s="225"/>
      <c r="E931" s="225"/>
      <c r="F931" s="44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  <c r="AA931" s="225"/>
      <c r="AB931" s="225"/>
      <c r="AC931" s="225"/>
      <c r="AD931" s="225"/>
      <c r="AE931" s="225"/>
      <c r="AF931" s="225"/>
      <c r="AG931" s="225"/>
      <c r="AH931" s="225"/>
      <c r="AI931" s="225"/>
      <c r="AJ931" s="225"/>
      <c r="AK931" s="323"/>
      <c r="AL931" s="225"/>
    </row>
    <row r="932" ht="13.5" customHeight="1">
      <c r="A932" s="225"/>
      <c r="B932" s="225"/>
      <c r="C932" s="225"/>
      <c r="D932" s="225"/>
      <c r="E932" s="225"/>
      <c r="F932" s="44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  <c r="AA932" s="225"/>
      <c r="AB932" s="225"/>
      <c r="AC932" s="225"/>
      <c r="AD932" s="225"/>
      <c r="AE932" s="225"/>
      <c r="AF932" s="225"/>
      <c r="AG932" s="225"/>
      <c r="AH932" s="225"/>
      <c r="AI932" s="225"/>
      <c r="AJ932" s="225"/>
      <c r="AK932" s="323"/>
      <c r="AL932" s="225"/>
    </row>
    <row r="933" ht="13.5" customHeight="1">
      <c r="A933" s="225"/>
      <c r="B933" s="225"/>
      <c r="C933" s="225"/>
      <c r="D933" s="225"/>
      <c r="E933" s="225"/>
      <c r="F933" s="44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  <c r="AA933" s="225"/>
      <c r="AB933" s="225"/>
      <c r="AC933" s="225"/>
      <c r="AD933" s="225"/>
      <c r="AE933" s="225"/>
      <c r="AF933" s="225"/>
      <c r="AG933" s="225"/>
      <c r="AH933" s="225"/>
      <c r="AI933" s="225"/>
      <c r="AJ933" s="225"/>
      <c r="AK933" s="323"/>
      <c r="AL933" s="225"/>
    </row>
    <row r="934" ht="13.5" customHeight="1">
      <c r="A934" s="225"/>
      <c r="B934" s="225"/>
      <c r="C934" s="225"/>
      <c r="D934" s="225"/>
      <c r="E934" s="225"/>
      <c r="F934" s="44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  <c r="AA934" s="225"/>
      <c r="AB934" s="225"/>
      <c r="AC934" s="225"/>
      <c r="AD934" s="225"/>
      <c r="AE934" s="225"/>
      <c r="AF934" s="225"/>
      <c r="AG934" s="225"/>
      <c r="AH934" s="225"/>
      <c r="AI934" s="225"/>
      <c r="AJ934" s="225"/>
      <c r="AK934" s="323"/>
      <c r="AL934" s="225"/>
    </row>
    <row r="935" ht="13.5" customHeight="1">
      <c r="A935" s="225"/>
      <c r="B935" s="225"/>
      <c r="C935" s="225"/>
      <c r="D935" s="225"/>
      <c r="E935" s="225"/>
      <c r="F935" s="44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  <c r="AA935" s="225"/>
      <c r="AB935" s="225"/>
      <c r="AC935" s="225"/>
      <c r="AD935" s="225"/>
      <c r="AE935" s="225"/>
      <c r="AF935" s="225"/>
      <c r="AG935" s="225"/>
      <c r="AH935" s="225"/>
      <c r="AI935" s="225"/>
      <c r="AJ935" s="225"/>
      <c r="AK935" s="323"/>
      <c r="AL935" s="225"/>
    </row>
    <row r="936" ht="13.5" customHeight="1">
      <c r="A936" s="225"/>
      <c r="B936" s="225"/>
      <c r="C936" s="225"/>
      <c r="D936" s="225"/>
      <c r="E936" s="225"/>
      <c r="F936" s="44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  <c r="AA936" s="225"/>
      <c r="AB936" s="225"/>
      <c r="AC936" s="225"/>
      <c r="AD936" s="225"/>
      <c r="AE936" s="225"/>
      <c r="AF936" s="225"/>
      <c r="AG936" s="225"/>
      <c r="AH936" s="225"/>
      <c r="AI936" s="225"/>
      <c r="AJ936" s="225"/>
      <c r="AK936" s="323"/>
      <c r="AL936" s="225"/>
    </row>
    <row r="937" ht="13.5" customHeight="1">
      <c r="A937" s="225"/>
      <c r="B937" s="225"/>
      <c r="C937" s="225"/>
      <c r="D937" s="225"/>
      <c r="E937" s="225"/>
      <c r="F937" s="44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  <c r="AA937" s="225"/>
      <c r="AB937" s="225"/>
      <c r="AC937" s="225"/>
      <c r="AD937" s="225"/>
      <c r="AE937" s="225"/>
      <c r="AF937" s="225"/>
      <c r="AG937" s="225"/>
      <c r="AH937" s="225"/>
      <c r="AI937" s="225"/>
      <c r="AJ937" s="225"/>
      <c r="AK937" s="323"/>
      <c r="AL937" s="225"/>
    </row>
    <row r="938" ht="13.5" customHeight="1">
      <c r="A938" s="225"/>
      <c r="B938" s="225"/>
      <c r="C938" s="225"/>
      <c r="D938" s="225"/>
      <c r="E938" s="225"/>
      <c r="F938" s="44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  <c r="AA938" s="225"/>
      <c r="AB938" s="225"/>
      <c r="AC938" s="225"/>
      <c r="AD938" s="225"/>
      <c r="AE938" s="225"/>
      <c r="AF938" s="225"/>
      <c r="AG938" s="225"/>
      <c r="AH938" s="225"/>
      <c r="AI938" s="225"/>
      <c r="AJ938" s="225"/>
      <c r="AK938" s="323"/>
      <c r="AL938" s="225"/>
    </row>
    <row r="939" ht="13.5" customHeight="1">
      <c r="A939" s="225"/>
      <c r="B939" s="225"/>
      <c r="C939" s="225"/>
      <c r="D939" s="225"/>
      <c r="E939" s="225"/>
      <c r="F939" s="44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  <c r="AA939" s="225"/>
      <c r="AB939" s="225"/>
      <c r="AC939" s="225"/>
      <c r="AD939" s="225"/>
      <c r="AE939" s="225"/>
      <c r="AF939" s="225"/>
      <c r="AG939" s="225"/>
      <c r="AH939" s="225"/>
      <c r="AI939" s="225"/>
      <c r="AJ939" s="225"/>
      <c r="AK939" s="323"/>
      <c r="AL939" s="225"/>
    </row>
    <row r="940" ht="13.5" customHeight="1">
      <c r="A940" s="225"/>
      <c r="B940" s="225"/>
      <c r="C940" s="225"/>
      <c r="D940" s="225"/>
      <c r="E940" s="225"/>
      <c r="F940" s="44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  <c r="AA940" s="225"/>
      <c r="AB940" s="225"/>
      <c r="AC940" s="225"/>
      <c r="AD940" s="225"/>
      <c r="AE940" s="225"/>
      <c r="AF940" s="225"/>
      <c r="AG940" s="225"/>
      <c r="AH940" s="225"/>
      <c r="AI940" s="225"/>
      <c r="AJ940" s="225"/>
      <c r="AK940" s="323"/>
      <c r="AL940" s="225"/>
    </row>
    <row r="941" ht="13.5" customHeight="1">
      <c r="A941" s="225"/>
      <c r="B941" s="225"/>
      <c r="C941" s="225"/>
      <c r="D941" s="225"/>
      <c r="E941" s="225"/>
      <c r="F941" s="44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  <c r="AA941" s="225"/>
      <c r="AB941" s="225"/>
      <c r="AC941" s="225"/>
      <c r="AD941" s="225"/>
      <c r="AE941" s="225"/>
      <c r="AF941" s="225"/>
      <c r="AG941" s="225"/>
      <c r="AH941" s="225"/>
      <c r="AI941" s="225"/>
      <c r="AJ941" s="225"/>
      <c r="AK941" s="323"/>
      <c r="AL941" s="225"/>
    </row>
    <row r="942" ht="13.5" customHeight="1">
      <c r="A942" s="225"/>
      <c r="B942" s="225"/>
      <c r="C942" s="225"/>
      <c r="D942" s="225"/>
      <c r="E942" s="225"/>
      <c r="F942" s="44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  <c r="AA942" s="225"/>
      <c r="AB942" s="225"/>
      <c r="AC942" s="225"/>
      <c r="AD942" s="225"/>
      <c r="AE942" s="225"/>
      <c r="AF942" s="225"/>
      <c r="AG942" s="225"/>
      <c r="AH942" s="225"/>
      <c r="AI942" s="225"/>
      <c r="AJ942" s="225"/>
      <c r="AK942" s="323"/>
      <c r="AL942" s="225"/>
    </row>
    <row r="943" ht="13.5" customHeight="1">
      <c r="A943" s="225"/>
      <c r="B943" s="225"/>
      <c r="C943" s="225"/>
      <c r="D943" s="225"/>
      <c r="E943" s="225"/>
      <c r="F943" s="44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  <c r="AA943" s="225"/>
      <c r="AB943" s="225"/>
      <c r="AC943" s="225"/>
      <c r="AD943" s="225"/>
      <c r="AE943" s="225"/>
      <c r="AF943" s="225"/>
      <c r="AG943" s="225"/>
      <c r="AH943" s="225"/>
      <c r="AI943" s="225"/>
      <c r="AJ943" s="225"/>
      <c r="AK943" s="323"/>
      <c r="AL943" s="225"/>
    </row>
    <row r="944" ht="13.5" customHeight="1">
      <c r="A944" s="225"/>
      <c r="B944" s="225"/>
      <c r="C944" s="225"/>
      <c r="D944" s="225"/>
      <c r="E944" s="225"/>
      <c r="F944" s="44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  <c r="AA944" s="225"/>
      <c r="AB944" s="225"/>
      <c r="AC944" s="225"/>
      <c r="AD944" s="225"/>
      <c r="AE944" s="225"/>
      <c r="AF944" s="225"/>
      <c r="AG944" s="225"/>
      <c r="AH944" s="225"/>
      <c r="AI944" s="225"/>
      <c r="AJ944" s="225"/>
      <c r="AK944" s="323"/>
      <c r="AL944" s="225"/>
    </row>
    <row r="945" ht="13.5" customHeight="1">
      <c r="A945" s="225"/>
      <c r="B945" s="225"/>
      <c r="C945" s="225"/>
      <c r="D945" s="225"/>
      <c r="E945" s="225"/>
      <c r="F945" s="44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  <c r="AA945" s="225"/>
      <c r="AB945" s="225"/>
      <c r="AC945" s="225"/>
      <c r="AD945" s="225"/>
      <c r="AE945" s="225"/>
      <c r="AF945" s="225"/>
      <c r="AG945" s="225"/>
      <c r="AH945" s="225"/>
      <c r="AI945" s="225"/>
      <c r="AJ945" s="225"/>
      <c r="AK945" s="323"/>
      <c r="AL945" s="225"/>
    </row>
    <row r="946" ht="13.5" customHeight="1">
      <c r="A946" s="225"/>
      <c r="B946" s="225"/>
      <c r="C946" s="225"/>
      <c r="D946" s="225"/>
      <c r="E946" s="225"/>
      <c r="F946" s="44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  <c r="AA946" s="225"/>
      <c r="AB946" s="225"/>
      <c r="AC946" s="225"/>
      <c r="AD946" s="225"/>
      <c r="AE946" s="225"/>
      <c r="AF946" s="225"/>
      <c r="AG946" s="225"/>
      <c r="AH946" s="225"/>
      <c r="AI946" s="225"/>
      <c r="AJ946" s="225"/>
      <c r="AK946" s="323"/>
      <c r="AL946" s="225"/>
    </row>
    <row r="947" ht="13.5" customHeight="1">
      <c r="A947" s="225"/>
      <c r="B947" s="225"/>
      <c r="C947" s="225"/>
      <c r="D947" s="225"/>
      <c r="E947" s="225"/>
      <c r="F947" s="44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  <c r="AA947" s="225"/>
      <c r="AB947" s="225"/>
      <c r="AC947" s="225"/>
      <c r="AD947" s="225"/>
      <c r="AE947" s="225"/>
      <c r="AF947" s="225"/>
      <c r="AG947" s="225"/>
      <c r="AH947" s="225"/>
      <c r="AI947" s="225"/>
      <c r="AJ947" s="225"/>
      <c r="AK947" s="323"/>
      <c r="AL947" s="225"/>
    </row>
    <row r="948" ht="13.5" customHeight="1">
      <c r="A948" s="225"/>
      <c r="B948" s="225"/>
      <c r="C948" s="225"/>
      <c r="D948" s="225"/>
      <c r="E948" s="225"/>
      <c r="F948" s="44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  <c r="AA948" s="225"/>
      <c r="AB948" s="225"/>
      <c r="AC948" s="225"/>
      <c r="AD948" s="225"/>
      <c r="AE948" s="225"/>
      <c r="AF948" s="225"/>
      <c r="AG948" s="225"/>
      <c r="AH948" s="225"/>
      <c r="AI948" s="225"/>
      <c r="AJ948" s="225"/>
      <c r="AK948" s="323"/>
      <c r="AL948" s="225"/>
    </row>
    <row r="949" ht="13.5" customHeight="1">
      <c r="A949" s="225"/>
      <c r="B949" s="225"/>
      <c r="C949" s="225"/>
      <c r="D949" s="225"/>
      <c r="E949" s="225"/>
      <c r="F949" s="44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  <c r="AA949" s="225"/>
      <c r="AB949" s="225"/>
      <c r="AC949" s="225"/>
      <c r="AD949" s="225"/>
      <c r="AE949" s="225"/>
      <c r="AF949" s="225"/>
      <c r="AG949" s="225"/>
      <c r="AH949" s="225"/>
      <c r="AI949" s="225"/>
      <c r="AJ949" s="225"/>
      <c r="AK949" s="323"/>
      <c r="AL949" s="225"/>
    </row>
    <row r="950" ht="13.5" customHeight="1">
      <c r="A950" s="225"/>
      <c r="B950" s="225"/>
      <c r="C950" s="225"/>
      <c r="D950" s="225"/>
      <c r="E950" s="225"/>
      <c r="F950" s="44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  <c r="AA950" s="225"/>
      <c r="AB950" s="225"/>
      <c r="AC950" s="225"/>
      <c r="AD950" s="225"/>
      <c r="AE950" s="225"/>
      <c r="AF950" s="225"/>
      <c r="AG950" s="225"/>
      <c r="AH950" s="225"/>
      <c r="AI950" s="225"/>
      <c r="AJ950" s="225"/>
      <c r="AK950" s="323"/>
      <c r="AL950" s="225"/>
    </row>
    <row r="951" ht="13.5" customHeight="1">
      <c r="A951" s="225"/>
      <c r="B951" s="225"/>
      <c r="C951" s="225"/>
      <c r="D951" s="225"/>
      <c r="E951" s="225"/>
      <c r="F951" s="44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  <c r="AA951" s="225"/>
      <c r="AB951" s="225"/>
      <c r="AC951" s="225"/>
      <c r="AD951" s="225"/>
      <c r="AE951" s="225"/>
      <c r="AF951" s="225"/>
      <c r="AG951" s="225"/>
      <c r="AH951" s="225"/>
      <c r="AI951" s="225"/>
      <c r="AJ951" s="225"/>
      <c r="AK951" s="323"/>
      <c r="AL951" s="225"/>
    </row>
    <row r="952" ht="13.5" customHeight="1">
      <c r="A952" s="225"/>
      <c r="B952" s="225"/>
      <c r="C952" s="225"/>
      <c r="D952" s="225"/>
      <c r="E952" s="225"/>
      <c r="F952" s="44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  <c r="AA952" s="225"/>
      <c r="AB952" s="225"/>
      <c r="AC952" s="225"/>
      <c r="AD952" s="225"/>
      <c r="AE952" s="225"/>
      <c r="AF952" s="225"/>
      <c r="AG952" s="225"/>
      <c r="AH952" s="225"/>
      <c r="AI952" s="225"/>
      <c r="AJ952" s="225"/>
      <c r="AK952" s="323"/>
      <c r="AL952" s="225"/>
    </row>
    <row r="953" ht="13.5" customHeight="1">
      <c r="A953" s="225"/>
      <c r="B953" s="225"/>
      <c r="C953" s="225"/>
      <c r="D953" s="225"/>
      <c r="E953" s="225"/>
      <c r="F953" s="44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  <c r="AA953" s="225"/>
      <c r="AB953" s="225"/>
      <c r="AC953" s="225"/>
      <c r="AD953" s="225"/>
      <c r="AE953" s="225"/>
      <c r="AF953" s="225"/>
      <c r="AG953" s="225"/>
      <c r="AH953" s="225"/>
      <c r="AI953" s="225"/>
      <c r="AJ953" s="225"/>
      <c r="AK953" s="323"/>
      <c r="AL953" s="225"/>
    </row>
    <row r="954" ht="13.5" customHeight="1">
      <c r="A954" s="225"/>
      <c r="B954" s="225"/>
      <c r="C954" s="225"/>
      <c r="D954" s="225"/>
      <c r="E954" s="225"/>
      <c r="F954" s="44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  <c r="AA954" s="225"/>
      <c r="AB954" s="225"/>
      <c r="AC954" s="225"/>
      <c r="AD954" s="225"/>
      <c r="AE954" s="225"/>
      <c r="AF954" s="225"/>
      <c r="AG954" s="225"/>
      <c r="AH954" s="225"/>
      <c r="AI954" s="225"/>
      <c r="AJ954" s="225"/>
      <c r="AK954" s="323"/>
      <c r="AL954" s="225"/>
    </row>
    <row r="955" ht="13.5" customHeight="1">
      <c r="A955" s="225"/>
      <c r="B955" s="225"/>
      <c r="C955" s="225"/>
      <c r="D955" s="225"/>
      <c r="E955" s="225"/>
      <c r="F955" s="44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  <c r="AA955" s="225"/>
      <c r="AB955" s="225"/>
      <c r="AC955" s="225"/>
      <c r="AD955" s="225"/>
      <c r="AE955" s="225"/>
      <c r="AF955" s="225"/>
      <c r="AG955" s="225"/>
      <c r="AH955" s="225"/>
      <c r="AI955" s="225"/>
      <c r="AJ955" s="225"/>
      <c r="AK955" s="323"/>
      <c r="AL955" s="225"/>
    </row>
    <row r="956" ht="13.5" customHeight="1">
      <c r="A956" s="225"/>
      <c r="B956" s="225"/>
      <c r="C956" s="225"/>
      <c r="D956" s="225"/>
      <c r="E956" s="225"/>
      <c r="F956" s="44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  <c r="AA956" s="225"/>
      <c r="AB956" s="225"/>
      <c r="AC956" s="225"/>
      <c r="AD956" s="225"/>
      <c r="AE956" s="225"/>
      <c r="AF956" s="225"/>
      <c r="AG956" s="225"/>
      <c r="AH956" s="225"/>
      <c r="AI956" s="225"/>
      <c r="AJ956" s="225"/>
      <c r="AK956" s="323"/>
      <c r="AL956" s="225"/>
    </row>
    <row r="957" ht="13.5" customHeight="1">
      <c r="A957" s="225"/>
      <c r="B957" s="225"/>
      <c r="C957" s="225"/>
      <c r="D957" s="225"/>
      <c r="E957" s="225"/>
      <c r="F957" s="44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5"/>
      <c r="AB957" s="225"/>
      <c r="AC957" s="225"/>
      <c r="AD957" s="225"/>
      <c r="AE957" s="225"/>
      <c r="AF957" s="225"/>
      <c r="AG957" s="225"/>
      <c r="AH957" s="225"/>
      <c r="AI957" s="225"/>
      <c r="AJ957" s="225"/>
      <c r="AK957" s="323"/>
      <c r="AL957" s="225"/>
    </row>
    <row r="958" ht="13.5" customHeight="1">
      <c r="A958" s="225"/>
      <c r="B958" s="225"/>
      <c r="C958" s="225"/>
      <c r="D958" s="225"/>
      <c r="E958" s="225"/>
      <c r="F958" s="44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5"/>
      <c r="AB958" s="225"/>
      <c r="AC958" s="225"/>
      <c r="AD958" s="225"/>
      <c r="AE958" s="225"/>
      <c r="AF958" s="225"/>
      <c r="AG958" s="225"/>
      <c r="AH958" s="225"/>
      <c r="AI958" s="225"/>
      <c r="AJ958" s="225"/>
      <c r="AK958" s="323"/>
      <c r="AL958" s="225"/>
    </row>
    <row r="959" ht="13.5" customHeight="1">
      <c r="A959" s="225"/>
      <c r="B959" s="225"/>
      <c r="C959" s="225"/>
      <c r="D959" s="225"/>
      <c r="E959" s="225"/>
      <c r="F959" s="44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5"/>
      <c r="AB959" s="225"/>
      <c r="AC959" s="225"/>
      <c r="AD959" s="225"/>
      <c r="AE959" s="225"/>
      <c r="AF959" s="225"/>
      <c r="AG959" s="225"/>
      <c r="AH959" s="225"/>
      <c r="AI959" s="225"/>
      <c r="AJ959" s="225"/>
      <c r="AK959" s="323"/>
      <c r="AL959" s="225"/>
    </row>
    <row r="960" ht="13.5" customHeight="1">
      <c r="A960" s="225"/>
      <c r="B960" s="225"/>
      <c r="C960" s="225"/>
      <c r="D960" s="225"/>
      <c r="E960" s="225"/>
      <c r="F960" s="44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5"/>
      <c r="AB960" s="225"/>
      <c r="AC960" s="225"/>
      <c r="AD960" s="225"/>
      <c r="AE960" s="225"/>
      <c r="AF960" s="225"/>
      <c r="AG960" s="225"/>
      <c r="AH960" s="225"/>
      <c r="AI960" s="225"/>
      <c r="AJ960" s="225"/>
      <c r="AK960" s="323"/>
      <c r="AL960" s="225"/>
    </row>
    <row r="961" ht="13.5" customHeight="1">
      <c r="A961" s="225"/>
      <c r="B961" s="225"/>
      <c r="C961" s="225"/>
      <c r="D961" s="225"/>
      <c r="E961" s="225"/>
      <c r="F961" s="44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5"/>
      <c r="AB961" s="225"/>
      <c r="AC961" s="225"/>
      <c r="AD961" s="225"/>
      <c r="AE961" s="225"/>
      <c r="AF961" s="225"/>
      <c r="AG961" s="225"/>
      <c r="AH961" s="225"/>
      <c r="AI961" s="225"/>
      <c r="AJ961" s="225"/>
      <c r="AK961" s="323"/>
      <c r="AL961" s="225"/>
    </row>
    <row r="962" ht="13.5" customHeight="1">
      <c r="A962" s="225"/>
      <c r="B962" s="225"/>
      <c r="C962" s="225"/>
      <c r="D962" s="225"/>
      <c r="E962" s="225"/>
      <c r="F962" s="44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5"/>
      <c r="AB962" s="225"/>
      <c r="AC962" s="225"/>
      <c r="AD962" s="225"/>
      <c r="AE962" s="225"/>
      <c r="AF962" s="225"/>
      <c r="AG962" s="225"/>
      <c r="AH962" s="225"/>
      <c r="AI962" s="225"/>
      <c r="AJ962" s="225"/>
      <c r="AK962" s="323"/>
      <c r="AL962" s="225"/>
    </row>
    <row r="963" ht="13.5" customHeight="1">
      <c r="A963" s="225"/>
      <c r="B963" s="225"/>
      <c r="C963" s="225"/>
      <c r="D963" s="225"/>
      <c r="E963" s="225"/>
      <c r="F963" s="44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5"/>
      <c r="AB963" s="225"/>
      <c r="AC963" s="225"/>
      <c r="AD963" s="225"/>
      <c r="AE963" s="225"/>
      <c r="AF963" s="225"/>
      <c r="AG963" s="225"/>
      <c r="AH963" s="225"/>
      <c r="AI963" s="225"/>
      <c r="AJ963" s="225"/>
      <c r="AK963" s="323"/>
      <c r="AL963" s="225"/>
    </row>
    <row r="964" ht="13.5" customHeight="1">
      <c r="A964" s="225"/>
      <c r="B964" s="225"/>
      <c r="C964" s="225"/>
      <c r="D964" s="225"/>
      <c r="E964" s="225"/>
      <c r="F964" s="44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5"/>
      <c r="AB964" s="225"/>
      <c r="AC964" s="225"/>
      <c r="AD964" s="225"/>
      <c r="AE964" s="225"/>
      <c r="AF964" s="225"/>
      <c r="AG964" s="225"/>
      <c r="AH964" s="225"/>
      <c r="AI964" s="225"/>
      <c r="AJ964" s="225"/>
      <c r="AK964" s="323"/>
      <c r="AL964" s="225"/>
    </row>
    <row r="965" ht="13.5" customHeight="1">
      <c r="A965" s="225"/>
      <c r="B965" s="225"/>
      <c r="C965" s="225"/>
      <c r="D965" s="225"/>
      <c r="E965" s="225"/>
      <c r="F965" s="44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5"/>
      <c r="AB965" s="225"/>
      <c r="AC965" s="225"/>
      <c r="AD965" s="225"/>
      <c r="AE965" s="225"/>
      <c r="AF965" s="225"/>
      <c r="AG965" s="225"/>
      <c r="AH965" s="225"/>
      <c r="AI965" s="225"/>
      <c r="AJ965" s="225"/>
      <c r="AK965" s="323"/>
      <c r="AL965" s="225"/>
    </row>
    <row r="966" ht="13.5" customHeight="1">
      <c r="A966" s="225"/>
      <c r="B966" s="225"/>
      <c r="C966" s="225"/>
      <c r="D966" s="225"/>
      <c r="E966" s="225"/>
      <c r="F966" s="44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5"/>
      <c r="AB966" s="225"/>
      <c r="AC966" s="225"/>
      <c r="AD966" s="225"/>
      <c r="AE966" s="225"/>
      <c r="AF966" s="225"/>
      <c r="AG966" s="225"/>
      <c r="AH966" s="225"/>
      <c r="AI966" s="225"/>
      <c r="AJ966" s="225"/>
      <c r="AK966" s="323"/>
      <c r="AL966" s="225"/>
    </row>
    <row r="967" ht="13.5" customHeight="1">
      <c r="A967" s="225"/>
      <c r="B967" s="225"/>
      <c r="C967" s="225"/>
      <c r="D967" s="225"/>
      <c r="E967" s="225"/>
      <c r="F967" s="44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5"/>
      <c r="AB967" s="225"/>
      <c r="AC967" s="225"/>
      <c r="AD967" s="225"/>
      <c r="AE967" s="225"/>
      <c r="AF967" s="225"/>
      <c r="AG967" s="225"/>
      <c r="AH967" s="225"/>
      <c r="AI967" s="225"/>
      <c r="AJ967" s="225"/>
      <c r="AK967" s="323"/>
      <c r="AL967" s="225"/>
    </row>
    <row r="968" ht="13.5" customHeight="1">
      <c r="A968" s="225"/>
      <c r="B968" s="225"/>
      <c r="C968" s="225"/>
      <c r="D968" s="225"/>
      <c r="E968" s="225"/>
      <c r="F968" s="44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  <c r="AA968" s="225"/>
      <c r="AB968" s="225"/>
      <c r="AC968" s="225"/>
      <c r="AD968" s="225"/>
      <c r="AE968" s="225"/>
      <c r="AF968" s="225"/>
      <c r="AG968" s="225"/>
      <c r="AH968" s="225"/>
      <c r="AI968" s="225"/>
      <c r="AJ968" s="225"/>
      <c r="AK968" s="323"/>
      <c r="AL968" s="225"/>
    </row>
    <row r="969" ht="13.5" customHeight="1">
      <c r="A969" s="225"/>
      <c r="B969" s="225"/>
      <c r="C969" s="225"/>
      <c r="D969" s="225"/>
      <c r="E969" s="225"/>
      <c r="F969" s="44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  <c r="AA969" s="225"/>
      <c r="AB969" s="225"/>
      <c r="AC969" s="225"/>
      <c r="AD969" s="225"/>
      <c r="AE969" s="225"/>
      <c r="AF969" s="225"/>
      <c r="AG969" s="225"/>
      <c r="AH969" s="225"/>
      <c r="AI969" s="225"/>
      <c r="AJ969" s="225"/>
      <c r="AK969" s="323"/>
      <c r="AL969" s="225"/>
    </row>
    <row r="970" ht="13.5" customHeight="1">
      <c r="A970" s="225"/>
      <c r="B970" s="225"/>
      <c r="C970" s="225"/>
      <c r="D970" s="225"/>
      <c r="E970" s="225"/>
      <c r="F970" s="44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  <c r="AA970" s="225"/>
      <c r="AB970" s="225"/>
      <c r="AC970" s="225"/>
      <c r="AD970" s="225"/>
      <c r="AE970" s="225"/>
      <c r="AF970" s="225"/>
      <c r="AG970" s="225"/>
      <c r="AH970" s="225"/>
      <c r="AI970" s="225"/>
      <c r="AJ970" s="225"/>
      <c r="AK970" s="323"/>
      <c r="AL970" s="225"/>
    </row>
    <row r="971" ht="13.5" customHeight="1">
      <c r="A971" s="225"/>
      <c r="B971" s="225"/>
      <c r="C971" s="225"/>
      <c r="D971" s="225"/>
      <c r="E971" s="225"/>
      <c r="F971" s="44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  <c r="AA971" s="225"/>
      <c r="AB971" s="225"/>
      <c r="AC971" s="225"/>
      <c r="AD971" s="225"/>
      <c r="AE971" s="225"/>
      <c r="AF971" s="225"/>
      <c r="AG971" s="225"/>
      <c r="AH971" s="225"/>
      <c r="AI971" s="225"/>
      <c r="AJ971" s="225"/>
      <c r="AK971" s="323"/>
      <c r="AL971" s="225"/>
    </row>
    <row r="972" ht="13.5" customHeight="1">
      <c r="A972" s="225"/>
      <c r="B972" s="225"/>
      <c r="C972" s="225"/>
      <c r="D972" s="225"/>
      <c r="E972" s="225"/>
      <c r="F972" s="44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  <c r="AA972" s="225"/>
      <c r="AB972" s="225"/>
      <c r="AC972" s="225"/>
      <c r="AD972" s="225"/>
      <c r="AE972" s="225"/>
      <c r="AF972" s="225"/>
      <c r="AG972" s="225"/>
      <c r="AH972" s="225"/>
      <c r="AI972" s="225"/>
      <c r="AJ972" s="225"/>
      <c r="AK972" s="323"/>
      <c r="AL972" s="225"/>
    </row>
    <row r="973" ht="13.5" customHeight="1">
      <c r="A973" s="225"/>
      <c r="B973" s="225"/>
      <c r="C973" s="225"/>
      <c r="D973" s="225"/>
      <c r="E973" s="225"/>
      <c r="F973" s="44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  <c r="AA973" s="225"/>
      <c r="AB973" s="225"/>
      <c r="AC973" s="225"/>
      <c r="AD973" s="225"/>
      <c r="AE973" s="225"/>
      <c r="AF973" s="225"/>
      <c r="AG973" s="225"/>
      <c r="AH973" s="225"/>
      <c r="AI973" s="225"/>
      <c r="AJ973" s="225"/>
      <c r="AK973" s="323"/>
      <c r="AL973" s="225"/>
    </row>
    <row r="974" ht="13.5" customHeight="1">
      <c r="A974" s="225"/>
      <c r="B974" s="225"/>
      <c r="C974" s="225"/>
      <c r="D974" s="225"/>
      <c r="E974" s="225"/>
      <c r="F974" s="44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  <c r="AA974" s="225"/>
      <c r="AB974" s="225"/>
      <c r="AC974" s="225"/>
      <c r="AD974" s="225"/>
      <c r="AE974" s="225"/>
      <c r="AF974" s="225"/>
      <c r="AG974" s="225"/>
      <c r="AH974" s="225"/>
      <c r="AI974" s="225"/>
      <c r="AJ974" s="225"/>
      <c r="AK974" s="323"/>
      <c r="AL974" s="225"/>
    </row>
    <row r="975" ht="13.5" customHeight="1">
      <c r="A975" s="225"/>
      <c r="B975" s="225"/>
      <c r="C975" s="225"/>
      <c r="D975" s="225"/>
      <c r="E975" s="225"/>
      <c r="F975" s="44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  <c r="AA975" s="225"/>
      <c r="AB975" s="225"/>
      <c r="AC975" s="225"/>
      <c r="AD975" s="225"/>
      <c r="AE975" s="225"/>
      <c r="AF975" s="225"/>
      <c r="AG975" s="225"/>
      <c r="AH975" s="225"/>
      <c r="AI975" s="225"/>
      <c r="AJ975" s="225"/>
      <c r="AK975" s="323"/>
      <c r="AL975" s="225"/>
    </row>
    <row r="976" ht="13.5" customHeight="1">
      <c r="A976" s="225"/>
      <c r="B976" s="225"/>
      <c r="C976" s="225"/>
      <c r="D976" s="225"/>
      <c r="E976" s="225"/>
      <c r="F976" s="44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  <c r="AA976" s="225"/>
      <c r="AB976" s="225"/>
      <c r="AC976" s="225"/>
      <c r="AD976" s="225"/>
      <c r="AE976" s="225"/>
      <c r="AF976" s="225"/>
      <c r="AG976" s="225"/>
      <c r="AH976" s="225"/>
      <c r="AI976" s="225"/>
      <c r="AJ976" s="225"/>
      <c r="AK976" s="323"/>
      <c r="AL976" s="225"/>
    </row>
    <row r="977" ht="13.5" customHeight="1">
      <c r="A977" s="225"/>
      <c r="B977" s="225"/>
      <c r="C977" s="225"/>
      <c r="D977" s="225"/>
      <c r="E977" s="225"/>
      <c r="F977" s="44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  <c r="AA977" s="225"/>
      <c r="AB977" s="225"/>
      <c r="AC977" s="225"/>
      <c r="AD977" s="225"/>
      <c r="AE977" s="225"/>
      <c r="AF977" s="225"/>
      <c r="AG977" s="225"/>
      <c r="AH977" s="225"/>
      <c r="AI977" s="225"/>
      <c r="AJ977" s="225"/>
      <c r="AK977" s="323"/>
      <c r="AL977" s="225"/>
    </row>
    <row r="978" ht="13.5" customHeight="1">
      <c r="A978" s="225"/>
      <c r="B978" s="225"/>
      <c r="C978" s="225"/>
      <c r="D978" s="225"/>
      <c r="E978" s="225"/>
      <c r="F978" s="44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  <c r="AA978" s="225"/>
      <c r="AB978" s="225"/>
      <c r="AC978" s="225"/>
      <c r="AD978" s="225"/>
      <c r="AE978" s="225"/>
      <c r="AF978" s="225"/>
      <c r="AG978" s="225"/>
      <c r="AH978" s="225"/>
      <c r="AI978" s="225"/>
      <c r="AJ978" s="225"/>
      <c r="AK978" s="323"/>
      <c r="AL978" s="225"/>
    </row>
    <row r="979" ht="13.5" customHeight="1">
      <c r="A979" s="225"/>
      <c r="B979" s="225"/>
      <c r="C979" s="225"/>
      <c r="D979" s="225"/>
      <c r="E979" s="225"/>
      <c r="F979" s="44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  <c r="AA979" s="225"/>
      <c r="AB979" s="225"/>
      <c r="AC979" s="225"/>
      <c r="AD979" s="225"/>
      <c r="AE979" s="225"/>
      <c r="AF979" s="225"/>
      <c r="AG979" s="225"/>
      <c r="AH979" s="225"/>
      <c r="AI979" s="225"/>
      <c r="AJ979" s="225"/>
      <c r="AK979" s="323"/>
      <c r="AL979" s="225"/>
    </row>
    <row r="980" ht="13.5" customHeight="1">
      <c r="A980" s="225"/>
      <c r="B980" s="225"/>
      <c r="C980" s="225"/>
      <c r="D980" s="225"/>
      <c r="E980" s="225"/>
      <c r="F980" s="44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  <c r="AA980" s="225"/>
      <c r="AB980" s="225"/>
      <c r="AC980" s="225"/>
      <c r="AD980" s="225"/>
      <c r="AE980" s="225"/>
      <c r="AF980" s="225"/>
      <c r="AG980" s="225"/>
      <c r="AH980" s="225"/>
      <c r="AI980" s="225"/>
      <c r="AJ980" s="225"/>
      <c r="AK980" s="323"/>
      <c r="AL980" s="225"/>
    </row>
    <row r="981" ht="13.5" customHeight="1">
      <c r="A981" s="225"/>
      <c r="B981" s="225"/>
      <c r="C981" s="225"/>
      <c r="D981" s="225"/>
      <c r="E981" s="225"/>
      <c r="F981" s="44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  <c r="AA981" s="225"/>
      <c r="AB981" s="225"/>
      <c r="AC981" s="225"/>
      <c r="AD981" s="225"/>
      <c r="AE981" s="225"/>
      <c r="AF981" s="225"/>
      <c r="AG981" s="225"/>
      <c r="AH981" s="225"/>
      <c r="AI981" s="225"/>
      <c r="AJ981" s="225"/>
      <c r="AK981" s="323"/>
      <c r="AL981" s="225"/>
    </row>
    <row r="982" ht="13.5" customHeight="1">
      <c r="A982" s="225"/>
      <c r="B982" s="225"/>
      <c r="C982" s="225"/>
      <c r="D982" s="225"/>
      <c r="E982" s="225"/>
      <c r="F982" s="44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  <c r="AA982" s="225"/>
      <c r="AB982" s="225"/>
      <c r="AC982" s="225"/>
      <c r="AD982" s="225"/>
      <c r="AE982" s="225"/>
      <c r="AF982" s="225"/>
      <c r="AG982" s="225"/>
      <c r="AH982" s="225"/>
      <c r="AI982" s="225"/>
      <c r="AJ982" s="225"/>
      <c r="AK982" s="323"/>
      <c r="AL982" s="225"/>
    </row>
    <row r="983" ht="13.5" customHeight="1">
      <c r="A983" s="225"/>
      <c r="B983" s="225"/>
      <c r="C983" s="225"/>
      <c r="D983" s="225"/>
      <c r="E983" s="225"/>
      <c r="F983" s="44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  <c r="AA983" s="225"/>
      <c r="AB983" s="225"/>
      <c r="AC983" s="225"/>
      <c r="AD983" s="225"/>
      <c r="AE983" s="225"/>
      <c r="AF983" s="225"/>
      <c r="AG983" s="225"/>
      <c r="AH983" s="225"/>
      <c r="AI983" s="225"/>
      <c r="AJ983" s="225"/>
      <c r="AK983" s="323"/>
      <c r="AL983" s="225"/>
    </row>
    <row r="984" ht="13.5" customHeight="1">
      <c r="A984" s="225"/>
      <c r="B984" s="225"/>
      <c r="C984" s="225"/>
      <c r="D984" s="225"/>
      <c r="E984" s="225"/>
      <c r="F984" s="44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  <c r="AA984" s="225"/>
      <c r="AB984" s="225"/>
      <c r="AC984" s="225"/>
      <c r="AD984" s="225"/>
      <c r="AE984" s="225"/>
      <c r="AF984" s="225"/>
      <c r="AG984" s="225"/>
      <c r="AH984" s="225"/>
      <c r="AI984" s="225"/>
      <c r="AJ984" s="225"/>
      <c r="AK984" s="323"/>
      <c r="AL984" s="225"/>
    </row>
    <row r="985" ht="13.5" customHeight="1">
      <c r="A985" s="225"/>
      <c r="B985" s="225"/>
      <c r="C985" s="225"/>
      <c r="D985" s="225"/>
      <c r="E985" s="225"/>
      <c r="F985" s="44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  <c r="AA985" s="225"/>
      <c r="AB985" s="225"/>
      <c r="AC985" s="225"/>
      <c r="AD985" s="225"/>
      <c r="AE985" s="225"/>
      <c r="AF985" s="225"/>
      <c r="AG985" s="225"/>
      <c r="AH985" s="225"/>
      <c r="AI985" s="225"/>
      <c r="AJ985" s="225"/>
      <c r="AK985" s="323"/>
      <c r="AL985" s="225"/>
    </row>
    <row r="986" ht="13.5" customHeight="1">
      <c r="A986" s="225"/>
      <c r="B986" s="225"/>
      <c r="C986" s="225"/>
      <c r="D986" s="225"/>
      <c r="E986" s="225"/>
      <c r="F986" s="44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  <c r="AA986" s="225"/>
      <c r="AB986" s="225"/>
      <c r="AC986" s="225"/>
      <c r="AD986" s="225"/>
      <c r="AE986" s="225"/>
      <c r="AF986" s="225"/>
      <c r="AG986" s="225"/>
      <c r="AH986" s="225"/>
      <c r="AI986" s="225"/>
      <c r="AJ986" s="225"/>
      <c r="AK986" s="323"/>
      <c r="AL986" s="225"/>
    </row>
    <row r="987" ht="13.5" customHeight="1">
      <c r="A987" s="225"/>
      <c r="B987" s="225"/>
      <c r="C987" s="225"/>
      <c r="D987" s="225"/>
      <c r="E987" s="225"/>
      <c r="F987" s="44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  <c r="AA987" s="225"/>
      <c r="AB987" s="225"/>
      <c r="AC987" s="225"/>
      <c r="AD987" s="225"/>
      <c r="AE987" s="225"/>
      <c r="AF987" s="225"/>
      <c r="AG987" s="225"/>
      <c r="AH987" s="225"/>
      <c r="AI987" s="225"/>
      <c r="AJ987" s="225"/>
      <c r="AK987" s="323"/>
      <c r="AL987" s="225"/>
    </row>
    <row r="988" ht="13.5" customHeight="1">
      <c r="A988" s="225"/>
      <c r="B988" s="225"/>
      <c r="C988" s="225"/>
      <c r="D988" s="225"/>
      <c r="E988" s="225"/>
      <c r="F988" s="44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  <c r="AA988" s="225"/>
      <c r="AB988" s="225"/>
      <c r="AC988" s="225"/>
      <c r="AD988" s="225"/>
      <c r="AE988" s="225"/>
      <c r="AF988" s="225"/>
      <c r="AG988" s="225"/>
      <c r="AH988" s="225"/>
      <c r="AI988" s="225"/>
      <c r="AJ988" s="225"/>
      <c r="AK988" s="323"/>
      <c r="AL988" s="225"/>
    </row>
    <row r="989" ht="13.5" customHeight="1">
      <c r="A989" s="225"/>
      <c r="B989" s="225"/>
      <c r="C989" s="225"/>
      <c r="D989" s="225"/>
      <c r="E989" s="225"/>
      <c r="F989" s="44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  <c r="AA989" s="225"/>
      <c r="AB989" s="225"/>
      <c r="AC989" s="225"/>
      <c r="AD989" s="225"/>
      <c r="AE989" s="225"/>
      <c r="AF989" s="225"/>
      <c r="AG989" s="225"/>
      <c r="AH989" s="225"/>
      <c r="AI989" s="225"/>
      <c r="AJ989" s="225"/>
      <c r="AK989" s="323"/>
      <c r="AL989" s="225"/>
    </row>
    <row r="990" ht="13.5" customHeight="1">
      <c r="A990" s="225"/>
      <c r="B990" s="225"/>
      <c r="C990" s="225"/>
      <c r="D990" s="225"/>
      <c r="E990" s="225"/>
      <c r="F990" s="44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  <c r="AA990" s="225"/>
      <c r="AB990" s="225"/>
      <c r="AC990" s="225"/>
      <c r="AD990" s="225"/>
      <c r="AE990" s="225"/>
      <c r="AF990" s="225"/>
      <c r="AG990" s="225"/>
      <c r="AH990" s="225"/>
      <c r="AI990" s="225"/>
      <c r="AJ990" s="225"/>
      <c r="AK990" s="323"/>
      <c r="AL990" s="225"/>
    </row>
    <row r="991" ht="13.5" customHeight="1">
      <c r="A991" s="225"/>
      <c r="B991" s="225"/>
      <c r="C991" s="225"/>
      <c r="D991" s="225"/>
      <c r="E991" s="225"/>
      <c r="F991" s="44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  <c r="AA991" s="225"/>
      <c r="AB991" s="225"/>
      <c r="AC991" s="225"/>
      <c r="AD991" s="225"/>
      <c r="AE991" s="225"/>
      <c r="AF991" s="225"/>
      <c r="AG991" s="225"/>
      <c r="AH991" s="225"/>
      <c r="AI991" s="225"/>
      <c r="AJ991" s="225"/>
      <c r="AK991" s="323"/>
      <c r="AL991" s="225"/>
    </row>
    <row r="992" ht="13.5" customHeight="1">
      <c r="A992" s="225"/>
      <c r="B992" s="225"/>
      <c r="C992" s="225"/>
      <c r="D992" s="225"/>
      <c r="E992" s="225"/>
      <c r="F992" s="44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  <c r="AA992" s="225"/>
      <c r="AB992" s="225"/>
      <c r="AC992" s="225"/>
      <c r="AD992" s="225"/>
      <c r="AE992" s="225"/>
      <c r="AF992" s="225"/>
      <c r="AG992" s="225"/>
      <c r="AH992" s="225"/>
      <c r="AI992" s="225"/>
      <c r="AJ992" s="225"/>
      <c r="AK992" s="323"/>
      <c r="AL992" s="225"/>
    </row>
    <row r="993" ht="13.5" customHeight="1">
      <c r="A993" s="225"/>
      <c r="B993" s="225"/>
      <c r="C993" s="225"/>
      <c r="D993" s="225"/>
      <c r="E993" s="225"/>
      <c r="F993" s="44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  <c r="AA993" s="225"/>
      <c r="AB993" s="225"/>
      <c r="AC993" s="225"/>
      <c r="AD993" s="225"/>
      <c r="AE993" s="225"/>
      <c r="AF993" s="225"/>
      <c r="AG993" s="225"/>
      <c r="AH993" s="225"/>
      <c r="AI993" s="225"/>
      <c r="AJ993" s="225"/>
      <c r="AK993" s="323"/>
      <c r="AL993" s="225"/>
    </row>
    <row r="994" ht="13.5" customHeight="1">
      <c r="A994" s="225"/>
      <c r="B994" s="225"/>
      <c r="C994" s="225"/>
      <c r="D994" s="225"/>
      <c r="E994" s="225"/>
      <c r="F994" s="44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  <c r="AA994" s="225"/>
      <c r="AB994" s="225"/>
      <c r="AC994" s="225"/>
      <c r="AD994" s="225"/>
      <c r="AE994" s="225"/>
      <c r="AF994" s="225"/>
      <c r="AG994" s="225"/>
      <c r="AH994" s="225"/>
      <c r="AI994" s="225"/>
      <c r="AJ994" s="225"/>
      <c r="AK994" s="323"/>
      <c r="AL994" s="225"/>
    </row>
    <row r="995" ht="13.5" customHeight="1">
      <c r="A995" s="225"/>
      <c r="B995" s="225"/>
      <c r="C995" s="225"/>
      <c r="D995" s="225"/>
      <c r="E995" s="225"/>
      <c r="F995" s="44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  <c r="AA995" s="225"/>
      <c r="AB995" s="225"/>
      <c r="AC995" s="225"/>
      <c r="AD995" s="225"/>
      <c r="AE995" s="225"/>
      <c r="AF995" s="225"/>
      <c r="AG995" s="225"/>
      <c r="AH995" s="225"/>
      <c r="AI995" s="225"/>
      <c r="AJ995" s="225"/>
      <c r="AK995" s="323"/>
      <c r="AL995" s="225"/>
    </row>
    <row r="996" ht="13.5" customHeight="1">
      <c r="A996" s="225"/>
      <c r="B996" s="225"/>
      <c r="C996" s="225"/>
      <c r="D996" s="225"/>
      <c r="E996" s="225"/>
      <c r="F996" s="44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  <c r="AA996" s="225"/>
      <c r="AB996" s="225"/>
      <c r="AC996" s="225"/>
      <c r="AD996" s="225"/>
      <c r="AE996" s="225"/>
      <c r="AF996" s="225"/>
      <c r="AG996" s="225"/>
      <c r="AH996" s="225"/>
      <c r="AI996" s="225"/>
      <c r="AJ996" s="225"/>
      <c r="AK996" s="323"/>
      <c r="AL996" s="225"/>
    </row>
    <row r="997" ht="13.5" customHeight="1">
      <c r="A997" s="225"/>
      <c r="B997" s="225"/>
      <c r="C997" s="225"/>
      <c r="D997" s="225"/>
      <c r="E997" s="225"/>
      <c r="F997" s="44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  <c r="AA997" s="225"/>
      <c r="AB997" s="225"/>
      <c r="AC997" s="225"/>
      <c r="AD997" s="225"/>
      <c r="AE997" s="225"/>
      <c r="AF997" s="225"/>
      <c r="AG997" s="225"/>
      <c r="AH997" s="225"/>
      <c r="AI997" s="225"/>
      <c r="AJ997" s="225"/>
      <c r="AK997" s="323"/>
      <c r="AL997" s="225"/>
    </row>
    <row r="998" ht="13.5" customHeight="1">
      <c r="A998" s="225"/>
      <c r="B998" s="225"/>
      <c r="C998" s="225"/>
      <c r="D998" s="225"/>
      <c r="E998" s="225"/>
      <c r="F998" s="44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  <c r="AA998" s="225"/>
      <c r="AB998" s="225"/>
      <c r="AC998" s="225"/>
      <c r="AD998" s="225"/>
      <c r="AE998" s="225"/>
      <c r="AF998" s="225"/>
      <c r="AG998" s="225"/>
      <c r="AH998" s="225"/>
      <c r="AI998" s="225"/>
      <c r="AJ998" s="225"/>
      <c r="AK998" s="323"/>
      <c r="AL998" s="225"/>
    </row>
    <row r="999" ht="13.5" customHeight="1">
      <c r="A999" s="225"/>
      <c r="B999" s="225"/>
      <c r="C999" s="225"/>
      <c r="D999" s="225"/>
      <c r="E999" s="225"/>
      <c r="F999" s="44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  <c r="AA999" s="225"/>
      <c r="AB999" s="225"/>
      <c r="AC999" s="225"/>
      <c r="AD999" s="225"/>
      <c r="AE999" s="225"/>
      <c r="AF999" s="225"/>
      <c r="AG999" s="225"/>
      <c r="AH999" s="225"/>
      <c r="AI999" s="225"/>
      <c r="AJ999" s="225"/>
      <c r="AK999" s="323"/>
      <c r="AL999" s="225"/>
    </row>
    <row r="1000" ht="13.5" customHeight="1">
      <c r="A1000" s="225"/>
      <c r="B1000" s="225"/>
      <c r="C1000" s="225"/>
      <c r="D1000" s="225"/>
      <c r="E1000" s="225"/>
      <c r="F1000" s="44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  <c r="AA1000" s="225"/>
      <c r="AB1000" s="225"/>
      <c r="AC1000" s="225"/>
      <c r="AD1000" s="225"/>
      <c r="AE1000" s="225"/>
      <c r="AF1000" s="225"/>
      <c r="AG1000" s="225"/>
      <c r="AH1000" s="225"/>
      <c r="AI1000" s="225"/>
      <c r="AJ1000" s="225"/>
      <c r="AK1000" s="323"/>
      <c r="AL1000" s="225"/>
    </row>
  </sheetData>
  <mergeCells count="25">
    <mergeCell ref="A5:D5"/>
    <mergeCell ref="B6:B7"/>
    <mergeCell ref="C6:C7"/>
    <mergeCell ref="D6:D7"/>
    <mergeCell ref="E6:E7"/>
    <mergeCell ref="AI6:AI7"/>
    <mergeCell ref="AJ6:AJ7"/>
    <mergeCell ref="F6:F7"/>
    <mergeCell ref="F25:F28"/>
    <mergeCell ref="F30:F36"/>
    <mergeCell ref="AK35:AL35"/>
    <mergeCell ref="A42:A43"/>
    <mergeCell ref="B42:B43"/>
    <mergeCell ref="C42:C43"/>
    <mergeCell ref="E69:F69"/>
    <mergeCell ref="K69:R69"/>
    <mergeCell ref="E71:F71"/>
    <mergeCell ref="E73:F73"/>
    <mergeCell ref="D42:D43"/>
    <mergeCell ref="F42:F43"/>
    <mergeCell ref="A44:A45"/>
    <mergeCell ref="B57:F57"/>
    <mergeCell ref="B58:F58"/>
    <mergeCell ref="B59:F59"/>
    <mergeCell ref="A65:F6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5.14"/>
    <col customWidth="1" min="8" max="8" width="4.71"/>
    <col customWidth="1" min="9" max="9" width="4.43"/>
    <col customWidth="1" min="10" max="10" width="4.71"/>
    <col customWidth="1" min="11" max="13" width="5.29"/>
    <col customWidth="1" min="14" max="14" width="5.86"/>
    <col customWidth="1" min="15" max="15" width="5.29"/>
    <col customWidth="1" min="16" max="16" width="4.57"/>
    <col customWidth="1" min="17" max="17" width="5.29"/>
    <col customWidth="1" min="18" max="18" width="5.0"/>
    <col customWidth="1" min="19" max="19" width="5.29"/>
    <col customWidth="1" min="20" max="20" width="5.0"/>
    <col customWidth="1" min="21" max="21" width="5.29"/>
    <col customWidth="1" min="22" max="23" width="4.57"/>
    <col customWidth="1" min="24" max="24" width="4.71"/>
    <col customWidth="1" min="25" max="25" width="5.0"/>
    <col customWidth="1" min="26" max="26" width="4.86"/>
    <col customWidth="1" min="27" max="29" width="5.0"/>
    <col customWidth="1" min="30" max="30" width="5.29"/>
    <col customWidth="1" min="31" max="31" width="4.57"/>
    <col customWidth="1" min="32" max="32" width="4.71"/>
    <col customWidth="1" min="33" max="34" width="4.57"/>
    <col customWidth="1" min="35" max="35" width="9.0"/>
    <col customWidth="1" min="36" max="36" width="17.43"/>
    <col customWidth="1" min="37" max="37" width="1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7" t="s">
        <v>3</v>
      </c>
    </row>
    <row r="5" ht="14.25" customHeight="1">
      <c r="A5" s="8" t="s">
        <v>235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10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1"/>
    </row>
    <row r="6" ht="15.7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A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v>22.0</v>
      </c>
      <c r="AC6" s="15">
        <v>23.0</v>
      </c>
      <c r="AD6" s="15">
        <v>24.0</v>
      </c>
      <c r="AE6" s="15">
        <v>25.0</v>
      </c>
      <c r="AF6" s="15">
        <v>26.0</v>
      </c>
      <c r="AG6" s="15">
        <v>27.0</v>
      </c>
      <c r="AH6" s="15">
        <v>28.0</v>
      </c>
      <c r="AI6" s="13" t="s">
        <v>14</v>
      </c>
      <c r="AJ6" s="13" t="s">
        <v>15</v>
      </c>
    </row>
    <row r="7" ht="14.25" customHeight="1">
      <c r="A7" s="16"/>
      <c r="B7" s="17"/>
      <c r="C7" s="17"/>
      <c r="D7" s="17"/>
      <c r="E7" s="17"/>
      <c r="F7" s="17"/>
      <c r="G7" s="18" t="s">
        <v>20</v>
      </c>
      <c r="H7" s="18" t="s">
        <v>21</v>
      </c>
      <c r="I7" s="18" t="s">
        <v>22</v>
      </c>
      <c r="J7" s="18" t="s">
        <v>16</v>
      </c>
      <c r="K7" s="18" t="s">
        <v>17</v>
      </c>
      <c r="L7" s="18" t="s">
        <v>18</v>
      </c>
      <c r="M7" s="18" t="s">
        <v>19</v>
      </c>
      <c r="N7" s="18" t="s">
        <v>20</v>
      </c>
      <c r="O7" s="18" t="s">
        <v>21</v>
      </c>
      <c r="P7" s="18" t="s">
        <v>22</v>
      </c>
      <c r="Q7" s="18" t="s">
        <v>16</v>
      </c>
      <c r="R7" s="18" t="s">
        <v>17</v>
      </c>
      <c r="S7" s="18" t="s">
        <v>18</v>
      </c>
      <c r="T7" s="18" t="s">
        <v>19</v>
      </c>
      <c r="U7" s="18" t="s">
        <v>20</v>
      </c>
      <c r="V7" s="18" t="s">
        <v>21</v>
      </c>
      <c r="W7" s="18" t="s">
        <v>22</v>
      </c>
      <c r="X7" s="18" t="s">
        <v>16</v>
      </c>
      <c r="Y7" s="18" t="s">
        <v>17</v>
      </c>
      <c r="Z7" s="18" t="s">
        <v>18</v>
      </c>
      <c r="AA7" s="18" t="s">
        <v>19</v>
      </c>
      <c r="AB7" s="18" t="s">
        <v>20</v>
      </c>
      <c r="AC7" s="18" t="s">
        <v>21</v>
      </c>
      <c r="AD7" s="18" t="s">
        <v>22</v>
      </c>
      <c r="AE7" s="18" t="s">
        <v>16</v>
      </c>
      <c r="AF7" s="18" t="s">
        <v>17</v>
      </c>
      <c r="AG7" s="18" t="s">
        <v>18</v>
      </c>
      <c r="AH7" s="18" t="s">
        <v>19</v>
      </c>
      <c r="AI7" s="17"/>
      <c r="AJ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2"/>
      <c r="AJ8" s="23"/>
    </row>
    <row r="9" ht="14.25" customHeight="1">
      <c r="A9" s="260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8" t="s">
        <v>26</v>
      </c>
      <c r="G9" s="209"/>
      <c r="H9" s="209" t="s">
        <v>205</v>
      </c>
      <c r="I9" s="209" t="s">
        <v>205</v>
      </c>
      <c r="J9" s="209" t="s">
        <v>205</v>
      </c>
      <c r="K9" s="209" t="s">
        <v>205</v>
      </c>
      <c r="L9" s="210" t="s">
        <v>205</v>
      </c>
      <c r="M9" s="210" t="s">
        <v>205</v>
      </c>
      <c r="N9" s="209"/>
      <c r="O9" s="209" t="s">
        <v>205</v>
      </c>
      <c r="P9" s="209" t="s">
        <v>205</v>
      </c>
      <c r="Q9" s="209" t="s">
        <v>205</v>
      </c>
      <c r="R9" s="209" t="s">
        <v>205</v>
      </c>
      <c r="S9" s="210" t="s">
        <v>205</v>
      </c>
      <c r="T9" s="210" t="s">
        <v>205</v>
      </c>
      <c r="U9" s="209"/>
      <c r="V9" s="209" t="s">
        <v>205</v>
      </c>
      <c r="W9" s="209" t="s">
        <v>205</v>
      </c>
      <c r="X9" s="209" t="s">
        <v>205</v>
      </c>
      <c r="Y9" s="209" t="s">
        <v>205</v>
      </c>
      <c r="Z9" s="210" t="s">
        <v>205</v>
      </c>
      <c r="AA9" s="210" t="s">
        <v>205</v>
      </c>
      <c r="AB9" s="209"/>
      <c r="AC9" s="209" t="s">
        <v>205</v>
      </c>
      <c r="AD9" s="209" t="s">
        <v>205</v>
      </c>
      <c r="AE9" s="209" t="s">
        <v>205</v>
      </c>
      <c r="AF9" s="209" t="s">
        <v>205</v>
      </c>
      <c r="AG9" s="110">
        <v>12.0</v>
      </c>
      <c r="AH9" s="110">
        <v>12.0</v>
      </c>
      <c r="AI9" s="211">
        <f>COUNTA(G9:AG9)</f>
        <v>23</v>
      </c>
      <c r="AJ9" s="57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>
        <v>12.0</v>
      </c>
      <c r="H10" s="24">
        <v>12.0</v>
      </c>
      <c r="I10" s="24">
        <v>12.0</v>
      </c>
      <c r="J10" s="24">
        <v>12.0</v>
      </c>
      <c r="K10" s="24">
        <v>12.0</v>
      </c>
      <c r="L10" s="110"/>
      <c r="M10" s="110"/>
      <c r="N10" s="24">
        <v>12.0</v>
      </c>
      <c r="O10" s="24">
        <v>12.0</v>
      </c>
      <c r="P10" s="24">
        <v>12.0</v>
      </c>
      <c r="Q10" s="24">
        <v>12.0</v>
      </c>
      <c r="R10" s="24">
        <v>12.0</v>
      </c>
      <c r="S10" s="110"/>
      <c r="T10" s="110"/>
      <c r="U10" s="24">
        <v>12.0</v>
      </c>
      <c r="V10" s="24">
        <v>12.0</v>
      </c>
      <c r="W10" s="24">
        <v>12.0</v>
      </c>
      <c r="X10" s="24">
        <v>12.0</v>
      </c>
      <c r="Y10" s="24">
        <v>12.0</v>
      </c>
      <c r="Z10" s="110"/>
      <c r="AA10" s="110"/>
      <c r="AB10" s="24"/>
      <c r="AC10" s="24">
        <v>12.0</v>
      </c>
      <c r="AD10" s="24">
        <v>12.0</v>
      </c>
      <c r="AE10" s="24">
        <v>12.0</v>
      </c>
      <c r="AF10" s="24">
        <v>12.0</v>
      </c>
      <c r="AG10" s="110">
        <v>12.0</v>
      </c>
      <c r="AH10" s="110">
        <v>12.0</v>
      </c>
      <c r="AI10" s="211">
        <v>21.0</v>
      </c>
      <c r="AJ10" s="57">
        <f t="shared" ref="AJ10:AJ14" si="2">SUM(G10:AH10)</f>
        <v>252</v>
      </c>
    </row>
    <row r="11" ht="14.25" customHeight="1">
      <c r="A11" s="260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>
        <v>9.0</v>
      </c>
      <c r="H11" s="24">
        <v>9.0</v>
      </c>
      <c r="I11" s="24">
        <v>9.0</v>
      </c>
      <c r="J11" s="24">
        <v>9.0</v>
      </c>
      <c r="K11" s="24">
        <v>9.0</v>
      </c>
      <c r="L11" s="110"/>
      <c r="M11" s="110"/>
      <c r="N11" s="24">
        <v>9.0</v>
      </c>
      <c r="O11" s="24">
        <v>9.0</v>
      </c>
      <c r="P11" s="24">
        <v>9.0</v>
      </c>
      <c r="Q11" s="24">
        <v>9.0</v>
      </c>
      <c r="R11" s="24">
        <v>9.0</v>
      </c>
      <c r="S11" s="110"/>
      <c r="T11" s="110"/>
      <c r="U11" s="24">
        <v>9.0</v>
      </c>
      <c r="V11" s="24">
        <v>9.0</v>
      </c>
      <c r="W11" s="24">
        <v>9.0</v>
      </c>
      <c r="X11" s="24">
        <v>9.0</v>
      </c>
      <c r="Y11" s="24">
        <v>9.0</v>
      </c>
      <c r="Z11" s="110"/>
      <c r="AA11" s="110"/>
      <c r="AB11" s="24"/>
      <c r="AC11" s="24">
        <v>9.0</v>
      </c>
      <c r="AD11" s="24">
        <v>9.0</v>
      </c>
      <c r="AE11" s="24">
        <v>9.0</v>
      </c>
      <c r="AF11" s="24">
        <v>9.0</v>
      </c>
      <c r="AG11" s="110">
        <v>9.0</v>
      </c>
      <c r="AH11" s="110">
        <v>9.0</v>
      </c>
      <c r="AI11" s="211">
        <f t="shared" ref="AI11:AI12" si="3">COUNTA(G11:AH11)</f>
        <v>21</v>
      </c>
      <c r="AJ11" s="57">
        <f t="shared" si="2"/>
        <v>189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8" t="s">
        <v>30</v>
      </c>
      <c r="G12" s="24">
        <v>9.0</v>
      </c>
      <c r="H12" s="24">
        <v>9.0</v>
      </c>
      <c r="I12" s="24">
        <v>9.0</v>
      </c>
      <c r="J12" s="24">
        <v>9.0</v>
      </c>
      <c r="K12" s="24">
        <v>9.0</v>
      </c>
      <c r="L12" s="110"/>
      <c r="M12" s="110"/>
      <c r="N12" s="24">
        <v>9.0</v>
      </c>
      <c r="O12" s="24">
        <v>9.0</v>
      </c>
      <c r="P12" s="24">
        <v>9.0</v>
      </c>
      <c r="Q12" s="24">
        <v>9.0</v>
      </c>
      <c r="R12" s="24">
        <v>9.0</v>
      </c>
      <c r="S12" s="110"/>
      <c r="T12" s="110"/>
      <c r="U12" s="24">
        <v>9.0</v>
      </c>
      <c r="V12" s="24">
        <v>9.0</v>
      </c>
      <c r="W12" s="24">
        <v>9.0</v>
      </c>
      <c r="X12" s="24">
        <v>9.0</v>
      </c>
      <c r="Y12" s="24">
        <v>9.0</v>
      </c>
      <c r="Z12" s="110"/>
      <c r="AA12" s="110"/>
      <c r="AB12" s="24"/>
      <c r="AC12" s="24">
        <v>9.0</v>
      </c>
      <c r="AD12" s="24">
        <v>9.0</v>
      </c>
      <c r="AE12" s="24">
        <v>9.0</v>
      </c>
      <c r="AF12" s="24">
        <v>9.0</v>
      </c>
      <c r="AG12" s="110">
        <v>9.0</v>
      </c>
      <c r="AH12" s="110">
        <v>9.0</v>
      </c>
      <c r="AI12" s="211">
        <f t="shared" si="3"/>
        <v>21</v>
      </c>
      <c r="AJ12" s="57">
        <f t="shared" si="2"/>
        <v>189</v>
      </c>
    </row>
    <row r="13" ht="14.25" customHeight="1">
      <c r="A13" s="260">
        <v>5.0</v>
      </c>
      <c r="B13" s="35" t="s">
        <v>36</v>
      </c>
      <c r="C13" s="27">
        <v>1.0</v>
      </c>
      <c r="D13" s="36" t="s">
        <v>180</v>
      </c>
      <c r="E13" s="27" t="s">
        <v>33</v>
      </c>
      <c r="F13" s="28" t="s">
        <v>30</v>
      </c>
      <c r="G13" s="24">
        <v>9.0</v>
      </c>
      <c r="H13" s="24">
        <v>9.0</v>
      </c>
      <c r="I13" s="24">
        <v>9.0</v>
      </c>
      <c r="J13" s="24">
        <v>9.0</v>
      </c>
      <c r="K13" s="24">
        <v>9.0</v>
      </c>
      <c r="L13" s="110"/>
      <c r="M13" s="110"/>
      <c r="N13" s="24">
        <v>9.0</v>
      </c>
      <c r="O13" s="24">
        <v>9.0</v>
      </c>
      <c r="P13" s="24">
        <v>9.0</v>
      </c>
      <c r="Q13" s="24">
        <v>9.0</v>
      </c>
      <c r="R13" s="24">
        <v>9.0</v>
      </c>
      <c r="S13" s="110"/>
      <c r="T13" s="110"/>
      <c r="U13" s="24">
        <v>9.0</v>
      </c>
      <c r="V13" s="24">
        <v>9.0</v>
      </c>
      <c r="W13" s="24">
        <v>9.0</v>
      </c>
      <c r="X13" s="24">
        <v>9.0</v>
      </c>
      <c r="Y13" s="24">
        <v>9.0</v>
      </c>
      <c r="Z13" s="110"/>
      <c r="AA13" s="110"/>
      <c r="AB13" s="24"/>
      <c r="AC13" s="24">
        <v>9.0</v>
      </c>
      <c r="AD13" s="24">
        <v>9.0</v>
      </c>
      <c r="AE13" s="24">
        <v>9.0</v>
      </c>
      <c r="AF13" s="24">
        <v>9.0</v>
      </c>
      <c r="AG13" s="110">
        <v>9.0</v>
      </c>
      <c r="AH13" s="110">
        <v>9.0</v>
      </c>
      <c r="AI13" s="211">
        <v>20.0</v>
      </c>
      <c r="AJ13" s="57">
        <f t="shared" si="2"/>
        <v>189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239</v>
      </c>
      <c r="E14" s="27" t="s">
        <v>40</v>
      </c>
      <c r="F14" s="28" t="s">
        <v>30</v>
      </c>
      <c r="G14" s="24">
        <v>12.0</v>
      </c>
      <c r="H14" s="117">
        <v>12.0</v>
      </c>
      <c r="I14" s="117"/>
      <c r="J14" s="24"/>
      <c r="K14" s="24">
        <v>12.0</v>
      </c>
      <c r="L14" s="110">
        <v>12.0</v>
      </c>
      <c r="M14" s="110">
        <v>12.0</v>
      </c>
      <c r="N14" s="24">
        <v>12.0</v>
      </c>
      <c r="O14" s="24">
        <v>12.0</v>
      </c>
      <c r="P14" s="24"/>
      <c r="Q14" s="24"/>
      <c r="R14" s="24">
        <v>12.0</v>
      </c>
      <c r="S14" s="110">
        <v>12.0</v>
      </c>
      <c r="T14" s="110">
        <v>12.0</v>
      </c>
      <c r="U14" s="24">
        <v>12.0</v>
      </c>
      <c r="V14" s="24">
        <v>12.0</v>
      </c>
      <c r="W14" s="24"/>
      <c r="X14" s="24"/>
      <c r="Y14" s="24">
        <v>12.0</v>
      </c>
      <c r="Z14" s="110">
        <v>12.0</v>
      </c>
      <c r="AA14" s="110">
        <v>12.0</v>
      </c>
      <c r="AB14" s="24">
        <v>12.0</v>
      </c>
      <c r="AC14" s="24">
        <v>12.0</v>
      </c>
      <c r="AD14" s="24"/>
      <c r="AE14" s="24"/>
      <c r="AF14" s="24">
        <v>12.0</v>
      </c>
      <c r="AG14" s="110">
        <v>12.0</v>
      </c>
      <c r="AH14" s="110">
        <v>12.0</v>
      </c>
      <c r="AI14" s="211">
        <f>COUNTA(G14:AH14)</f>
        <v>20</v>
      </c>
      <c r="AJ14" s="57">
        <f t="shared" si="2"/>
        <v>240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"/>
      <c r="AJ15" s="45"/>
    </row>
    <row r="16" ht="14.25" customHeight="1">
      <c r="A16" s="24">
        <v>8.0</v>
      </c>
      <c r="B16" s="25" t="s">
        <v>214</v>
      </c>
      <c r="C16" s="26">
        <v>1.0</v>
      </c>
      <c r="D16" s="25"/>
      <c r="E16" s="26" t="s">
        <v>182</v>
      </c>
      <c r="F16" s="47" t="s">
        <v>65</v>
      </c>
      <c r="G16" s="26"/>
      <c r="H16" s="26"/>
      <c r="I16" s="26"/>
      <c r="J16" s="26"/>
      <c r="K16" s="26"/>
      <c r="L16" s="213"/>
      <c r="M16" s="213"/>
      <c r="N16" s="26"/>
      <c r="O16" s="26"/>
      <c r="P16" s="26"/>
      <c r="Q16" s="26"/>
      <c r="R16" s="26"/>
      <c r="S16" s="213"/>
      <c r="T16" s="213"/>
      <c r="U16" s="26"/>
      <c r="V16" s="26"/>
      <c r="W16" s="26"/>
      <c r="X16" s="26"/>
      <c r="Y16" s="26"/>
      <c r="Z16" s="213"/>
      <c r="AA16" s="213"/>
      <c r="AB16" s="26"/>
      <c r="AC16" s="26"/>
      <c r="AD16" s="26"/>
      <c r="AE16" s="26"/>
      <c r="AF16" s="26"/>
      <c r="AG16" s="214"/>
      <c r="AH16" s="214"/>
      <c r="AI16" s="211">
        <v>26.0</v>
      </c>
      <c r="AJ16" s="57">
        <f t="shared" ref="AJ16:AJ22" si="4">SUM(G16:AH16)</f>
        <v>0</v>
      </c>
      <c r="AK16" s="73" t="s">
        <v>207</v>
      </c>
    </row>
    <row r="17" ht="14.25" customHeight="1">
      <c r="A17" s="24">
        <v>9.0</v>
      </c>
      <c r="B17" s="35" t="s">
        <v>53</v>
      </c>
      <c r="C17" s="27">
        <v>1.0</v>
      </c>
      <c r="D17" s="36" t="s">
        <v>54</v>
      </c>
      <c r="E17" s="27" t="s">
        <v>55</v>
      </c>
      <c r="F17" s="47" t="s">
        <v>46</v>
      </c>
      <c r="G17" s="24">
        <v>12.0</v>
      </c>
      <c r="H17" s="24">
        <v>12.0</v>
      </c>
      <c r="I17" s="24">
        <v>12.0</v>
      </c>
      <c r="J17" s="24">
        <v>12.0</v>
      </c>
      <c r="K17" s="24">
        <v>12.0</v>
      </c>
      <c r="L17" s="110"/>
      <c r="M17" s="110">
        <v>12.0</v>
      </c>
      <c r="N17" s="24">
        <v>12.0</v>
      </c>
      <c r="O17" s="24">
        <v>12.0</v>
      </c>
      <c r="P17" s="24">
        <v>12.0</v>
      </c>
      <c r="Q17" s="24">
        <v>12.0</v>
      </c>
      <c r="R17" s="24">
        <v>12.0</v>
      </c>
      <c r="S17" s="110"/>
      <c r="T17" s="110">
        <v>12.0</v>
      </c>
      <c r="U17" s="24">
        <v>12.0</v>
      </c>
      <c r="V17" s="24">
        <v>12.0</v>
      </c>
      <c r="W17" s="24">
        <v>12.0</v>
      </c>
      <c r="X17" s="24">
        <v>12.0</v>
      </c>
      <c r="Y17" s="24">
        <v>12.0</v>
      </c>
      <c r="Z17" s="110"/>
      <c r="AA17" s="110">
        <v>12.0</v>
      </c>
      <c r="AB17" s="24">
        <v>12.0</v>
      </c>
      <c r="AC17" s="24">
        <v>12.0</v>
      </c>
      <c r="AD17" s="24">
        <v>12.0</v>
      </c>
      <c r="AE17" s="24">
        <v>12.0</v>
      </c>
      <c r="AF17" s="24">
        <v>12.0</v>
      </c>
      <c r="AG17" s="110"/>
      <c r="AH17" s="110">
        <v>12.0</v>
      </c>
      <c r="AI17" s="211">
        <v>15.0</v>
      </c>
      <c r="AJ17" s="57">
        <f t="shared" si="4"/>
        <v>288</v>
      </c>
      <c r="AK17" s="73" t="s">
        <v>207</v>
      </c>
    </row>
    <row r="18" ht="14.25" customHeight="1">
      <c r="A18" s="24">
        <v>10.0</v>
      </c>
      <c r="B18" s="35" t="s">
        <v>49</v>
      </c>
      <c r="C18" s="27">
        <v>1.0</v>
      </c>
      <c r="D18" s="36" t="s">
        <v>59</v>
      </c>
      <c r="E18" s="27" t="s">
        <v>51</v>
      </c>
      <c r="F18" s="47" t="s">
        <v>52</v>
      </c>
      <c r="G18" s="24">
        <v>24.0</v>
      </c>
      <c r="H18" s="24"/>
      <c r="I18" s="24">
        <v>24.0</v>
      </c>
      <c r="J18" s="24"/>
      <c r="K18" s="24">
        <v>24.0</v>
      </c>
      <c r="L18" s="110"/>
      <c r="M18" s="110">
        <v>24.0</v>
      </c>
      <c r="N18" s="24"/>
      <c r="O18" s="24">
        <v>24.0</v>
      </c>
      <c r="P18" s="24"/>
      <c r="Q18" s="24">
        <v>24.0</v>
      </c>
      <c r="R18" s="24"/>
      <c r="S18" s="110">
        <v>24.0</v>
      </c>
      <c r="T18" s="110"/>
      <c r="U18" s="24">
        <v>24.0</v>
      </c>
      <c r="V18" s="24"/>
      <c r="W18" s="24">
        <v>24.0</v>
      </c>
      <c r="X18" s="24"/>
      <c r="Y18" s="24">
        <v>24.0</v>
      </c>
      <c r="Z18" s="110"/>
      <c r="AA18" s="110">
        <v>24.0</v>
      </c>
      <c r="AB18" s="24"/>
      <c r="AC18" s="24"/>
      <c r="AD18" s="24"/>
      <c r="AE18" s="24">
        <v>24.0</v>
      </c>
      <c r="AF18" s="24"/>
      <c r="AG18" s="110">
        <v>24.0</v>
      </c>
      <c r="AH18" s="110"/>
      <c r="AI18" s="211">
        <v>16.0</v>
      </c>
      <c r="AJ18" s="57">
        <f t="shared" si="4"/>
        <v>312</v>
      </c>
      <c r="AK18" s="73" t="s">
        <v>207</v>
      </c>
    </row>
    <row r="19" ht="14.25" customHeight="1">
      <c r="A19" s="24">
        <v>11.0</v>
      </c>
      <c r="B19" s="35" t="s">
        <v>49</v>
      </c>
      <c r="C19" s="27">
        <v>1.0</v>
      </c>
      <c r="D19" s="36" t="s">
        <v>56</v>
      </c>
      <c r="E19" s="27" t="s">
        <v>216</v>
      </c>
      <c r="F19" s="47" t="s">
        <v>52</v>
      </c>
      <c r="G19" s="24"/>
      <c r="H19" s="24">
        <v>24.0</v>
      </c>
      <c r="I19" s="24"/>
      <c r="J19" s="24">
        <v>24.0</v>
      </c>
      <c r="K19" s="24"/>
      <c r="L19" s="110">
        <v>24.0</v>
      </c>
      <c r="M19" s="110"/>
      <c r="N19" s="24">
        <v>24.0</v>
      </c>
      <c r="O19" s="24"/>
      <c r="P19" s="24">
        <v>24.0</v>
      </c>
      <c r="Q19" s="24"/>
      <c r="R19" s="24">
        <v>24.0</v>
      </c>
      <c r="S19" s="110"/>
      <c r="T19" s="110">
        <v>24.0</v>
      </c>
      <c r="U19" s="24"/>
      <c r="V19" s="24">
        <v>24.0</v>
      </c>
      <c r="W19" s="24"/>
      <c r="X19" s="24">
        <v>24.0</v>
      </c>
      <c r="Y19" s="24"/>
      <c r="Z19" s="110">
        <v>24.0</v>
      </c>
      <c r="AA19" s="110"/>
      <c r="AB19" s="24">
        <v>24.0</v>
      </c>
      <c r="AC19" s="24"/>
      <c r="AD19" s="24">
        <v>24.0</v>
      </c>
      <c r="AE19" s="24"/>
      <c r="AF19" s="24">
        <v>24.0</v>
      </c>
      <c r="AG19" s="110"/>
      <c r="AH19" s="110">
        <v>24.0</v>
      </c>
      <c r="AI19" s="211">
        <f t="shared" ref="AI19:AI22" si="5">COUNTA(G19:AH19)</f>
        <v>14</v>
      </c>
      <c r="AJ19" s="57">
        <f t="shared" si="4"/>
        <v>336</v>
      </c>
    </row>
    <row r="20" ht="14.25" customHeight="1">
      <c r="A20" s="24">
        <v>12.0</v>
      </c>
      <c r="B20" s="35" t="s">
        <v>62</v>
      </c>
      <c r="C20" s="27">
        <v>1.0</v>
      </c>
      <c r="D20" s="67" t="s">
        <v>63</v>
      </c>
      <c r="E20" s="27" t="s">
        <v>64</v>
      </c>
      <c r="F20" s="47" t="s">
        <v>65</v>
      </c>
      <c r="G20" s="26">
        <v>12.0</v>
      </c>
      <c r="H20" s="26">
        <v>12.0</v>
      </c>
      <c r="I20" s="26">
        <v>12.0</v>
      </c>
      <c r="J20" s="26"/>
      <c r="K20" s="26">
        <v>12.0</v>
      </c>
      <c r="L20" s="213">
        <v>12.0</v>
      </c>
      <c r="M20" s="213"/>
      <c r="N20" s="26">
        <v>12.0</v>
      </c>
      <c r="O20" s="26">
        <v>12.0</v>
      </c>
      <c r="P20" s="26"/>
      <c r="Q20" s="26">
        <v>12.0</v>
      </c>
      <c r="R20" s="26">
        <v>12.0</v>
      </c>
      <c r="S20" s="213">
        <v>12.0</v>
      </c>
      <c r="T20" s="213"/>
      <c r="U20" s="26">
        <v>12.0</v>
      </c>
      <c r="V20" s="26">
        <v>12.0</v>
      </c>
      <c r="W20" s="26"/>
      <c r="X20" s="26">
        <v>12.0</v>
      </c>
      <c r="Y20" s="26">
        <v>12.0</v>
      </c>
      <c r="Z20" s="213">
        <v>12.0</v>
      </c>
      <c r="AA20" s="213"/>
      <c r="AB20" s="26"/>
      <c r="AC20" s="26"/>
      <c r="AD20" s="26">
        <v>12.0</v>
      </c>
      <c r="AE20" s="26">
        <v>12.0</v>
      </c>
      <c r="AF20" s="26"/>
      <c r="AG20" s="214">
        <v>12.0</v>
      </c>
      <c r="AH20" s="214">
        <v>12.0</v>
      </c>
      <c r="AI20" s="211">
        <f t="shared" si="5"/>
        <v>19</v>
      </c>
      <c r="AJ20" s="57">
        <f t="shared" si="4"/>
        <v>228</v>
      </c>
      <c r="AK20" s="73" t="s">
        <v>207</v>
      </c>
    </row>
    <row r="21" ht="14.25" customHeight="1">
      <c r="A21" s="24">
        <v>13.0</v>
      </c>
      <c r="B21" s="35" t="s">
        <v>67</v>
      </c>
      <c r="C21" s="27">
        <v>1.0</v>
      </c>
      <c r="D21" s="36" t="s">
        <v>243</v>
      </c>
      <c r="E21" s="27" t="s">
        <v>70</v>
      </c>
      <c r="F21" s="28" t="s">
        <v>30</v>
      </c>
      <c r="G21" s="24">
        <v>12.0</v>
      </c>
      <c r="H21" s="24">
        <v>12.0</v>
      </c>
      <c r="I21" s="24">
        <v>12.0</v>
      </c>
      <c r="J21" s="24">
        <v>12.0</v>
      </c>
      <c r="K21" s="24"/>
      <c r="L21" s="110"/>
      <c r="M21" s="110">
        <v>12.0</v>
      </c>
      <c r="N21" s="24">
        <v>12.0</v>
      </c>
      <c r="O21" s="24">
        <v>12.0</v>
      </c>
      <c r="P21" s="24">
        <v>12.0</v>
      </c>
      <c r="Q21" s="24">
        <v>12.0</v>
      </c>
      <c r="R21" s="24"/>
      <c r="S21" s="110"/>
      <c r="T21" s="110">
        <v>12.0</v>
      </c>
      <c r="U21" s="24">
        <v>12.0</v>
      </c>
      <c r="V21" s="24">
        <v>12.0</v>
      </c>
      <c r="W21" s="24">
        <v>12.0</v>
      </c>
      <c r="X21" s="24">
        <v>12.0</v>
      </c>
      <c r="Y21" s="24"/>
      <c r="Z21" s="110"/>
      <c r="AA21" s="110">
        <v>12.0</v>
      </c>
      <c r="AB21" s="24">
        <v>12.0</v>
      </c>
      <c r="AC21" s="24">
        <v>12.0</v>
      </c>
      <c r="AD21" s="24">
        <v>12.0</v>
      </c>
      <c r="AE21" s="24">
        <v>12.0</v>
      </c>
      <c r="AF21" s="24"/>
      <c r="AG21" s="110"/>
      <c r="AH21" s="110">
        <v>12.0</v>
      </c>
      <c r="AI21" s="211">
        <f t="shared" si="5"/>
        <v>20</v>
      </c>
      <c r="AJ21" s="57">
        <f t="shared" si="4"/>
        <v>240</v>
      </c>
      <c r="AK21" s="73" t="s">
        <v>207</v>
      </c>
    </row>
    <row r="22" ht="14.25" customHeight="1">
      <c r="A22" s="24">
        <v>14.0</v>
      </c>
      <c r="B22" s="35" t="s">
        <v>71</v>
      </c>
      <c r="C22" s="27">
        <v>1.0</v>
      </c>
      <c r="D22" s="36" t="s">
        <v>76</v>
      </c>
      <c r="E22" s="27" t="s">
        <v>73</v>
      </c>
      <c r="F22" s="28" t="s">
        <v>26</v>
      </c>
      <c r="G22" s="24">
        <v>12.0</v>
      </c>
      <c r="H22" s="24">
        <v>12.0</v>
      </c>
      <c r="I22" s="24"/>
      <c r="J22" s="24">
        <v>12.0</v>
      </c>
      <c r="K22" s="24">
        <v>12.0</v>
      </c>
      <c r="L22" s="110">
        <v>12.0</v>
      </c>
      <c r="M22" s="110">
        <v>12.0</v>
      </c>
      <c r="N22" s="24">
        <v>12.0</v>
      </c>
      <c r="O22" s="24">
        <v>12.0</v>
      </c>
      <c r="P22" s="24"/>
      <c r="Q22" s="24">
        <v>12.0</v>
      </c>
      <c r="R22" s="24">
        <v>12.0</v>
      </c>
      <c r="S22" s="110">
        <v>12.0</v>
      </c>
      <c r="T22" s="110">
        <v>12.0</v>
      </c>
      <c r="U22" s="24">
        <v>12.0</v>
      </c>
      <c r="V22" s="24">
        <v>12.0</v>
      </c>
      <c r="W22" s="24"/>
      <c r="X22" s="24">
        <v>12.0</v>
      </c>
      <c r="Y22" s="24">
        <v>12.0</v>
      </c>
      <c r="Z22" s="110">
        <v>12.0</v>
      </c>
      <c r="AA22" s="110">
        <v>12.0</v>
      </c>
      <c r="AB22" s="24">
        <v>12.0</v>
      </c>
      <c r="AC22" s="24">
        <v>12.0</v>
      </c>
      <c r="AD22" s="24"/>
      <c r="AE22" s="24">
        <v>12.0</v>
      </c>
      <c r="AF22" s="24">
        <v>12.0</v>
      </c>
      <c r="AG22" s="110">
        <v>12.0</v>
      </c>
      <c r="AH22" s="110">
        <v>12.0</v>
      </c>
      <c r="AI22" s="211">
        <f t="shared" si="5"/>
        <v>24</v>
      </c>
      <c r="AJ22" s="57">
        <f t="shared" si="4"/>
        <v>288</v>
      </c>
      <c r="AK22" s="73" t="s">
        <v>207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 ht="14.25" customHeight="1">
      <c r="A24" s="34">
        <v>15.0</v>
      </c>
      <c r="B24" s="35" t="s">
        <v>218</v>
      </c>
      <c r="C24" s="27">
        <v>1.0</v>
      </c>
      <c r="D24" s="37" t="s">
        <v>82</v>
      </c>
      <c r="E24" s="27" t="s">
        <v>102</v>
      </c>
      <c r="F24" s="28" t="s">
        <v>30</v>
      </c>
      <c r="G24" s="216">
        <v>9.0</v>
      </c>
      <c r="H24" s="216">
        <v>9.0</v>
      </c>
      <c r="I24" s="217">
        <v>9.0</v>
      </c>
      <c r="J24" s="217"/>
      <c r="K24" s="217"/>
      <c r="L24" s="218">
        <v>9.0</v>
      </c>
      <c r="M24" s="218">
        <v>9.0</v>
      </c>
      <c r="N24" s="216">
        <v>9.0</v>
      </c>
      <c r="O24" s="216">
        <v>9.0</v>
      </c>
      <c r="P24" s="217">
        <v>9.0</v>
      </c>
      <c r="Q24" s="217"/>
      <c r="R24" s="217"/>
      <c r="S24" s="218">
        <v>9.0</v>
      </c>
      <c r="T24" s="218">
        <v>9.0</v>
      </c>
      <c r="U24" s="216">
        <v>9.0</v>
      </c>
      <c r="V24" s="216">
        <v>9.0</v>
      </c>
      <c r="W24" s="217">
        <v>9.0</v>
      </c>
      <c r="X24" s="217"/>
      <c r="Y24" s="217"/>
      <c r="Z24" s="218">
        <v>9.0</v>
      </c>
      <c r="AA24" s="218">
        <v>9.0</v>
      </c>
      <c r="AB24" s="216">
        <v>9.0</v>
      </c>
      <c r="AC24" s="216">
        <v>9.0</v>
      </c>
      <c r="AD24" s="217">
        <v>9.0</v>
      </c>
      <c r="AE24" s="217"/>
      <c r="AF24" s="217"/>
      <c r="AG24" s="218">
        <v>9.0</v>
      </c>
      <c r="AH24" s="218">
        <v>9.0</v>
      </c>
      <c r="AI24" s="211">
        <f t="shared" ref="AI24:AI37" si="6">COUNTA(G24:AH24)</f>
        <v>20</v>
      </c>
      <c r="AJ24" s="57">
        <f t="shared" ref="AJ24:AJ37" si="7">SUM(G24:AH24)</f>
        <v>180</v>
      </c>
      <c r="AK24" s="73" t="s">
        <v>207</v>
      </c>
    </row>
    <row r="25" ht="14.25" customHeight="1">
      <c r="A25" s="34">
        <v>16.0</v>
      </c>
      <c r="B25" s="35" t="s">
        <v>86</v>
      </c>
      <c r="C25" s="27">
        <v>1.0</v>
      </c>
      <c r="D25" s="90" t="s">
        <v>100</v>
      </c>
      <c r="E25" s="27" t="s">
        <v>193</v>
      </c>
      <c r="F25" s="28" t="s">
        <v>241</v>
      </c>
      <c r="G25" s="216"/>
      <c r="H25" s="216">
        <v>17.0</v>
      </c>
      <c r="I25" s="217"/>
      <c r="J25" s="219">
        <v>24.0</v>
      </c>
      <c r="K25" s="219"/>
      <c r="L25" s="218">
        <v>17.0</v>
      </c>
      <c r="M25" s="218"/>
      <c r="N25" s="216">
        <v>17.0</v>
      </c>
      <c r="O25" s="216"/>
      <c r="P25" s="217">
        <v>17.0</v>
      </c>
      <c r="Q25" s="219"/>
      <c r="R25" s="219">
        <v>24.0</v>
      </c>
      <c r="S25" s="218"/>
      <c r="T25" s="218">
        <v>17.0</v>
      </c>
      <c r="U25" s="216"/>
      <c r="V25" s="216">
        <v>17.0</v>
      </c>
      <c r="W25" s="217"/>
      <c r="X25" s="219">
        <v>24.0</v>
      </c>
      <c r="Y25" s="219"/>
      <c r="Z25" s="218">
        <v>17.0</v>
      </c>
      <c r="AA25" s="218"/>
      <c r="AB25" s="216">
        <v>17.0</v>
      </c>
      <c r="AC25" s="216"/>
      <c r="AD25" s="217">
        <v>17.0</v>
      </c>
      <c r="AE25" s="219"/>
      <c r="AF25" s="219">
        <v>24.0</v>
      </c>
      <c r="AG25" s="218"/>
      <c r="AH25" s="218">
        <v>17.0</v>
      </c>
      <c r="AI25" s="211">
        <f t="shared" si="6"/>
        <v>14</v>
      </c>
      <c r="AJ25" s="57">
        <f t="shared" si="7"/>
        <v>266</v>
      </c>
      <c r="AK25" s="73" t="s">
        <v>207</v>
      </c>
    </row>
    <row r="26" ht="14.25" customHeight="1">
      <c r="A26" s="34">
        <v>17.0</v>
      </c>
      <c r="B26" s="35" t="s">
        <v>86</v>
      </c>
      <c r="C26" s="65">
        <v>1.0</v>
      </c>
      <c r="D26" s="37" t="s">
        <v>63</v>
      </c>
      <c r="E26" s="27" t="s">
        <v>193</v>
      </c>
      <c r="F26" s="28" t="s">
        <v>241</v>
      </c>
      <c r="G26" s="216">
        <v>17.0</v>
      </c>
      <c r="H26" s="216"/>
      <c r="I26" s="217">
        <v>17.0</v>
      </c>
      <c r="J26" s="219"/>
      <c r="K26" s="219">
        <v>24.0</v>
      </c>
      <c r="L26" s="218"/>
      <c r="M26" s="218">
        <v>17.0</v>
      </c>
      <c r="N26" s="216"/>
      <c r="O26" s="216">
        <v>17.0</v>
      </c>
      <c r="P26" s="217"/>
      <c r="Q26" s="219">
        <v>24.0</v>
      </c>
      <c r="R26" s="219"/>
      <c r="S26" s="218">
        <v>17.0</v>
      </c>
      <c r="T26" s="218"/>
      <c r="U26" s="216">
        <v>17.0</v>
      </c>
      <c r="V26" s="216"/>
      <c r="W26" s="217">
        <v>17.0</v>
      </c>
      <c r="X26" s="219"/>
      <c r="Y26" s="219">
        <v>24.0</v>
      </c>
      <c r="Z26" s="218"/>
      <c r="AA26" s="218">
        <v>17.0</v>
      </c>
      <c r="AB26" s="216"/>
      <c r="AC26" s="216">
        <v>17.0</v>
      </c>
      <c r="AD26" s="217"/>
      <c r="AE26" s="219">
        <v>24.0</v>
      </c>
      <c r="AF26" s="219"/>
      <c r="AG26" s="218">
        <v>17.0</v>
      </c>
      <c r="AH26" s="218"/>
      <c r="AI26" s="211">
        <f t="shared" si="6"/>
        <v>14</v>
      </c>
      <c r="AJ26" s="57">
        <f t="shared" si="7"/>
        <v>266</v>
      </c>
      <c r="AK26" s="73" t="s">
        <v>207</v>
      </c>
    </row>
    <row r="27" ht="14.25" customHeight="1">
      <c r="A27" s="34">
        <v>18.0</v>
      </c>
      <c r="B27" s="35" t="s">
        <v>95</v>
      </c>
      <c r="C27" s="65">
        <v>1.0</v>
      </c>
      <c r="D27" s="90" t="s">
        <v>97</v>
      </c>
      <c r="E27" s="27" t="s">
        <v>102</v>
      </c>
      <c r="F27" s="66" t="s">
        <v>85</v>
      </c>
      <c r="G27" s="24"/>
      <c r="H27" s="24"/>
      <c r="I27" s="24"/>
      <c r="J27" s="24">
        <v>17.0</v>
      </c>
      <c r="K27" s="24">
        <v>17.0</v>
      </c>
      <c r="L27" s="110">
        <v>17.0</v>
      </c>
      <c r="M27" s="110">
        <v>17.0</v>
      </c>
      <c r="N27" s="24">
        <v>17.0</v>
      </c>
      <c r="O27" s="24"/>
      <c r="P27" s="24">
        <v>24.0</v>
      </c>
      <c r="Q27" s="24"/>
      <c r="R27" s="24"/>
      <c r="S27" s="110">
        <v>24.0</v>
      </c>
      <c r="T27" s="110"/>
      <c r="U27" s="24"/>
      <c r="V27" s="24">
        <v>24.0</v>
      </c>
      <c r="W27" s="24"/>
      <c r="X27" s="24"/>
      <c r="Y27" s="24">
        <v>24.0</v>
      </c>
      <c r="Z27" s="110"/>
      <c r="AA27" s="110"/>
      <c r="AB27" s="24"/>
      <c r="AC27" s="24"/>
      <c r="AD27" s="24">
        <v>24.0</v>
      </c>
      <c r="AE27" s="24"/>
      <c r="AF27" s="24"/>
      <c r="AG27" s="110">
        <v>24.0</v>
      </c>
      <c r="AH27" s="110"/>
      <c r="AI27" s="211">
        <f t="shared" si="6"/>
        <v>11</v>
      </c>
      <c r="AJ27" s="57">
        <f t="shared" si="7"/>
        <v>229</v>
      </c>
      <c r="AK27" s="73" t="s">
        <v>207</v>
      </c>
    </row>
    <row r="28" ht="14.25" customHeight="1">
      <c r="A28" s="34">
        <v>19.0</v>
      </c>
      <c r="B28" s="35" t="s">
        <v>95</v>
      </c>
      <c r="C28" s="65">
        <v>1.0</v>
      </c>
      <c r="D28" s="130" t="s">
        <v>63</v>
      </c>
      <c r="E28" s="27" t="s">
        <v>102</v>
      </c>
      <c r="F28" s="88"/>
      <c r="G28" s="24"/>
      <c r="H28" s="24"/>
      <c r="I28" s="24">
        <v>24.0</v>
      </c>
      <c r="J28" s="24"/>
      <c r="K28" s="24"/>
      <c r="L28" s="110">
        <v>24.0</v>
      </c>
      <c r="M28" s="110"/>
      <c r="N28" s="24"/>
      <c r="O28" s="24">
        <v>24.0</v>
      </c>
      <c r="P28" s="24"/>
      <c r="Q28" s="24"/>
      <c r="R28" s="24">
        <v>24.0</v>
      </c>
      <c r="S28" s="110"/>
      <c r="T28" s="110"/>
      <c r="U28" s="24">
        <v>24.0</v>
      </c>
      <c r="V28" s="24"/>
      <c r="W28" s="24"/>
      <c r="X28" s="24">
        <v>24.0</v>
      </c>
      <c r="Y28" s="24"/>
      <c r="Z28" s="110"/>
      <c r="AA28" s="110">
        <v>24.0</v>
      </c>
      <c r="AB28" s="24"/>
      <c r="AC28" s="24"/>
      <c r="AD28" s="24"/>
      <c r="AE28" s="24">
        <v>17.0</v>
      </c>
      <c r="AF28" s="24">
        <v>17.0</v>
      </c>
      <c r="AG28" s="110">
        <v>17.0</v>
      </c>
      <c r="AH28" s="110">
        <v>17.0</v>
      </c>
      <c r="AI28" s="211">
        <f t="shared" si="6"/>
        <v>11</v>
      </c>
      <c r="AJ28" s="57">
        <f t="shared" si="7"/>
        <v>236</v>
      </c>
      <c r="AK28" s="73" t="s">
        <v>207</v>
      </c>
    </row>
    <row r="29" ht="14.25" customHeight="1">
      <c r="A29" s="34">
        <v>20.0</v>
      </c>
      <c r="B29" s="97" t="s">
        <v>95</v>
      </c>
      <c r="C29" s="65">
        <v>1.0</v>
      </c>
      <c r="D29" s="130" t="s">
        <v>63</v>
      </c>
      <c r="E29" s="27" t="s">
        <v>102</v>
      </c>
      <c r="F29" s="88"/>
      <c r="G29" s="24">
        <v>24.0</v>
      </c>
      <c r="H29" s="24"/>
      <c r="I29" s="24"/>
      <c r="J29" s="24">
        <v>24.0</v>
      </c>
      <c r="K29" s="24"/>
      <c r="L29" s="110"/>
      <c r="M29" s="110">
        <v>24.0</v>
      </c>
      <c r="N29" s="24"/>
      <c r="O29" s="24"/>
      <c r="P29" s="24"/>
      <c r="Q29" s="24">
        <v>17.0</v>
      </c>
      <c r="R29" s="24">
        <v>17.0</v>
      </c>
      <c r="S29" s="110">
        <v>17.0</v>
      </c>
      <c r="T29" s="110">
        <v>17.0</v>
      </c>
      <c r="U29" s="24">
        <v>17.0</v>
      </c>
      <c r="V29" s="24"/>
      <c r="W29" s="24">
        <v>24.0</v>
      </c>
      <c r="X29" s="24"/>
      <c r="Y29" s="24"/>
      <c r="Z29" s="110">
        <v>24.0</v>
      </c>
      <c r="AA29" s="110"/>
      <c r="AB29" s="24"/>
      <c r="AC29" s="24"/>
      <c r="AD29" s="24"/>
      <c r="AE29" s="24">
        <v>24.0</v>
      </c>
      <c r="AF29" s="24"/>
      <c r="AG29" s="110"/>
      <c r="AH29" s="110">
        <v>24.0</v>
      </c>
      <c r="AI29" s="211">
        <f t="shared" si="6"/>
        <v>12</v>
      </c>
      <c r="AJ29" s="57">
        <f t="shared" si="7"/>
        <v>253</v>
      </c>
      <c r="AK29" s="73" t="s">
        <v>207</v>
      </c>
    </row>
    <row r="30" ht="14.25" customHeight="1">
      <c r="A30" s="34">
        <v>21.0</v>
      </c>
      <c r="B30" s="35" t="s">
        <v>95</v>
      </c>
      <c r="C30" s="65">
        <v>1.0</v>
      </c>
      <c r="D30" s="130" t="s">
        <v>63</v>
      </c>
      <c r="E30" s="27" t="s">
        <v>102</v>
      </c>
      <c r="F30" s="17"/>
      <c r="G30" s="24"/>
      <c r="H30" s="24">
        <v>24.0</v>
      </c>
      <c r="I30" s="24"/>
      <c r="J30" s="24"/>
      <c r="K30" s="24">
        <v>24.0</v>
      </c>
      <c r="L30" s="110"/>
      <c r="M30" s="110"/>
      <c r="N30" s="24">
        <v>24.0</v>
      </c>
      <c r="O30" s="24"/>
      <c r="P30" s="24"/>
      <c r="Q30" s="24">
        <v>24.0</v>
      </c>
      <c r="R30" s="24"/>
      <c r="S30" s="110"/>
      <c r="T30" s="110">
        <v>24.0</v>
      </c>
      <c r="U30" s="24"/>
      <c r="V30" s="24"/>
      <c r="W30" s="24"/>
      <c r="X30" s="24">
        <v>17.0</v>
      </c>
      <c r="Y30" s="24">
        <v>17.0</v>
      </c>
      <c r="Z30" s="110">
        <v>17.0</v>
      </c>
      <c r="AA30" s="110">
        <v>17.0</v>
      </c>
      <c r="AB30" s="24">
        <v>17.0</v>
      </c>
      <c r="AC30" s="24"/>
      <c r="AD30" s="24"/>
      <c r="AE30" s="24"/>
      <c r="AF30" s="24">
        <v>24.0</v>
      </c>
      <c r="AG30" s="110"/>
      <c r="AH30" s="110"/>
      <c r="AI30" s="211">
        <f t="shared" si="6"/>
        <v>11</v>
      </c>
      <c r="AJ30" s="57">
        <f t="shared" si="7"/>
        <v>229</v>
      </c>
      <c r="AK30" s="73" t="s">
        <v>207</v>
      </c>
    </row>
    <row r="31" ht="14.25" customHeight="1">
      <c r="A31" s="34">
        <v>22.0</v>
      </c>
      <c r="B31" s="64" t="s">
        <v>184</v>
      </c>
      <c r="C31" s="101">
        <v>1.0</v>
      </c>
      <c r="D31" s="102" t="s">
        <v>63</v>
      </c>
      <c r="E31" s="101" t="s">
        <v>105</v>
      </c>
      <c r="F31" s="103">
        <v>0.4</v>
      </c>
      <c r="G31" s="106"/>
      <c r="H31" s="106"/>
      <c r="I31" s="106"/>
      <c r="J31" s="106"/>
      <c r="K31" s="106">
        <v>17.0</v>
      </c>
      <c r="L31" s="107">
        <v>17.0</v>
      </c>
      <c r="M31" s="107">
        <v>17.0</v>
      </c>
      <c r="N31" s="106"/>
      <c r="O31" s="106"/>
      <c r="P31" s="106"/>
      <c r="Q31" s="106">
        <v>17.0</v>
      </c>
      <c r="R31" s="106">
        <v>17.0</v>
      </c>
      <c r="S31" s="107">
        <v>17.0</v>
      </c>
      <c r="T31" s="107"/>
      <c r="U31" s="106"/>
      <c r="V31" s="106"/>
      <c r="W31" s="106"/>
      <c r="X31" s="106"/>
      <c r="Y31" s="106">
        <v>17.0</v>
      </c>
      <c r="Z31" s="107">
        <v>17.0</v>
      </c>
      <c r="AA31" s="107">
        <v>17.0</v>
      </c>
      <c r="AB31" s="106"/>
      <c r="AC31" s="106"/>
      <c r="AD31" s="106"/>
      <c r="AE31" s="106">
        <v>17.0</v>
      </c>
      <c r="AF31" s="106">
        <v>17.0</v>
      </c>
      <c r="AG31" s="107">
        <v>17.0</v>
      </c>
      <c r="AH31" s="107">
        <v>17.0</v>
      </c>
      <c r="AI31" s="211">
        <f t="shared" si="6"/>
        <v>13</v>
      </c>
      <c r="AJ31" s="57">
        <f t="shared" si="7"/>
        <v>221</v>
      </c>
      <c r="AK31" s="73" t="s">
        <v>207</v>
      </c>
    </row>
    <row r="32" ht="14.25" customHeight="1">
      <c r="A32" s="34">
        <v>23.0</v>
      </c>
      <c r="B32" s="137" t="s">
        <v>184</v>
      </c>
      <c r="C32" s="129">
        <v>1.0</v>
      </c>
      <c r="D32" s="102" t="s">
        <v>63</v>
      </c>
      <c r="E32" s="121" t="s">
        <v>105</v>
      </c>
      <c r="F32" s="103">
        <v>0.4</v>
      </c>
      <c r="G32" s="106"/>
      <c r="H32" s="106"/>
      <c r="I32" s="106"/>
      <c r="J32" s="106"/>
      <c r="K32" s="106"/>
      <c r="L32" s="107">
        <v>17.0</v>
      </c>
      <c r="M32" s="107">
        <v>17.0</v>
      </c>
      <c r="N32" s="106">
        <v>17.0</v>
      </c>
      <c r="O32" s="106"/>
      <c r="P32" s="106"/>
      <c r="Q32" s="106"/>
      <c r="R32" s="106">
        <v>17.0</v>
      </c>
      <c r="S32" s="107">
        <v>17.0</v>
      </c>
      <c r="T32" s="107">
        <v>17.0</v>
      </c>
      <c r="U32" s="106"/>
      <c r="V32" s="106"/>
      <c r="W32" s="106"/>
      <c r="X32" s="106">
        <v>17.0</v>
      </c>
      <c r="Y32" s="106">
        <v>17.0</v>
      </c>
      <c r="Z32" s="107">
        <v>17.0</v>
      </c>
      <c r="AA32" s="107"/>
      <c r="AB32" s="106"/>
      <c r="AC32" s="106"/>
      <c r="AD32" s="106"/>
      <c r="AE32" s="106"/>
      <c r="AF32" s="106">
        <v>17.0</v>
      </c>
      <c r="AG32" s="107">
        <v>17.0</v>
      </c>
      <c r="AH32" s="107">
        <v>17.0</v>
      </c>
      <c r="AI32" s="211">
        <f t="shared" si="6"/>
        <v>12</v>
      </c>
      <c r="AJ32" s="57">
        <f t="shared" si="7"/>
        <v>204</v>
      </c>
      <c r="AK32" s="73" t="s">
        <v>207</v>
      </c>
    </row>
    <row r="33" ht="17.25" customHeight="1">
      <c r="A33" s="34">
        <v>24.0</v>
      </c>
      <c r="B33" s="36" t="s">
        <v>109</v>
      </c>
      <c r="C33" s="65">
        <v>1.0</v>
      </c>
      <c r="D33" s="400" t="s">
        <v>63</v>
      </c>
      <c r="E33" s="27" t="s">
        <v>111</v>
      </c>
      <c r="F33" s="118" t="s">
        <v>26</v>
      </c>
      <c r="G33" s="24">
        <v>12.0</v>
      </c>
      <c r="H33" s="24">
        <v>12.0</v>
      </c>
      <c r="I33" s="24"/>
      <c r="J33" s="24">
        <v>12.0</v>
      </c>
      <c r="K33" s="24">
        <v>12.0</v>
      </c>
      <c r="L33" s="110">
        <v>12.0</v>
      </c>
      <c r="M33" s="110">
        <v>12.0</v>
      </c>
      <c r="N33" s="24">
        <v>12.0</v>
      </c>
      <c r="O33" s="24">
        <v>12.0</v>
      </c>
      <c r="P33" s="24"/>
      <c r="Q33" s="24">
        <v>12.0</v>
      </c>
      <c r="R33" s="24">
        <v>12.0</v>
      </c>
      <c r="S33" s="110">
        <v>12.0</v>
      </c>
      <c r="T33" s="110">
        <v>12.0</v>
      </c>
      <c r="U33" s="24">
        <v>12.0</v>
      </c>
      <c r="V33" s="24">
        <v>12.0</v>
      </c>
      <c r="W33" s="24"/>
      <c r="X33" s="24">
        <v>12.0</v>
      </c>
      <c r="Y33" s="24">
        <v>12.0</v>
      </c>
      <c r="Z33" s="110">
        <v>12.0</v>
      </c>
      <c r="AA33" s="110">
        <v>12.0</v>
      </c>
      <c r="AB33" s="24"/>
      <c r="AC33" s="24"/>
      <c r="AD33" s="24">
        <v>12.0</v>
      </c>
      <c r="AE33" s="24">
        <v>12.0</v>
      </c>
      <c r="AF33" s="24"/>
      <c r="AG33" s="110">
        <v>12.0</v>
      </c>
      <c r="AH33" s="110">
        <v>12.0</v>
      </c>
      <c r="AI33" s="211">
        <f t="shared" si="6"/>
        <v>22</v>
      </c>
      <c r="AJ33" s="57">
        <f t="shared" si="7"/>
        <v>264</v>
      </c>
      <c r="AK33" s="73" t="s">
        <v>207</v>
      </c>
    </row>
    <row r="34" ht="17.25" customHeight="1">
      <c r="A34" s="34">
        <v>25.0</v>
      </c>
      <c r="B34" s="35" t="s">
        <v>135</v>
      </c>
      <c r="C34" s="65">
        <v>1.0</v>
      </c>
      <c r="D34" s="90" t="s">
        <v>228</v>
      </c>
      <c r="E34" s="27" t="s">
        <v>111</v>
      </c>
      <c r="F34" s="118" t="s">
        <v>26</v>
      </c>
      <c r="G34" s="24">
        <v>12.0</v>
      </c>
      <c r="H34" s="24"/>
      <c r="I34" s="24">
        <v>12.0</v>
      </c>
      <c r="J34" s="24">
        <v>12.0</v>
      </c>
      <c r="K34" s="24">
        <v>12.0</v>
      </c>
      <c r="L34" s="110">
        <v>12.0</v>
      </c>
      <c r="M34" s="110">
        <v>12.0</v>
      </c>
      <c r="N34" s="24">
        <v>12.0</v>
      </c>
      <c r="O34" s="24"/>
      <c r="P34" s="24">
        <v>12.0</v>
      </c>
      <c r="Q34" s="24">
        <v>12.0</v>
      </c>
      <c r="R34" s="24">
        <v>12.0</v>
      </c>
      <c r="S34" s="110">
        <v>12.0</v>
      </c>
      <c r="T34" s="110">
        <v>12.0</v>
      </c>
      <c r="U34" s="24">
        <v>12.0</v>
      </c>
      <c r="V34" s="24"/>
      <c r="W34" s="24">
        <v>12.0</v>
      </c>
      <c r="X34" s="24">
        <v>12.0</v>
      </c>
      <c r="Y34" s="24">
        <v>12.0</v>
      </c>
      <c r="Z34" s="110">
        <v>12.0</v>
      </c>
      <c r="AA34" s="110">
        <v>12.0</v>
      </c>
      <c r="AB34" s="24"/>
      <c r="AC34" s="24"/>
      <c r="AD34" s="24">
        <v>12.0</v>
      </c>
      <c r="AE34" s="24">
        <v>12.0</v>
      </c>
      <c r="AF34" s="24"/>
      <c r="AG34" s="110">
        <v>12.0</v>
      </c>
      <c r="AH34" s="110">
        <v>12.0</v>
      </c>
      <c r="AI34" s="211">
        <f t="shared" si="6"/>
        <v>22</v>
      </c>
      <c r="AJ34" s="57">
        <f t="shared" si="7"/>
        <v>264</v>
      </c>
      <c r="AK34" s="73" t="s">
        <v>207</v>
      </c>
    </row>
    <row r="35" ht="20.25" customHeight="1">
      <c r="A35" s="34">
        <v>26.0</v>
      </c>
      <c r="B35" s="35" t="s">
        <v>135</v>
      </c>
      <c r="C35" s="65">
        <v>1.0</v>
      </c>
      <c r="D35" s="90" t="s">
        <v>187</v>
      </c>
      <c r="E35" s="27" t="s">
        <v>73</v>
      </c>
      <c r="F35" s="123" t="s">
        <v>26</v>
      </c>
      <c r="G35" s="24">
        <v>12.0</v>
      </c>
      <c r="H35" s="24">
        <v>12.0</v>
      </c>
      <c r="I35" s="24">
        <v>12.0</v>
      </c>
      <c r="J35" s="24"/>
      <c r="K35" s="24">
        <v>12.0</v>
      </c>
      <c r="L35" s="110">
        <v>12.0</v>
      </c>
      <c r="M35" s="110">
        <v>12.0</v>
      </c>
      <c r="N35" s="24">
        <v>12.0</v>
      </c>
      <c r="O35" s="24">
        <v>12.0</v>
      </c>
      <c r="P35" s="24">
        <v>12.0</v>
      </c>
      <c r="Q35" s="24"/>
      <c r="R35" s="24">
        <v>12.0</v>
      </c>
      <c r="S35" s="110">
        <v>12.0</v>
      </c>
      <c r="T35" s="110">
        <v>12.0</v>
      </c>
      <c r="U35" s="24">
        <v>12.0</v>
      </c>
      <c r="V35" s="24">
        <v>12.0</v>
      </c>
      <c r="W35" s="24">
        <v>12.0</v>
      </c>
      <c r="X35" s="24"/>
      <c r="Y35" s="24">
        <v>12.0</v>
      </c>
      <c r="Z35" s="110">
        <v>12.0</v>
      </c>
      <c r="AA35" s="110">
        <v>12.0</v>
      </c>
      <c r="AB35" s="24">
        <v>12.0</v>
      </c>
      <c r="AC35" s="24">
        <v>12.0</v>
      </c>
      <c r="AD35" s="24">
        <v>12.0</v>
      </c>
      <c r="AE35" s="24"/>
      <c r="AF35" s="24">
        <v>12.0</v>
      </c>
      <c r="AG35" s="110">
        <v>12.0</v>
      </c>
      <c r="AH35" s="110">
        <v>12.0</v>
      </c>
      <c r="AI35" s="211">
        <f t="shared" si="6"/>
        <v>24</v>
      </c>
      <c r="AJ35" s="57">
        <f t="shared" si="7"/>
        <v>288</v>
      </c>
      <c r="AK35" s="89" t="s">
        <v>207</v>
      </c>
    </row>
    <row r="36" ht="23.25" customHeight="1">
      <c r="A36" s="124">
        <v>27.0</v>
      </c>
      <c r="B36" s="128" t="s">
        <v>142</v>
      </c>
      <c r="C36" s="129">
        <v>1.0</v>
      </c>
      <c r="D36" s="130" t="s">
        <v>63</v>
      </c>
      <c r="E36" s="129" t="s">
        <v>125</v>
      </c>
      <c r="F36" s="250"/>
      <c r="G36" s="24"/>
      <c r="H36" s="24">
        <v>12.0</v>
      </c>
      <c r="I36" s="24">
        <v>12.0</v>
      </c>
      <c r="J36" s="24"/>
      <c r="K36" s="24"/>
      <c r="L36" s="110"/>
      <c r="M36" s="110"/>
      <c r="N36" s="24"/>
      <c r="O36" s="24">
        <v>12.0</v>
      </c>
      <c r="P36" s="24">
        <v>12.0</v>
      </c>
      <c r="Q36" s="24"/>
      <c r="R36" s="24"/>
      <c r="S36" s="110"/>
      <c r="T36" s="110"/>
      <c r="U36" s="24"/>
      <c r="V36" s="24">
        <v>12.0</v>
      </c>
      <c r="W36" s="24">
        <v>12.0</v>
      </c>
      <c r="X36" s="24"/>
      <c r="Y36" s="24"/>
      <c r="Z36" s="110"/>
      <c r="AA36" s="110"/>
      <c r="AB36" s="24"/>
      <c r="AC36" s="24"/>
      <c r="AD36" s="24"/>
      <c r="AE36" s="24">
        <v>12.0</v>
      </c>
      <c r="AF36" s="24">
        <v>12.0</v>
      </c>
      <c r="AG36" s="110"/>
      <c r="AH36" s="110"/>
      <c r="AI36" s="211">
        <f t="shared" si="6"/>
        <v>8</v>
      </c>
      <c r="AJ36" s="57">
        <f t="shared" si="7"/>
        <v>96</v>
      </c>
      <c r="AK36" s="73" t="s">
        <v>207</v>
      </c>
    </row>
    <row r="37" ht="19.5" customHeight="1">
      <c r="A37" s="17"/>
      <c r="B37" s="17"/>
      <c r="C37" s="17"/>
      <c r="D37" s="17"/>
      <c r="E37" s="121" t="s">
        <v>127</v>
      </c>
      <c r="F37" s="17"/>
      <c r="G37" s="24"/>
      <c r="H37" s="24"/>
      <c r="I37" s="24"/>
      <c r="J37" s="24"/>
      <c r="K37" s="24">
        <v>12.0</v>
      </c>
      <c r="L37" s="110">
        <v>12.0</v>
      </c>
      <c r="M37" s="110">
        <v>12.0</v>
      </c>
      <c r="N37" s="24"/>
      <c r="O37" s="24"/>
      <c r="P37" s="24"/>
      <c r="Q37" s="24"/>
      <c r="R37" s="24">
        <v>12.0</v>
      </c>
      <c r="S37" s="110">
        <v>12.0</v>
      </c>
      <c r="T37" s="110">
        <v>12.0</v>
      </c>
      <c r="U37" s="24"/>
      <c r="V37" s="24"/>
      <c r="W37" s="24"/>
      <c r="X37" s="24"/>
      <c r="Y37" s="24">
        <v>12.0</v>
      </c>
      <c r="Z37" s="110">
        <v>12.0</v>
      </c>
      <c r="AA37" s="110"/>
      <c r="AB37" s="24"/>
      <c r="AC37" s="24"/>
      <c r="AD37" s="24"/>
      <c r="AE37" s="24"/>
      <c r="AF37" s="24"/>
      <c r="AG37" s="110">
        <v>12.0</v>
      </c>
      <c r="AH37" s="110">
        <v>12.0</v>
      </c>
      <c r="AI37" s="211">
        <f t="shared" si="6"/>
        <v>10</v>
      </c>
      <c r="AJ37" s="57">
        <f t="shared" si="7"/>
        <v>120</v>
      </c>
      <c r="AK37" s="73" t="s">
        <v>207</v>
      </c>
    </row>
    <row r="38" ht="19.5" customHeight="1">
      <c r="A38" s="34">
        <v>28.0</v>
      </c>
      <c r="B38" s="120" t="s">
        <v>213</v>
      </c>
      <c r="C38" s="204">
        <v>1.0</v>
      </c>
      <c r="D38" s="252" t="s">
        <v>63</v>
      </c>
      <c r="E38" s="121"/>
      <c r="F38" s="205"/>
      <c r="G38" s="24"/>
      <c r="H38" s="24"/>
      <c r="I38" s="24"/>
      <c r="J38" s="24"/>
      <c r="K38" s="24"/>
      <c r="L38" s="110"/>
      <c r="M38" s="110"/>
      <c r="N38" s="24"/>
      <c r="O38" s="24"/>
      <c r="P38" s="24"/>
      <c r="Q38" s="24"/>
      <c r="R38" s="24"/>
      <c r="S38" s="110"/>
      <c r="T38" s="110"/>
      <c r="U38" s="24"/>
      <c r="V38" s="24"/>
      <c r="W38" s="24"/>
      <c r="X38" s="24"/>
      <c r="Y38" s="24"/>
      <c r="Z38" s="110"/>
      <c r="AA38" s="110"/>
      <c r="AB38" s="24"/>
      <c r="AC38" s="24"/>
      <c r="AD38" s="24"/>
      <c r="AE38" s="24"/>
      <c r="AF38" s="24"/>
      <c r="AG38" s="110"/>
      <c r="AH38" s="110"/>
      <c r="AI38" s="211"/>
      <c r="AJ38" s="57"/>
    </row>
    <row r="39" ht="18.75" customHeight="1">
      <c r="A39" s="34">
        <v>29.0</v>
      </c>
      <c r="B39" s="35" t="s">
        <v>144</v>
      </c>
      <c r="C39" s="27">
        <v>1.0</v>
      </c>
      <c r="D39" s="117" t="s">
        <v>260</v>
      </c>
      <c r="E39" s="27" t="s">
        <v>133</v>
      </c>
      <c r="F39" s="123" t="s">
        <v>26</v>
      </c>
      <c r="G39" s="24"/>
      <c r="H39" s="24">
        <v>12.0</v>
      </c>
      <c r="I39" s="24">
        <v>12.0</v>
      </c>
      <c r="J39" s="24">
        <v>12.0</v>
      </c>
      <c r="K39" s="24">
        <v>12.0</v>
      </c>
      <c r="L39" s="110">
        <v>12.0</v>
      </c>
      <c r="M39" s="110">
        <v>12.0</v>
      </c>
      <c r="N39" s="24"/>
      <c r="O39" s="24">
        <v>12.0</v>
      </c>
      <c r="P39" s="24">
        <v>12.0</v>
      </c>
      <c r="Q39" s="24">
        <v>12.0</v>
      </c>
      <c r="R39" s="24">
        <v>12.0</v>
      </c>
      <c r="S39" s="110">
        <v>12.0</v>
      </c>
      <c r="T39" s="110">
        <v>12.0</v>
      </c>
      <c r="U39" s="24"/>
      <c r="V39" s="24">
        <v>12.0</v>
      </c>
      <c r="W39" s="24">
        <v>12.0</v>
      </c>
      <c r="X39" s="24">
        <v>12.0</v>
      </c>
      <c r="Y39" s="24">
        <v>12.0</v>
      </c>
      <c r="Z39" s="110">
        <v>12.0</v>
      </c>
      <c r="AA39" s="110">
        <v>12.0</v>
      </c>
      <c r="AB39" s="24"/>
      <c r="AC39" s="24">
        <v>12.0</v>
      </c>
      <c r="AD39" s="24">
        <v>12.0</v>
      </c>
      <c r="AE39" s="24">
        <v>12.0</v>
      </c>
      <c r="AF39" s="24">
        <v>12.0</v>
      </c>
      <c r="AG39" s="110">
        <v>12.0</v>
      </c>
      <c r="AH39" s="110">
        <v>12.0</v>
      </c>
      <c r="AI39" s="211">
        <f t="shared" ref="AI39:AI40" si="8">COUNTA(G39:AH39)</f>
        <v>24</v>
      </c>
      <c r="AJ39" s="57">
        <f t="shared" ref="AJ39:AJ40" si="9">SUM(G39:AH39)</f>
        <v>288</v>
      </c>
      <c r="AK39" s="73" t="s">
        <v>207</v>
      </c>
    </row>
    <row r="40" ht="19.5" customHeight="1">
      <c r="A40" s="34">
        <v>29.0</v>
      </c>
      <c r="B40" s="35" t="s">
        <v>136</v>
      </c>
      <c r="C40" s="27">
        <v>1.0</v>
      </c>
      <c r="D40" s="117" t="s">
        <v>145</v>
      </c>
      <c r="E40" s="26" t="s">
        <v>138</v>
      </c>
      <c r="F40" s="28" t="s">
        <v>26</v>
      </c>
      <c r="G40" s="24">
        <v>11.0</v>
      </c>
      <c r="H40" s="24">
        <v>11.0</v>
      </c>
      <c r="I40" s="24">
        <v>11.0</v>
      </c>
      <c r="J40" s="24"/>
      <c r="K40" s="24">
        <v>11.0</v>
      </c>
      <c r="L40" s="110">
        <v>11.0</v>
      </c>
      <c r="M40" s="110">
        <v>11.0</v>
      </c>
      <c r="N40" s="24">
        <v>11.0</v>
      </c>
      <c r="O40" s="24">
        <v>11.0</v>
      </c>
      <c r="P40" s="24">
        <v>11.0</v>
      </c>
      <c r="Q40" s="24"/>
      <c r="R40" s="24">
        <v>11.0</v>
      </c>
      <c r="S40" s="110">
        <v>11.0</v>
      </c>
      <c r="T40" s="110">
        <v>11.0</v>
      </c>
      <c r="U40" s="24">
        <v>11.0</v>
      </c>
      <c r="V40" s="24">
        <v>11.0</v>
      </c>
      <c r="W40" s="24">
        <v>11.0</v>
      </c>
      <c r="X40" s="24"/>
      <c r="Y40" s="24">
        <v>11.0</v>
      </c>
      <c r="Z40" s="110">
        <v>11.0</v>
      </c>
      <c r="AA40" s="110">
        <v>11.0</v>
      </c>
      <c r="AB40" s="24">
        <v>11.0</v>
      </c>
      <c r="AC40" s="24">
        <v>11.0</v>
      </c>
      <c r="AD40" s="24">
        <v>11.0</v>
      </c>
      <c r="AE40" s="24"/>
      <c r="AF40" s="24">
        <v>11.0</v>
      </c>
      <c r="AG40" s="110">
        <v>11.0</v>
      </c>
      <c r="AH40" s="110">
        <v>11.0</v>
      </c>
      <c r="AI40" s="211">
        <f t="shared" si="8"/>
        <v>24</v>
      </c>
      <c r="AJ40" s="57">
        <f t="shared" si="9"/>
        <v>264</v>
      </c>
      <c r="AK40" s="73" t="s">
        <v>207</v>
      </c>
    </row>
    <row r="41" ht="14.25" customHeight="1">
      <c r="A41" s="21"/>
      <c r="B41" s="20" t="s">
        <v>140</v>
      </c>
      <c r="C41" s="21"/>
      <c r="D41" s="20" t="s">
        <v>140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"/>
      <c r="AJ41" s="45"/>
    </row>
    <row r="42" ht="14.25" customHeight="1">
      <c r="A42" s="34">
        <v>30.0</v>
      </c>
      <c r="B42" s="35" t="s">
        <v>140</v>
      </c>
      <c r="C42" s="27">
        <v>1.0</v>
      </c>
      <c r="D42" s="117" t="s">
        <v>261</v>
      </c>
      <c r="E42" s="139" t="s">
        <v>51</v>
      </c>
      <c r="F42" s="28" t="s">
        <v>85</v>
      </c>
      <c r="G42" s="24"/>
      <c r="H42" s="24">
        <v>24.0</v>
      </c>
      <c r="I42" s="24"/>
      <c r="J42" s="24"/>
      <c r="K42" s="24">
        <v>24.0</v>
      </c>
      <c r="L42" s="110"/>
      <c r="M42" s="110"/>
      <c r="N42" s="24">
        <v>24.0</v>
      </c>
      <c r="O42" s="24"/>
      <c r="P42" s="24"/>
      <c r="Q42" s="24">
        <v>24.0</v>
      </c>
      <c r="R42" s="24"/>
      <c r="S42" s="110"/>
      <c r="T42" s="110">
        <v>24.0</v>
      </c>
      <c r="U42" s="24"/>
      <c r="V42" s="24"/>
      <c r="W42" s="24">
        <v>24.0</v>
      </c>
      <c r="X42" s="24"/>
      <c r="Y42" s="24"/>
      <c r="Z42" s="110">
        <v>24.0</v>
      </c>
      <c r="AA42" s="110"/>
      <c r="AB42" s="24"/>
      <c r="AC42" s="24">
        <v>24.0</v>
      </c>
      <c r="AD42" s="24"/>
      <c r="AE42" s="24"/>
      <c r="AF42" s="24">
        <v>24.0</v>
      </c>
      <c r="AG42" s="110"/>
      <c r="AH42" s="110"/>
      <c r="AI42" s="211">
        <f t="shared" ref="AI42:AI44" si="10">COUNTA(G42:AH42)</f>
        <v>9</v>
      </c>
      <c r="AJ42" s="57">
        <v>240.0</v>
      </c>
    </row>
    <row r="43" ht="14.25" customHeight="1">
      <c r="A43" s="24">
        <v>31.0</v>
      </c>
      <c r="B43" s="35" t="s">
        <v>140</v>
      </c>
      <c r="C43" s="27">
        <v>1.0</v>
      </c>
      <c r="D43" s="117" t="s">
        <v>145</v>
      </c>
      <c r="E43" s="139" t="s">
        <v>51</v>
      </c>
      <c r="F43" s="28" t="s">
        <v>85</v>
      </c>
      <c r="G43" s="24">
        <v>24.0</v>
      </c>
      <c r="H43" s="24"/>
      <c r="I43" s="24"/>
      <c r="J43" s="24">
        <v>24.0</v>
      </c>
      <c r="K43" s="24"/>
      <c r="L43" s="110"/>
      <c r="M43" s="110">
        <v>24.0</v>
      </c>
      <c r="N43" s="24"/>
      <c r="O43" s="24"/>
      <c r="P43" s="24">
        <v>24.0</v>
      </c>
      <c r="Q43" s="24"/>
      <c r="R43" s="24"/>
      <c r="S43" s="110">
        <v>24.0</v>
      </c>
      <c r="T43" s="110"/>
      <c r="U43" s="24"/>
      <c r="V43" s="24">
        <v>24.0</v>
      </c>
      <c r="W43" s="24"/>
      <c r="X43" s="24"/>
      <c r="Y43" s="24">
        <v>24.0</v>
      </c>
      <c r="Z43" s="110"/>
      <c r="AA43" s="110"/>
      <c r="AB43" s="24">
        <v>24.0</v>
      </c>
      <c r="AC43" s="24"/>
      <c r="AD43" s="24"/>
      <c r="AE43" s="24">
        <v>24.0</v>
      </c>
      <c r="AF43" s="24"/>
      <c r="AG43" s="110"/>
      <c r="AH43" s="110">
        <v>24.0</v>
      </c>
      <c r="AI43" s="211">
        <f t="shared" si="10"/>
        <v>10</v>
      </c>
      <c r="AJ43" s="57">
        <v>240.0</v>
      </c>
    </row>
    <row r="44" ht="14.25" customHeight="1">
      <c r="A44" s="24">
        <v>32.0</v>
      </c>
      <c r="B44" s="35" t="s">
        <v>140</v>
      </c>
      <c r="C44" s="27">
        <v>1.0</v>
      </c>
      <c r="D44" s="117" t="s">
        <v>150</v>
      </c>
      <c r="E44" s="139" t="s">
        <v>51</v>
      </c>
      <c r="F44" s="28" t="s">
        <v>85</v>
      </c>
      <c r="G44" s="24"/>
      <c r="H44" s="24"/>
      <c r="I44" s="24">
        <v>24.0</v>
      </c>
      <c r="J44" s="24"/>
      <c r="K44" s="24"/>
      <c r="L44" s="110">
        <v>24.0</v>
      </c>
      <c r="M44" s="110"/>
      <c r="N44" s="24"/>
      <c r="O44" s="24">
        <v>24.0</v>
      </c>
      <c r="P44" s="24"/>
      <c r="Q44" s="24"/>
      <c r="R44" s="24">
        <v>24.0</v>
      </c>
      <c r="S44" s="110"/>
      <c r="T44" s="110"/>
      <c r="U44" s="24">
        <v>24.0</v>
      </c>
      <c r="V44" s="24"/>
      <c r="W44" s="24"/>
      <c r="X44" s="24">
        <v>24.0</v>
      </c>
      <c r="Y44" s="24"/>
      <c r="Z44" s="110"/>
      <c r="AA44" s="110">
        <v>24.0</v>
      </c>
      <c r="AB44" s="24"/>
      <c r="AC44" s="24"/>
      <c r="AD44" s="24">
        <v>24.0</v>
      </c>
      <c r="AE44" s="24"/>
      <c r="AF44" s="24"/>
      <c r="AG44" s="110">
        <v>24.0</v>
      </c>
      <c r="AH44" s="110"/>
      <c r="AI44" s="211">
        <f t="shared" si="10"/>
        <v>9</v>
      </c>
      <c r="AJ44" s="57">
        <v>264.0</v>
      </c>
    </row>
    <row r="45" ht="14.25" customHeight="1">
      <c r="A45" s="142"/>
      <c r="B45" s="143" t="s">
        <v>151</v>
      </c>
      <c r="C45" s="144">
        <v>33.0</v>
      </c>
      <c r="D45" s="143" t="s">
        <v>152</v>
      </c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21"/>
      <c r="AJ45" s="45"/>
    </row>
    <row r="46" ht="14.25" customHeight="1">
      <c r="A46" s="142"/>
      <c r="B46" s="146" t="s">
        <v>154</v>
      </c>
      <c r="C46" s="147"/>
      <c r="D46" s="147"/>
      <c r="E46" s="147"/>
      <c r="F46" s="148"/>
      <c r="G46" s="144" t="s">
        <v>155</v>
      </c>
      <c r="H46" s="144" t="s">
        <v>155</v>
      </c>
      <c r="I46" s="144" t="s">
        <v>155</v>
      </c>
      <c r="J46" s="144" t="s">
        <v>155</v>
      </c>
      <c r="K46" s="144" t="s">
        <v>155</v>
      </c>
      <c r="L46" s="144" t="s">
        <v>155</v>
      </c>
      <c r="M46" s="144" t="s">
        <v>155</v>
      </c>
      <c r="N46" s="144" t="s">
        <v>155</v>
      </c>
      <c r="O46" s="144" t="s">
        <v>155</v>
      </c>
      <c r="P46" s="144" t="s">
        <v>155</v>
      </c>
      <c r="Q46" s="144" t="s">
        <v>155</v>
      </c>
      <c r="R46" s="144" t="s">
        <v>155</v>
      </c>
      <c r="S46" s="144" t="s">
        <v>155</v>
      </c>
      <c r="T46" s="144" t="s">
        <v>155</v>
      </c>
      <c r="U46" s="144" t="s">
        <v>155</v>
      </c>
      <c r="V46" s="144" t="s">
        <v>155</v>
      </c>
      <c r="W46" s="144" t="s">
        <v>155</v>
      </c>
      <c r="X46" s="144" t="s">
        <v>155</v>
      </c>
      <c r="Y46" s="144" t="s">
        <v>155</v>
      </c>
      <c r="Z46" s="144" t="s">
        <v>155</v>
      </c>
      <c r="AA46" s="144" t="s">
        <v>155</v>
      </c>
      <c r="AB46" s="144"/>
      <c r="AC46" s="144"/>
      <c r="AD46" s="144" t="s">
        <v>155</v>
      </c>
      <c r="AE46" s="144" t="s">
        <v>155</v>
      </c>
      <c r="AF46" s="144" t="s">
        <v>155</v>
      </c>
      <c r="AG46" s="144" t="s">
        <v>155</v>
      </c>
      <c r="AH46" s="144"/>
      <c r="AI46" s="21"/>
      <c r="AJ46" s="45"/>
    </row>
    <row r="47" ht="14.25" customHeight="1">
      <c r="A47" s="142"/>
      <c r="B47" s="146" t="s">
        <v>156</v>
      </c>
      <c r="C47" s="147"/>
      <c r="D47" s="147"/>
      <c r="E47" s="147"/>
      <c r="F47" s="148"/>
      <c r="G47" s="144">
        <f t="shared" ref="G47:AA47" si="11">COUNTA(#REF!,#REF!,#REF!,#REF!,#REF!)</f>
        <v>5</v>
      </c>
      <c r="H47" s="144">
        <f t="shared" si="11"/>
        <v>5</v>
      </c>
      <c r="I47" s="144">
        <f t="shared" si="11"/>
        <v>5</v>
      </c>
      <c r="J47" s="144">
        <f t="shared" si="11"/>
        <v>5</v>
      </c>
      <c r="K47" s="144">
        <f t="shared" si="11"/>
        <v>5</v>
      </c>
      <c r="L47" s="144">
        <f t="shared" si="11"/>
        <v>5</v>
      </c>
      <c r="M47" s="144">
        <f t="shared" si="11"/>
        <v>5</v>
      </c>
      <c r="N47" s="144">
        <f t="shared" si="11"/>
        <v>5</v>
      </c>
      <c r="O47" s="144">
        <f t="shared" si="11"/>
        <v>5</v>
      </c>
      <c r="P47" s="144">
        <f t="shared" si="11"/>
        <v>5</v>
      </c>
      <c r="Q47" s="144">
        <f t="shared" si="11"/>
        <v>5</v>
      </c>
      <c r="R47" s="144">
        <f t="shared" si="11"/>
        <v>5</v>
      </c>
      <c r="S47" s="144">
        <f t="shared" si="11"/>
        <v>5</v>
      </c>
      <c r="T47" s="144">
        <f t="shared" si="11"/>
        <v>5</v>
      </c>
      <c r="U47" s="144">
        <f t="shared" si="11"/>
        <v>5</v>
      </c>
      <c r="V47" s="144">
        <f t="shared" si="11"/>
        <v>5</v>
      </c>
      <c r="W47" s="144">
        <f t="shared" si="11"/>
        <v>5</v>
      </c>
      <c r="X47" s="144">
        <f t="shared" si="11"/>
        <v>5</v>
      </c>
      <c r="Y47" s="144">
        <f t="shared" si="11"/>
        <v>5</v>
      </c>
      <c r="Z47" s="144">
        <f t="shared" si="11"/>
        <v>5</v>
      </c>
      <c r="AA47" s="144">
        <f t="shared" si="11"/>
        <v>5</v>
      </c>
      <c r="AB47" s="144"/>
      <c r="AC47" s="144"/>
      <c r="AD47" s="144">
        <f t="shared" ref="AD47:AG47" si="12">COUNTA(#REF!,#REF!,#REF!,#REF!,#REF!)</f>
        <v>5</v>
      </c>
      <c r="AE47" s="144">
        <f t="shared" si="12"/>
        <v>5</v>
      </c>
      <c r="AF47" s="144">
        <f t="shared" si="12"/>
        <v>5</v>
      </c>
      <c r="AG47" s="144">
        <f t="shared" si="12"/>
        <v>5</v>
      </c>
      <c r="AH47" s="144"/>
      <c r="AI47" s="21"/>
      <c r="AJ47" s="45"/>
    </row>
    <row r="48" ht="14.25" customHeight="1">
      <c r="A48" s="142"/>
      <c r="B48" s="146" t="s">
        <v>157</v>
      </c>
      <c r="C48" s="147"/>
      <c r="D48" s="147"/>
      <c r="E48" s="147"/>
      <c r="F48" s="148"/>
      <c r="G48" s="269">
        <f t="shared" ref="G48:AA48" si="13">COUNTA(#REF!,#REF!)</f>
        <v>2</v>
      </c>
      <c r="H48" s="269">
        <f t="shared" si="13"/>
        <v>2</v>
      </c>
      <c r="I48" s="269">
        <f t="shared" si="13"/>
        <v>2</v>
      </c>
      <c r="J48" s="269">
        <f t="shared" si="13"/>
        <v>2</v>
      </c>
      <c r="K48" s="269">
        <f t="shared" si="13"/>
        <v>2</v>
      </c>
      <c r="L48" s="269">
        <f t="shared" si="13"/>
        <v>2</v>
      </c>
      <c r="M48" s="269">
        <f t="shared" si="13"/>
        <v>2</v>
      </c>
      <c r="N48" s="269">
        <f t="shared" si="13"/>
        <v>2</v>
      </c>
      <c r="O48" s="269">
        <f t="shared" si="13"/>
        <v>2</v>
      </c>
      <c r="P48" s="269">
        <f t="shared" si="13"/>
        <v>2</v>
      </c>
      <c r="Q48" s="269">
        <f t="shared" si="13"/>
        <v>2</v>
      </c>
      <c r="R48" s="269">
        <f t="shared" si="13"/>
        <v>2</v>
      </c>
      <c r="S48" s="269">
        <f t="shared" si="13"/>
        <v>2</v>
      </c>
      <c r="T48" s="269">
        <f t="shared" si="13"/>
        <v>2</v>
      </c>
      <c r="U48" s="269">
        <f t="shared" si="13"/>
        <v>2</v>
      </c>
      <c r="V48" s="269">
        <f t="shared" si="13"/>
        <v>2</v>
      </c>
      <c r="W48" s="269">
        <f t="shared" si="13"/>
        <v>2</v>
      </c>
      <c r="X48" s="269">
        <f t="shared" si="13"/>
        <v>2</v>
      </c>
      <c r="Y48" s="269">
        <f t="shared" si="13"/>
        <v>2</v>
      </c>
      <c r="Z48" s="269">
        <f t="shared" si="13"/>
        <v>2</v>
      </c>
      <c r="AA48" s="269">
        <f t="shared" si="13"/>
        <v>2</v>
      </c>
      <c r="AB48" s="269"/>
      <c r="AC48" s="269"/>
      <c r="AD48" s="269">
        <f t="shared" ref="AD48:AG48" si="14">COUNTA(#REF!,#REF!)</f>
        <v>2</v>
      </c>
      <c r="AE48" s="269">
        <f t="shared" si="14"/>
        <v>2</v>
      </c>
      <c r="AF48" s="269">
        <f t="shared" si="14"/>
        <v>2</v>
      </c>
      <c r="AG48" s="269">
        <f t="shared" si="14"/>
        <v>2</v>
      </c>
      <c r="AH48" s="269"/>
      <c r="AI48" s="21"/>
      <c r="AJ48" s="45"/>
    </row>
    <row r="49" ht="14.25" customHeight="1">
      <c r="A49" s="2"/>
      <c r="B49" s="3"/>
      <c r="C49" s="2"/>
      <c r="D49" s="2"/>
      <c r="E49" s="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280"/>
      <c r="AJ49" s="11"/>
    </row>
    <row r="50" ht="14.25" customHeight="1">
      <c r="A50" s="152"/>
      <c r="B50" s="153"/>
      <c r="C50" s="154"/>
      <c r="D50" s="155" t="s">
        <v>159</v>
      </c>
      <c r="E50" s="155"/>
      <c r="F50" s="156"/>
      <c r="G50" s="213">
        <f t="shared" ref="G50:AA50" si="15">COUNTA(G10,G11:G15,#REF!,G24:G25,G41,G23:G39,G29)</f>
        <v>14</v>
      </c>
      <c r="H50" s="213">
        <f t="shared" si="15"/>
        <v>15</v>
      </c>
      <c r="I50" s="213">
        <f t="shared" si="15"/>
        <v>13</v>
      </c>
      <c r="J50" s="213">
        <f t="shared" si="15"/>
        <v>13</v>
      </c>
      <c r="K50" s="213">
        <f t="shared" si="15"/>
        <v>15</v>
      </c>
      <c r="L50" s="213">
        <f t="shared" si="15"/>
        <v>15</v>
      </c>
      <c r="M50" s="213">
        <f t="shared" si="15"/>
        <v>15</v>
      </c>
      <c r="N50" s="213">
        <f t="shared" si="15"/>
        <v>16</v>
      </c>
      <c r="O50" s="213">
        <f t="shared" si="15"/>
        <v>14</v>
      </c>
      <c r="P50" s="213">
        <f t="shared" si="15"/>
        <v>14</v>
      </c>
      <c r="Q50" s="213">
        <f t="shared" si="15"/>
        <v>13</v>
      </c>
      <c r="R50" s="213">
        <f t="shared" si="15"/>
        <v>18</v>
      </c>
      <c r="S50" s="213">
        <f t="shared" si="15"/>
        <v>15</v>
      </c>
      <c r="T50" s="213">
        <f t="shared" si="15"/>
        <v>15</v>
      </c>
      <c r="U50" s="213">
        <f t="shared" si="15"/>
        <v>15</v>
      </c>
      <c r="V50" s="213">
        <f t="shared" si="15"/>
        <v>15</v>
      </c>
      <c r="W50" s="213">
        <f t="shared" si="15"/>
        <v>14</v>
      </c>
      <c r="X50" s="213">
        <f t="shared" si="15"/>
        <v>13</v>
      </c>
      <c r="Y50" s="213">
        <f t="shared" si="15"/>
        <v>16</v>
      </c>
      <c r="Z50" s="213">
        <f t="shared" si="15"/>
        <v>16</v>
      </c>
      <c r="AA50" s="213">
        <f t="shared" si="15"/>
        <v>12</v>
      </c>
      <c r="AB50" s="213"/>
      <c r="AC50" s="213"/>
      <c r="AD50" s="213">
        <f t="shared" ref="AD50:AH50" si="16">COUNTA(AD10,AD11:AD15,#REF!,AD24:AD25,AD41,AD23:AD39,AD29)</f>
        <v>14</v>
      </c>
      <c r="AE50" s="213">
        <f t="shared" si="16"/>
        <v>14</v>
      </c>
      <c r="AF50" s="213">
        <f t="shared" si="16"/>
        <v>15</v>
      </c>
      <c r="AG50" s="213">
        <f t="shared" si="16"/>
        <v>18</v>
      </c>
      <c r="AH50" s="213">
        <f t="shared" si="16"/>
        <v>20</v>
      </c>
      <c r="AI50" s="287">
        <f t="shared" ref="AI50:AI53" si="19">SUM(G50:AG50)</f>
        <v>367</v>
      </c>
      <c r="AJ50" s="158">
        <v>250.0</v>
      </c>
    </row>
    <row r="51" ht="14.25" customHeight="1">
      <c r="A51" s="159"/>
      <c r="B51" s="160"/>
      <c r="C51" s="161"/>
      <c r="D51" s="162" t="s">
        <v>160</v>
      </c>
      <c r="E51" s="162"/>
      <c r="F51" s="163"/>
      <c r="G51" s="289">
        <f t="shared" ref="G51:AA51" si="17">COUNTA(G10,#REF!,#REF!,G15,G23:G39,G24:G41)</f>
        <v>16</v>
      </c>
      <c r="H51" s="289">
        <f t="shared" si="17"/>
        <v>18</v>
      </c>
      <c r="I51" s="289">
        <f t="shared" si="17"/>
        <v>18</v>
      </c>
      <c r="J51" s="289">
        <f t="shared" si="17"/>
        <v>15</v>
      </c>
      <c r="K51" s="289">
        <f t="shared" si="17"/>
        <v>22</v>
      </c>
      <c r="L51" s="289">
        <f t="shared" si="17"/>
        <v>25</v>
      </c>
      <c r="M51" s="289">
        <f t="shared" si="17"/>
        <v>25</v>
      </c>
      <c r="N51" s="289">
        <f t="shared" si="17"/>
        <v>20</v>
      </c>
      <c r="O51" s="289">
        <f t="shared" si="17"/>
        <v>18</v>
      </c>
      <c r="P51" s="289">
        <f t="shared" si="17"/>
        <v>18</v>
      </c>
      <c r="Q51" s="289">
        <f t="shared" si="17"/>
        <v>17</v>
      </c>
      <c r="R51" s="289">
        <f t="shared" si="17"/>
        <v>24</v>
      </c>
      <c r="S51" s="289">
        <f t="shared" si="17"/>
        <v>25</v>
      </c>
      <c r="T51" s="289">
        <f t="shared" si="17"/>
        <v>23</v>
      </c>
      <c r="U51" s="289">
        <f t="shared" si="17"/>
        <v>18</v>
      </c>
      <c r="V51" s="289">
        <f t="shared" si="17"/>
        <v>18</v>
      </c>
      <c r="W51" s="289">
        <f t="shared" si="17"/>
        <v>18</v>
      </c>
      <c r="X51" s="289">
        <f t="shared" si="17"/>
        <v>17</v>
      </c>
      <c r="Y51" s="289">
        <f t="shared" si="17"/>
        <v>24</v>
      </c>
      <c r="Z51" s="289">
        <f t="shared" si="17"/>
        <v>25</v>
      </c>
      <c r="AA51" s="289">
        <f t="shared" si="17"/>
        <v>21</v>
      </c>
      <c r="AB51" s="289"/>
      <c r="AC51" s="289"/>
      <c r="AD51" s="289">
        <f t="shared" ref="AD51:AH51" si="18">COUNTA(AD10,#REF!,#REF!,AD15,AD23:AD39,AD24:AD41)</f>
        <v>18</v>
      </c>
      <c r="AE51" s="289">
        <f t="shared" si="18"/>
        <v>19</v>
      </c>
      <c r="AF51" s="289">
        <f t="shared" si="18"/>
        <v>20</v>
      </c>
      <c r="AG51" s="289">
        <f t="shared" si="18"/>
        <v>26</v>
      </c>
      <c r="AH51" s="289">
        <f t="shared" si="18"/>
        <v>26</v>
      </c>
      <c r="AI51" s="294">
        <f t="shared" si="19"/>
        <v>508</v>
      </c>
      <c r="AJ51" s="158"/>
    </row>
    <row r="52" ht="14.25" customHeight="1">
      <c r="A52" s="166"/>
      <c r="B52" s="167"/>
      <c r="C52" s="168"/>
      <c r="D52" s="169" t="s">
        <v>161</v>
      </c>
      <c r="E52" s="169"/>
      <c r="F52" s="170"/>
      <c r="G52" s="295">
        <f t="shared" ref="G52:AA52" si="20">COUNTA(G23:G39,G29,G41:G42)</f>
        <v>7</v>
      </c>
      <c r="H52" s="295">
        <f t="shared" si="20"/>
        <v>8</v>
      </c>
      <c r="I52" s="295">
        <f t="shared" si="20"/>
        <v>7</v>
      </c>
      <c r="J52" s="295">
        <f t="shared" si="20"/>
        <v>7</v>
      </c>
      <c r="K52" s="295">
        <f t="shared" si="20"/>
        <v>10</v>
      </c>
      <c r="L52" s="295">
        <f t="shared" si="20"/>
        <v>11</v>
      </c>
      <c r="M52" s="295">
        <f t="shared" si="20"/>
        <v>12</v>
      </c>
      <c r="N52" s="295">
        <f t="shared" si="20"/>
        <v>9</v>
      </c>
      <c r="O52" s="295">
        <f t="shared" si="20"/>
        <v>7</v>
      </c>
      <c r="P52" s="295">
        <f t="shared" si="20"/>
        <v>7</v>
      </c>
      <c r="Q52" s="295">
        <f t="shared" si="20"/>
        <v>9</v>
      </c>
      <c r="R52" s="295">
        <f t="shared" si="20"/>
        <v>11</v>
      </c>
      <c r="S52" s="295">
        <f t="shared" si="20"/>
        <v>12</v>
      </c>
      <c r="T52" s="295">
        <f t="shared" si="20"/>
        <v>12</v>
      </c>
      <c r="U52" s="295">
        <f t="shared" si="20"/>
        <v>8</v>
      </c>
      <c r="V52" s="295">
        <f t="shared" si="20"/>
        <v>7</v>
      </c>
      <c r="W52" s="295">
        <f t="shared" si="20"/>
        <v>9</v>
      </c>
      <c r="X52" s="295">
        <f t="shared" si="20"/>
        <v>7</v>
      </c>
      <c r="Y52" s="295">
        <f t="shared" si="20"/>
        <v>10</v>
      </c>
      <c r="Z52" s="295">
        <f t="shared" si="20"/>
        <v>13</v>
      </c>
      <c r="AA52" s="295">
        <f t="shared" si="20"/>
        <v>9</v>
      </c>
      <c r="AB52" s="295"/>
      <c r="AC52" s="295"/>
      <c r="AD52" s="295">
        <f t="shared" ref="AD52:AH52" si="21">COUNTA(AD23:AD39,AD29,AD41:AD42)</f>
        <v>7</v>
      </c>
      <c r="AE52" s="295">
        <f t="shared" si="21"/>
        <v>9</v>
      </c>
      <c r="AF52" s="295">
        <f t="shared" si="21"/>
        <v>9</v>
      </c>
      <c r="AG52" s="295">
        <f t="shared" si="21"/>
        <v>11</v>
      </c>
      <c r="AH52" s="295">
        <f t="shared" si="21"/>
        <v>12</v>
      </c>
      <c r="AI52" s="301">
        <f t="shared" si="19"/>
        <v>228</v>
      </c>
      <c r="AJ52" s="173">
        <f>AJ50*AI54</f>
        <v>297250</v>
      </c>
    </row>
    <row r="53" ht="14.25" customHeight="1">
      <c r="A53" s="174"/>
      <c r="B53" s="175"/>
      <c r="C53" s="176"/>
      <c r="D53" s="177" t="s">
        <v>162</v>
      </c>
      <c r="E53" s="177"/>
      <c r="F53" s="178"/>
      <c r="G53" s="302">
        <f t="shared" ref="G53:AA53" si="22">COUNTA(#REF!,#REF!,G29,#REF!)</f>
        <v>4</v>
      </c>
      <c r="H53" s="302">
        <f t="shared" si="22"/>
        <v>3</v>
      </c>
      <c r="I53" s="302">
        <f t="shared" si="22"/>
        <v>3</v>
      </c>
      <c r="J53" s="302">
        <f t="shared" si="22"/>
        <v>4</v>
      </c>
      <c r="K53" s="302">
        <f t="shared" si="22"/>
        <v>3</v>
      </c>
      <c r="L53" s="302">
        <f t="shared" si="22"/>
        <v>3</v>
      </c>
      <c r="M53" s="302">
        <f t="shared" si="22"/>
        <v>4</v>
      </c>
      <c r="N53" s="302">
        <f t="shared" si="22"/>
        <v>3</v>
      </c>
      <c r="O53" s="302">
        <f t="shared" si="22"/>
        <v>3</v>
      </c>
      <c r="P53" s="302">
        <f t="shared" si="22"/>
        <v>3</v>
      </c>
      <c r="Q53" s="302">
        <f t="shared" si="22"/>
        <v>4</v>
      </c>
      <c r="R53" s="302">
        <f t="shared" si="22"/>
        <v>4</v>
      </c>
      <c r="S53" s="302">
        <f t="shared" si="22"/>
        <v>4</v>
      </c>
      <c r="T53" s="302">
        <f t="shared" si="22"/>
        <v>4</v>
      </c>
      <c r="U53" s="302">
        <f t="shared" si="22"/>
        <v>4</v>
      </c>
      <c r="V53" s="302">
        <f t="shared" si="22"/>
        <v>3</v>
      </c>
      <c r="W53" s="302">
        <f t="shared" si="22"/>
        <v>4</v>
      </c>
      <c r="X53" s="302">
        <f t="shared" si="22"/>
        <v>3</v>
      </c>
      <c r="Y53" s="302">
        <f t="shared" si="22"/>
        <v>3</v>
      </c>
      <c r="Z53" s="302">
        <f t="shared" si="22"/>
        <v>4</v>
      </c>
      <c r="AA53" s="302">
        <f t="shared" si="22"/>
        <v>3</v>
      </c>
      <c r="AB53" s="302"/>
      <c r="AC53" s="302"/>
      <c r="AD53" s="302">
        <f t="shared" ref="AD53:AH53" si="23">COUNTA(#REF!,#REF!,AD29,#REF!)</f>
        <v>3</v>
      </c>
      <c r="AE53" s="302">
        <f t="shared" si="23"/>
        <v>4</v>
      </c>
      <c r="AF53" s="302">
        <f t="shared" si="23"/>
        <v>3</v>
      </c>
      <c r="AG53" s="302">
        <f t="shared" si="23"/>
        <v>3</v>
      </c>
      <c r="AH53" s="302">
        <f t="shared" si="23"/>
        <v>4</v>
      </c>
      <c r="AI53" s="302">
        <f t="shared" si="19"/>
        <v>86</v>
      </c>
      <c r="AJ53" s="180"/>
    </row>
    <row r="54" ht="14.25" customHeight="1">
      <c r="A54" s="146" t="s">
        <v>163</v>
      </c>
      <c r="B54" s="147"/>
      <c r="C54" s="147"/>
      <c r="D54" s="147"/>
      <c r="E54" s="147"/>
      <c r="F54" s="148"/>
      <c r="G54" s="144">
        <f t="shared" ref="G54:AA54" si="24">SUM(G50:G53)</f>
        <v>41</v>
      </c>
      <c r="H54" s="144">
        <f t="shared" si="24"/>
        <v>44</v>
      </c>
      <c r="I54" s="144">
        <f t="shared" si="24"/>
        <v>41</v>
      </c>
      <c r="J54" s="144">
        <f t="shared" si="24"/>
        <v>39</v>
      </c>
      <c r="K54" s="144">
        <f t="shared" si="24"/>
        <v>50</v>
      </c>
      <c r="L54" s="144">
        <f t="shared" si="24"/>
        <v>54</v>
      </c>
      <c r="M54" s="144">
        <f t="shared" si="24"/>
        <v>56</v>
      </c>
      <c r="N54" s="144">
        <f t="shared" si="24"/>
        <v>48</v>
      </c>
      <c r="O54" s="144">
        <f t="shared" si="24"/>
        <v>42</v>
      </c>
      <c r="P54" s="144">
        <f t="shared" si="24"/>
        <v>42</v>
      </c>
      <c r="Q54" s="144">
        <f t="shared" si="24"/>
        <v>43</v>
      </c>
      <c r="R54" s="144">
        <f t="shared" si="24"/>
        <v>57</v>
      </c>
      <c r="S54" s="144">
        <f t="shared" si="24"/>
        <v>56</v>
      </c>
      <c r="T54" s="144">
        <f t="shared" si="24"/>
        <v>54</v>
      </c>
      <c r="U54" s="144">
        <f t="shared" si="24"/>
        <v>45</v>
      </c>
      <c r="V54" s="144">
        <f t="shared" si="24"/>
        <v>43</v>
      </c>
      <c r="W54" s="144">
        <f t="shared" si="24"/>
        <v>45</v>
      </c>
      <c r="X54" s="144">
        <f t="shared" si="24"/>
        <v>40</v>
      </c>
      <c r="Y54" s="144">
        <f t="shared" si="24"/>
        <v>53</v>
      </c>
      <c r="Z54" s="144">
        <f t="shared" si="24"/>
        <v>58</v>
      </c>
      <c r="AA54" s="144">
        <f t="shared" si="24"/>
        <v>45</v>
      </c>
      <c r="AB54" s="144"/>
      <c r="AC54" s="144"/>
      <c r="AD54" s="144">
        <f t="shared" ref="AD54:AI54" si="25">SUM(AD50:AD53)</f>
        <v>42</v>
      </c>
      <c r="AE54" s="144">
        <f t="shared" si="25"/>
        <v>46</v>
      </c>
      <c r="AF54" s="144">
        <f t="shared" si="25"/>
        <v>47</v>
      </c>
      <c r="AG54" s="144">
        <f t="shared" si="25"/>
        <v>58</v>
      </c>
      <c r="AH54" s="144">
        <f t="shared" si="25"/>
        <v>62</v>
      </c>
      <c r="AI54" s="144">
        <f t="shared" si="25"/>
        <v>1189</v>
      </c>
      <c r="AJ54" s="181"/>
    </row>
    <row r="55" ht="14.25" customHeight="1">
      <c r="A55" s="2"/>
      <c r="B55" s="182" t="s">
        <v>164</v>
      </c>
      <c r="C55" s="182"/>
      <c r="D55" s="182"/>
      <c r="E55" s="182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4"/>
      <c r="R55" s="4"/>
      <c r="S55" s="4"/>
      <c r="T55" s="4"/>
      <c r="U55" s="5"/>
      <c r="V55" s="5"/>
      <c r="W55" s="5"/>
      <c r="X55" s="4"/>
      <c r="Y55" s="4"/>
      <c r="Z55" s="4"/>
      <c r="AA55" s="4"/>
      <c r="AB55" s="4"/>
      <c r="AC55" s="4"/>
      <c r="AD55" s="5"/>
      <c r="AE55" s="5"/>
      <c r="AF55" s="5"/>
      <c r="AG55" s="5"/>
      <c r="AH55" s="5"/>
      <c r="AI55" s="2"/>
      <c r="AJ55" s="183"/>
    </row>
    <row r="56" ht="14.25" customHeight="1">
      <c r="A56" s="2"/>
      <c r="B56" s="182" t="s">
        <v>165</v>
      </c>
      <c r="C56" s="2"/>
      <c r="D56" s="2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11"/>
      <c r="AJ56" s="2"/>
    </row>
    <row r="57" ht="14.25" customHeight="1">
      <c r="A57" s="2"/>
      <c r="B57" s="182" t="s">
        <v>166</v>
      </c>
      <c r="C57" s="184"/>
      <c r="D57" s="184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11"/>
      <c r="AJ57" s="2"/>
    </row>
    <row r="58" ht="14.25" customHeight="1">
      <c r="A58" s="2"/>
      <c r="B58" s="182"/>
      <c r="C58" s="184"/>
      <c r="D58" s="184"/>
      <c r="E58" s="4" t="s">
        <v>167</v>
      </c>
      <c r="G58" s="5"/>
      <c r="H58" s="5"/>
      <c r="I58" s="5"/>
      <c r="J58" s="5"/>
      <c r="K58" s="5" t="s">
        <v>168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11"/>
      <c r="AJ58" s="2"/>
    </row>
    <row r="59" ht="14.25" customHeight="1">
      <c r="A59" s="2"/>
      <c r="B59" s="3"/>
      <c r="C59" s="2"/>
      <c r="D59" s="2"/>
      <c r="E59" s="2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11"/>
      <c r="AJ59" s="11"/>
    </row>
    <row r="60" ht="14.25" customHeight="1">
      <c r="A60" s="2"/>
      <c r="B60" s="3"/>
      <c r="C60" s="2"/>
      <c r="D60" s="2"/>
      <c r="E60" s="4" t="s">
        <v>169</v>
      </c>
      <c r="G60" s="5"/>
      <c r="H60" s="5"/>
      <c r="I60" s="5"/>
      <c r="J60" s="5"/>
      <c r="K60" s="5"/>
      <c r="L60" s="5"/>
      <c r="M60" s="5"/>
      <c r="N60" s="5" t="s">
        <v>170</v>
      </c>
      <c r="O60" s="5"/>
      <c r="P60" s="5"/>
      <c r="Q60" s="5" t="s">
        <v>171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11"/>
      <c r="AJ60" s="11"/>
    </row>
    <row r="61" ht="14.25" customHeight="1">
      <c r="A61" s="2"/>
      <c r="B61" s="3"/>
      <c r="C61" s="2"/>
      <c r="D61" s="2"/>
      <c r="E61" s="2"/>
      <c r="F61" s="185"/>
      <c r="G61" s="5"/>
      <c r="H61" s="5"/>
      <c r="I61" s="5"/>
      <c r="J61" s="5"/>
      <c r="K61" s="5"/>
      <c r="L61" s="5"/>
      <c r="M61" s="5"/>
      <c r="N61" s="5"/>
      <c r="O61" s="5"/>
      <c r="P61" s="5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11"/>
      <c r="AJ61" s="11"/>
    </row>
    <row r="62" ht="30.75" customHeight="1">
      <c r="A62" s="2"/>
      <c r="B62" s="3"/>
      <c r="C62" s="2"/>
      <c r="D62" s="2"/>
      <c r="E62" s="185" t="s">
        <v>172</v>
      </c>
      <c r="G62" s="5"/>
      <c r="H62" s="5"/>
      <c r="I62" s="5"/>
      <c r="J62" s="5"/>
      <c r="K62" s="5"/>
      <c r="L62" s="5"/>
      <c r="M62" s="5"/>
      <c r="N62" s="5" t="s">
        <v>170</v>
      </c>
      <c r="O62" s="5"/>
      <c r="P62" s="5"/>
      <c r="Q62" s="5" t="s">
        <v>171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11"/>
      <c r="AJ62" s="11"/>
    </row>
    <row r="63" ht="14.25" customHeight="1">
      <c r="A63" s="11"/>
      <c r="B63" s="3"/>
      <c r="C63" s="2"/>
      <c r="D63" s="186"/>
      <c r="E63" s="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11"/>
      <c r="AJ63" s="11"/>
    </row>
    <row r="64" ht="14.25" customHeight="1">
      <c r="F64" s="187"/>
    </row>
    <row r="65" ht="14.25" customHeight="1">
      <c r="F65" s="187"/>
    </row>
    <row r="66" ht="14.25" customHeight="1">
      <c r="F66" s="187"/>
    </row>
    <row r="67" ht="14.25" customHeight="1">
      <c r="F67" s="187"/>
    </row>
    <row r="68" ht="15.7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I6:AI7"/>
    <mergeCell ref="AJ6:AJ7"/>
    <mergeCell ref="B46:F46"/>
    <mergeCell ref="B47:F47"/>
    <mergeCell ref="B48:F48"/>
    <mergeCell ref="A54:F54"/>
    <mergeCell ref="E58:F58"/>
    <mergeCell ref="K58:R58"/>
    <mergeCell ref="E60:F60"/>
    <mergeCell ref="E62:F62"/>
    <mergeCell ref="F6:F7"/>
    <mergeCell ref="F27:F30"/>
    <mergeCell ref="A36:A37"/>
    <mergeCell ref="B36:B37"/>
    <mergeCell ref="C36:C37"/>
    <mergeCell ref="D36:D37"/>
    <mergeCell ref="F36:F3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0.29"/>
    <col customWidth="1" min="3" max="3" width="9.86"/>
    <col customWidth="1" min="4" max="4" width="30.43"/>
    <col customWidth="1" min="5" max="5" width="37.29"/>
    <col customWidth="1" min="6" max="6" width="9.71"/>
    <col customWidth="1" min="7" max="7" width="6.57"/>
    <col customWidth="1" min="8" max="8" width="6.71"/>
    <col customWidth="1" min="9" max="9" width="6.29"/>
    <col customWidth="1" min="10" max="10" width="6.14"/>
    <col customWidth="1" min="11" max="11" width="5.29"/>
    <col customWidth="1" min="12" max="12" width="6.57"/>
    <col customWidth="1" min="13" max="14" width="5.86"/>
    <col customWidth="1" min="15" max="15" width="6.43"/>
    <col customWidth="1" min="16" max="16" width="6.86"/>
    <col customWidth="1" min="17" max="17" width="6.71"/>
    <col customWidth="1" min="18" max="18" width="5.86"/>
    <col customWidth="1" min="19" max="19" width="6.14"/>
    <col customWidth="1" min="20" max="23" width="5.86"/>
    <col customWidth="1" min="24" max="24" width="6.43"/>
    <col customWidth="1" min="25" max="25" width="5.0"/>
    <col customWidth="1" min="26" max="26" width="5.86"/>
    <col customWidth="1" min="27" max="27" width="5.0"/>
    <col customWidth="1" min="28" max="28" width="5.86"/>
    <col customWidth="1" min="29" max="29" width="6.57"/>
    <col customWidth="1" min="30" max="30" width="6.71"/>
    <col customWidth="1" min="31" max="33" width="5.86"/>
    <col customWidth="1" min="34" max="34" width="6.57"/>
    <col customWidth="1" min="35" max="35" width="6.29"/>
    <col customWidth="1" min="36" max="36" width="6.0"/>
    <col customWidth="1" min="37" max="37" width="7.71"/>
    <col customWidth="1" min="38" max="38" width="9.0"/>
    <col customWidth="1" min="39" max="39" width="17.43"/>
    <col customWidth="1" min="40" max="40" width="17.57"/>
  </cols>
  <sheetData>
    <row r="1" ht="14.25" customHeight="1">
      <c r="A1" s="364"/>
      <c r="B1" s="365"/>
      <c r="C1" s="364"/>
      <c r="D1" s="364"/>
      <c r="E1" s="364"/>
      <c r="F1" s="366"/>
      <c r="G1" s="367"/>
      <c r="H1" s="367"/>
      <c r="I1" s="367"/>
      <c r="J1" s="367"/>
      <c r="K1" s="367"/>
      <c r="L1" s="367"/>
      <c r="M1" s="367"/>
      <c r="N1" s="367"/>
      <c r="O1" s="367"/>
      <c r="P1" s="369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  <c r="AM1" s="371" t="s">
        <v>0</v>
      </c>
      <c r="AN1" s="372"/>
    </row>
    <row r="2" ht="14.25" customHeight="1">
      <c r="A2" s="364"/>
      <c r="B2" s="365"/>
      <c r="C2" s="364"/>
      <c r="D2" s="364"/>
      <c r="E2" s="364"/>
      <c r="F2" s="366"/>
      <c r="G2" s="367"/>
      <c r="H2" s="367"/>
      <c r="I2" s="367"/>
      <c r="J2" s="367"/>
      <c r="K2" s="367"/>
      <c r="L2" s="367"/>
      <c r="M2" s="367"/>
      <c r="N2" s="367"/>
      <c r="O2" s="367"/>
      <c r="P2" s="369"/>
      <c r="Q2" s="367"/>
      <c r="R2" s="367"/>
      <c r="S2" s="367"/>
      <c r="T2" s="367"/>
      <c r="U2" s="367"/>
      <c r="V2" s="367"/>
      <c r="W2" s="367"/>
      <c r="X2" s="367"/>
      <c r="Y2" s="367"/>
      <c r="Z2" s="367"/>
      <c r="AA2" s="367"/>
      <c r="AB2" s="367"/>
      <c r="AC2" s="367"/>
      <c r="AD2" s="367"/>
      <c r="AE2" s="367"/>
      <c r="AF2" s="367"/>
      <c r="AG2" s="367"/>
      <c r="AH2" s="367"/>
      <c r="AI2" s="367"/>
      <c r="AJ2" s="367"/>
      <c r="AK2" s="367"/>
      <c r="AL2" s="367"/>
      <c r="AM2" s="371" t="s">
        <v>1</v>
      </c>
      <c r="AN2" s="372"/>
    </row>
    <row r="3" ht="14.25" customHeight="1">
      <c r="A3" s="364"/>
      <c r="B3" s="365"/>
      <c r="C3" s="364"/>
      <c r="D3" s="364"/>
      <c r="E3" s="364"/>
      <c r="F3" s="366"/>
      <c r="G3" s="367"/>
      <c r="H3" s="367"/>
      <c r="I3" s="367"/>
      <c r="J3" s="367"/>
      <c r="K3" s="367"/>
      <c r="L3" s="367"/>
      <c r="M3" s="367"/>
      <c r="N3" s="367"/>
      <c r="O3" s="367"/>
      <c r="P3" s="369"/>
      <c r="Q3" s="367"/>
      <c r="R3" s="367"/>
      <c r="S3" s="367"/>
      <c r="T3" s="367"/>
      <c r="U3" s="367"/>
      <c r="V3" s="367"/>
      <c r="W3" s="367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71" t="s">
        <v>2</v>
      </c>
      <c r="AN3" s="372"/>
    </row>
    <row r="4" ht="14.25" customHeight="1">
      <c r="A4" s="364"/>
      <c r="B4" s="365"/>
      <c r="C4" s="364"/>
      <c r="D4" s="364"/>
      <c r="E4" s="364"/>
      <c r="F4" s="366"/>
      <c r="G4" s="367"/>
      <c r="H4" s="367"/>
      <c r="I4" s="367"/>
      <c r="J4" s="367"/>
      <c r="K4" s="367"/>
      <c r="L4" s="367"/>
      <c r="M4" s="367"/>
      <c r="N4" s="367"/>
      <c r="O4" s="367"/>
      <c r="P4" s="369"/>
      <c r="Q4" s="367"/>
      <c r="R4" s="367"/>
      <c r="S4" s="367"/>
      <c r="T4" s="367"/>
      <c r="U4" s="367"/>
      <c r="V4" s="367"/>
      <c r="W4" s="367"/>
      <c r="X4" s="367"/>
      <c r="Y4" s="367"/>
      <c r="Z4" s="367"/>
      <c r="AA4" s="367"/>
      <c r="AB4" s="367"/>
      <c r="AC4" s="367"/>
      <c r="AD4" s="367"/>
      <c r="AE4" s="367"/>
      <c r="AF4" s="367"/>
      <c r="AG4" s="367"/>
      <c r="AH4" s="367"/>
      <c r="AI4" s="367"/>
      <c r="AJ4" s="367"/>
      <c r="AK4" s="367"/>
      <c r="AL4" s="367"/>
      <c r="AM4" s="371" t="s">
        <v>3</v>
      </c>
      <c r="AN4" s="372"/>
    </row>
    <row r="5" ht="14.25" customHeight="1">
      <c r="A5" s="373" t="s">
        <v>246</v>
      </c>
      <c r="B5" s="9"/>
      <c r="C5" s="9"/>
      <c r="D5" s="9"/>
      <c r="E5" s="364"/>
      <c r="F5" s="366"/>
      <c r="G5" s="367"/>
      <c r="H5" s="367"/>
      <c r="I5" s="367"/>
      <c r="J5" s="367"/>
      <c r="K5" s="367"/>
      <c r="L5" s="367"/>
      <c r="M5" s="367"/>
      <c r="N5" s="367"/>
      <c r="O5" s="367"/>
      <c r="P5" s="374"/>
      <c r="Q5" s="367"/>
      <c r="R5" s="367"/>
      <c r="S5" s="367"/>
      <c r="T5" s="367"/>
      <c r="U5" s="367"/>
      <c r="V5" s="367"/>
      <c r="W5" s="367"/>
      <c r="X5" s="367"/>
      <c r="Y5" s="367"/>
      <c r="Z5" s="367"/>
      <c r="AA5" s="367"/>
      <c r="AB5" s="367"/>
      <c r="AC5" s="367"/>
      <c r="AD5" s="367"/>
      <c r="AE5" s="367"/>
      <c r="AF5" s="367"/>
      <c r="AG5" s="367"/>
      <c r="AH5" s="367"/>
      <c r="AI5" s="367"/>
      <c r="AJ5" s="367"/>
      <c r="AK5" s="367"/>
      <c r="AL5" s="367"/>
      <c r="AM5" s="372"/>
      <c r="AN5" s="372"/>
    </row>
    <row r="6" ht="15.75" customHeight="1">
      <c r="A6" s="375" t="s">
        <v>6</v>
      </c>
      <c r="B6" s="376" t="s">
        <v>8</v>
      </c>
      <c r="C6" s="376" t="s">
        <v>9</v>
      </c>
      <c r="D6" s="377" t="s">
        <v>10</v>
      </c>
      <c r="E6" s="376" t="s">
        <v>11</v>
      </c>
      <c r="F6" s="376"/>
      <c r="G6" s="378">
        <v>1.0</v>
      </c>
      <c r="H6" s="378">
        <f t="shared" ref="H6:AA6" si="1">G6+1</f>
        <v>2</v>
      </c>
      <c r="I6" s="378">
        <f t="shared" si="1"/>
        <v>3</v>
      </c>
      <c r="J6" s="378">
        <f t="shared" si="1"/>
        <v>4</v>
      </c>
      <c r="K6" s="378">
        <f t="shared" si="1"/>
        <v>5</v>
      </c>
      <c r="L6" s="378">
        <f t="shared" si="1"/>
        <v>6</v>
      </c>
      <c r="M6" s="378">
        <f t="shared" si="1"/>
        <v>7</v>
      </c>
      <c r="N6" s="378">
        <f t="shared" si="1"/>
        <v>8</v>
      </c>
      <c r="O6" s="378">
        <f t="shared" si="1"/>
        <v>9</v>
      </c>
      <c r="P6" s="378">
        <f t="shared" si="1"/>
        <v>10</v>
      </c>
      <c r="Q6" s="378">
        <f t="shared" si="1"/>
        <v>11</v>
      </c>
      <c r="R6" s="378">
        <f t="shared" si="1"/>
        <v>12</v>
      </c>
      <c r="S6" s="378">
        <f t="shared" si="1"/>
        <v>13</v>
      </c>
      <c r="T6" s="378">
        <f t="shared" si="1"/>
        <v>14</v>
      </c>
      <c r="U6" s="378">
        <f t="shared" si="1"/>
        <v>15</v>
      </c>
      <c r="V6" s="378">
        <f t="shared" si="1"/>
        <v>16</v>
      </c>
      <c r="W6" s="378">
        <f t="shared" si="1"/>
        <v>17</v>
      </c>
      <c r="X6" s="378">
        <f t="shared" si="1"/>
        <v>18</v>
      </c>
      <c r="Y6" s="378">
        <f t="shared" si="1"/>
        <v>19</v>
      </c>
      <c r="Z6" s="378">
        <f t="shared" si="1"/>
        <v>20</v>
      </c>
      <c r="AA6" s="378">
        <f t="shared" si="1"/>
        <v>21</v>
      </c>
      <c r="AB6" s="378">
        <v>22.0</v>
      </c>
      <c r="AC6" s="378">
        <v>23.0</v>
      </c>
      <c r="AD6" s="378">
        <v>24.0</v>
      </c>
      <c r="AE6" s="378">
        <v>25.0</v>
      </c>
      <c r="AF6" s="378">
        <v>26.0</v>
      </c>
      <c r="AG6" s="378">
        <v>27.0</v>
      </c>
      <c r="AH6" s="378">
        <v>28.0</v>
      </c>
      <c r="AI6" s="378">
        <v>29.0</v>
      </c>
      <c r="AJ6" s="378">
        <v>30.0</v>
      </c>
      <c r="AK6" s="378">
        <v>31.0</v>
      </c>
      <c r="AL6" s="376" t="s">
        <v>14</v>
      </c>
      <c r="AM6" s="376" t="s">
        <v>15</v>
      </c>
      <c r="AN6" s="372"/>
    </row>
    <row r="7" ht="14.25" customHeight="1">
      <c r="A7" s="379"/>
      <c r="B7" s="17"/>
      <c r="C7" s="17"/>
      <c r="D7" s="17"/>
      <c r="E7" s="17"/>
      <c r="F7" s="17"/>
      <c r="G7" s="380" t="s">
        <v>247</v>
      </c>
      <c r="H7" s="380" t="s">
        <v>248</v>
      </c>
      <c r="I7" s="380" t="s">
        <v>249</v>
      </c>
      <c r="J7" s="380" t="s">
        <v>250</v>
      </c>
      <c r="K7" s="380" t="s">
        <v>251</v>
      </c>
      <c r="L7" s="380" t="s">
        <v>252</v>
      </c>
      <c r="M7" s="380" t="s">
        <v>253</v>
      </c>
      <c r="N7" s="380" t="s">
        <v>247</v>
      </c>
      <c r="O7" s="380" t="s">
        <v>248</v>
      </c>
      <c r="P7" s="380" t="s">
        <v>249</v>
      </c>
      <c r="Q7" s="380" t="s">
        <v>250</v>
      </c>
      <c r="R7" s="380" t="s">
        <v>251</v>
      </c>
      <c r="S7" s="380" t="s">
        <v>252</v>
      </c>
      <c r="T7" s="380" t="s">
        <v>253</v>
      </c>
      <c r="U7" s="380" t="s">
        <v>247</v>
      </c>
      <c r="V7" s="380" t="s">
        <v>248</v>
      </c>
      <c r="W7" s="380" t="s">
        <v>249</v>
      </c>
      <c r="X7" s="380" t="s">
        <v>250</v>
      </c>
      <c r="Y7" s="380" t="s">
        <v>251</v>
      </c>
      <c r="Z7" s="380" t="s">
        <v>252</v>
      </c>
      <c r="AA7" s="380" t="s">
        <v>253</v>
      </c>
      <c r="AB7" s="380" t="s">
        <v>247</v>
      </c>
      <c r="AC7" s="380" t="s">
        <v>248</v>
      </c>
      <c r="AD7" s="380" t="s">
        <v>249</v>
      </c>
      <c r="AE7" s="380" t="s">
        <v>250</v>
      </c>
      <c r="AF7" s="380" t="s">
        <v>251</v>
      </c>
      <c r="AG7" s="380" t="s">
        <v>252</v>
      </c>
      <c r="AH7" s="380" t="s">
        <v>253</v>
      </c>
      <c r="AI7" s="380" t="s">
        <v>247</v>
      </c>
      <c r="AJ7" s="380" t="s">
        <v>248</v>
      </c>
      <c r="AK7" s="380" t="s">
        <v>249</v>
      </c>
      <c r="AL7" s="17"/>
      <c r="AM7" s="17"/>
      <c r="AN7" s="372"/>
    </row>
    <row r="8" ht="14.25" customHeight="1">
      <c r="A8" s="381"/>
      <c r="B8" s="382" t="s">
        <v>23</v>
      </c>
      <c r="C8" s="383">
        <v>7.0</v>
      </c>
      <c r="D8" s="382" t="s">
        <v>23</v>
      </c>
      <c r="E8" s="383"/>
      <c r="F8" s="383"/>
      <c r="G8" s="381"/>
      <c r="H8" s="381"/>
      <c r="I8" s="381"/>
      <c r="J8" s="381"/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  <c r="Z8" s="381"/>
      <c r="AA8" s="381"/>
      <c r="AB8" s="381"/>
      <c r="AC8" s="381"/>
      <c r="AD8" s="381"/>
      <c r="AE8" s="381"/>
      <c r="AF8" s="381"/>
      <c r="AG8" s="381"/>
      <c r="AH8" s="381"/>
      <c r="AI8" s="381"/>
      <c r="AJ8" s="381"/>
      <c r="AK8" s="381"/>
      <c r="AL8" s="385"/>
      <c r="AM8" s="386"/>
      <c r="AN8" s="372"/>
    </row>
    <row r="9" ht="14.25" customHeight="1">
      <c r="A9" s="387">
        <v>1.0</v>
      </c>
      <c r="B9" s="388" t="s">
        <v>1</v>
      </c>
      <c r="C9" s="389">
        <v>1.0</v>
      </c>
      <c r="D9" s="388" t="s">
        <v>24</v>
      </c>
      <c r="E9" s="390" t="s">
        <v>25</v>
      </c>
      <c r="F9" s="391" t="s">
        <v>26</v>
      </c>
      <c r="G9" s="392" t="s">
        <v>205</v>
      </c>
      <c r="H9" s="393" t="s">
        <v>205</v>
      </c>
      <c r="I9" s="393" t="s">
        <v>205</v>
      </c>
      <c r="J9" s="392"/>
      <c r="K9" s="392" t="s">
        <v>205</v>
      </c>
      <c r="L9" s="392" t="s">
        <v>205</v>
      </c>
      <c r="M9" s="392" t="s">
        <v>205</v>
      </c>
      <c r="N9" s="392" t="s">
        <v>205</v>
      </c>
      <c r="O9" s="393" t="s">
        <v>205</v>
      </c>
      <c r="P9" s="393" t="s">
        <v>205</v>
      </c>
      <c r="Q9" s="392"/>
      <c r="R9" s="392" t="s">
        <v>205</v>
      </c>
      <c r="S9" s="394"/>
      <c r="T9" s="392" t="s">
        <v>205</v>
      </c>
      <c r="U9" s="392" t="s">
        <v>205</v>
      </c>
      <c r="V9" s="393" t="s">
        <v>205</v>
      </c>
      <c r="W9" s="393" t="s">
        <v>205</v>
      </c>
      <c r="X9" s="392" t="s">
        <v>205</v>
      </c>
      <c r="Y9" s="392" t="s">
        <v>205</v>
      </c>
      <c r="Z9" s="392" t="s">
        <v>205</v>
      </c>
      <c r="AA9" s="392" t="s">
        <v>205</v>
      </c>
      <c r="AB9" s="392" t="s">
        <v>205</v>
      </c>
      <c r="AC9" s="393" t="s">
        <v>205</v>
      </c>
      <c r="AD9" s="393" t="s">
        <v>205</v>
      </c>
      <c r="AE9" s="392"/>
      <c r="AF9" s="392" t="s">
        <v>205</v>
      </c>
      <c r="AG9" s="387">
        <v>12.0</v>
      </c>
      <c r="AH9" s="387">
        <v>12.0</v>
      </c>
      <c r="AI9" s="387">
        <v>12.0</v>
      </c>
      <c r="AJ9" s="395">
        <v>12.0</v>
      </c>
      <c r="AK9" s="395">
        <v>12.0</v>
      </c>
      <c r="AL9" s="396">
        <f>COUNTA(G9:AG9)</f>
        <v>23</v>
      </c>
      <c r="AM9" s="397"/>
      <c r="AN9" s="372"/>
    </row>
    <row r="10" ht="14.25" customHeight="1">
      <c r="A10" s="387">
        <v>1.0</v>
      </c>
      <c r="B10" s="398" t="s">
        <v>27</v>
      </c>
      <c r="C10" s="390">
        <v>2.0</v>
      </c>
      <c r="D10" s="399" t="s">
        <v>28</v>
      </c>
      <c r="E10" s="390" t="s">
        <v>29</v>
      </c>
      <c r="F10" s="391" t="s">
        <v>30</v>
      </c>
      <c r="G10" s="387">
        <v>12.0</v>
      </c>
      <c r="H10" s="395">
        <v>12.0</v>
      </c>
      <c r="I10" s="395"/>
      <c r="J10" s="387"/>
      <c r="K10" s="387">
        <v>12.0</v>
      </c>
      <c r="L10" s="387">
        <v>12.0</v>
      </c>
      <c r="M10" s="387">
        <v>12.0</v>
      </c>
      <c r="N10" s="387">
        <v>12.0</v>
      </c>
      <c r="O10" s="395">
        <v>12.0</v>
      </c>
      <c r="P10" s="395">
        <v>12.0</v>
      </c>
      <c r="Q10" s="387"/>
      <c r="R10" s="387">
        <v>12.0</v>
      </c>
      <c r="S10" s="401"/>
      <c r="T10" s="387">
        <v>12.0</v>
      </c>
      <c r="U10" s="387">
        <v>12.0</v>
      </c>
      <c r="V10" s="395">
        <v>12.0</v>
      </c>
      <c r="W10" s="395">
        <v>12.0</v>
      </c>
      <c r="X10" s="387">
        <v>12.0</v>
      </c>
      <c r="Y10" s="387">
        <v>12.0</v>
      </c>
      <c r="Z10" s="387">
        <v>12.0</v>
      </c>
      <c r="AA10" s="387">
        <v>12.0</v>
      </c>
      <c r="AB10" s="387">
        <v>12.0</v>
      </c>
      <c r="AC10" s="395">
        <v>12.0</v>
      </c>
      <c r="AD10" s="395"/>
      <c r="AE10" s="387"/>
      <c r="AF10" s="387">
        <v>12.0</v>
      </c>
      <c r="AG10" s="387">
        <v>12.0</v>
      </c>
      <c r="AH10" s="387">
        <v>12.0</v>
      </c>
      <c r="AI10" s="387">
        <v>12.0</v>
      </c>
      <c r="AJ10" s="395">
        <v>12.0</v>
      </c>
      <c r="AK10" s="395"/>
      <c r="AL10" s="396">
        <v>21.0</v>
      </c>
      <c r="AM10" s="397">
        <f t="shared" ref="AM10:AM15" si="2">SUM(G10:AH10)</f>
        <v>264</v>
      </c>
      <c r="AN10" s="372"/>
    </row>
    <row r="11" ht="14.25" customHeight="1">
      <c r="A11" s="387">
        <v>1.0</v>
      </c>
      <c r="B11" s="398" t="s">
        <v>31</v>
      </c>
      <c r="C11" s="390">
        <v>3.0</v>
      </c>
      <c r="D11" s="399" t="s">
        <v>32</v>
      </c>
      <c r="E11" s="389" t="s">
        <v>33</v>
      </c>
      <c r="F11" s="391" t="s">
        <v>30</v>
      </c>
      <c r="G11" s="387">
        <v>9.0</v>
      </c>
      <c r="H11" s="395">
        <v>9.0</v>
      </c>
      <c r="I11" s="395"/>
      <c r="J11" s="387"/>
      <c r="K11" s="387">
        <v>9.0</v>
      </c>
      <c r="L11" s="387">
        <v>9.0</v>
      </c>
      <c r="M11" s="387">
        <v>9.0</v>
      </c>
      <c r="N11" s="387">
        <v>9.0</v>
      </c>
      <c r="O11" s="395">
        <v>9.0</v>
      </c>
      <c r="P11" s="395">
        <v>9.0</v>
      </c>
      <c r="Q11" s="387"/>
      <c r="R11" s="387">
        <v>9.0</v>
      </c>
      <c r="S11" s="401"/>
      <c r="T11" s="387">
        <v>9.0</v>
      </c>
      <c r="U11" s="387">
        <v>9.0</v>
      </c>
      <c r="V11" s="395">
        <v>9.0</v>
      </c>
      <c r="W11" s="395">
        <v>9.0</v>
      </c>
      <c r="X11" s="387">
        <v>9.0</v>
      </c>
      <c r="Y11" s="387">
        <v>9.0</v>
      </c>
      <c r="Z11" s="387">
        <v>9.0</v>
      </c>
      <c r="AA11" s="387">
        <v>9.0</v>
      </c>
      <c r="AB11" s="387">
        <v>9.0</v>
      </c>
      <c r="AC11" s="395">
        <v>9.0</v>
      </c>
      <c r="AD11" s="395"/>
      <c r="AE11" s="387"/>
      <c r="AF11" s="387">
        <v>9.0</v>
      </c>
      <c r="AG11" s="387">
        <v>9.0</v>
      </c>
      <c r="AH11" s="387">
        <v>9.0</v>
      </c>
      <c r="AI11" s="387">
        <v>9.0</v>
      </c>
      <c r="AJ11" s="395">
        <v>9.0</v>
      </c>
      <c r="AK11" s="395"/>
      <c r="AL11" s="396">
        <f t="shared" ref="AL11:AL13" si="3">COUNTA(G11:AH11)</f>
        <v>22</v>
      </c>
      <c r="AM11" s="397">
        <f t="shared" si="2"/>
        <v>198</v>
      </c>
      <c r="AN11" s="372"/>
    </row>
    <row r="12" ht="14.25" customHeight="1">
      <c r="A12" s="387">
        <v>1.0</v>
      </c>
      <c r="B12" s="398" t="s">
        <v>34</v>
      </c>
      <c r="C12" s="389">
        <v>4.0</v>
      </c>
      <c r="D12" s="399" t="s">
        <v>35</v>
      </c>
      <c r="E12" s="390" t="s">
        <v>33</v>
      </c>
      <c r="F12" s="391" t="s">
        <v>30</v>
      </c>
      <c r="G12" s="387">
        <v>9.0</v>
      </c>
      <c r="H12" s="395">
        <v>9.0</v>
      </c>
      <c r="I12" s="395"/>
      <c r="J12" s="387"/>
      <c r="K12" s="387">
        <v>9.0</v>
      </c>
      <c r="L12" s="387">
        <v>9.0</v>
      </c>
      <c r="M12" s="387">
        <v>9.0</v>
      </c>
      <c r="N12" s="387">
        <v>9.0</v>
      </c>
      <c r="O12" s="395">
        <v>9.0</v>
      </c>
      <c r="P12" s="395">
        <v>9.0</v>
      </c>
      <c r="Q12" s="387"/>
      <c r="R12" s="387">
        <v>9.0</v>
      </c>
      <c r="S12" s="401"/>
      <c r="T12" s="387">
        <v>9.0</v>
      </c>
      <c r="U12" s="387">
        <v>9.0</v>
      </c>
      <c r="V12" s="395">
        <v>9.0</v>
      </c>
      <c r="W12" s="395">
        <v>9.0</v>
      </c>
      <c r="X12" s="387">
        <v>9.0</v>
      </c>
      <c r="Y12" s="387">
        <v>9.0</v>
      </c>
      <c r="Z12" s="387">
        <v>9.0</v>
      </c>
      <c r="AA12" s="387">
        <v>9.0</v>
      </c>
      <c r="AB12" s="387">
        <v>9.0</v>
      </c>
      <c r="AC12" s="395">
        <v>9.0</v>
      </c>
      <c r="AD12" s="395"/>
      <c r="AE12" s="387"/>
      <c r="AF12" s="387">
        <v>9.0</v>
      </c>
      <c r="AG12" s="387">
        <v>9.0</v>
      </c>
      <c r="AH12" s="387">
        <v>9.0</v>
      </c>
      <c r="AI12" s="387">
        <v>9.0</v>
      </c>
      <c r="AJ12" s="395">
        <v>9.0</v>
      </c>
      <c r="AK12" s="395"/>
      <c r="AL12" s="396">
        <f t="shared" si="3"/>
        <v>22</v>
      </c>
      <c r="AM12" s="397">
        <f t="shared" si="2"/>
        <v>198</v>
      </c>
      <c r="AN12" s="372"/>
    </row>
    <row r="13" ht="14.25" customHeight="1">
      <c r="A13" s="387">
        <v>1.0</v>
      </c>
      <c r="B13" s="398" t="s">
        <v>36</v>
      </c>
      <c r="C13" s="390">
        <v>5.0</v>
      </c>
      <c r="D13" s="399" t="s">
        <v>180</v>
      </c>
      <c r="E13" s="390" t="s">
        <v>33</v>
      </c>
      <c r="F13" s="391" t="s">
        <v>30</v>
      </c>
      <c r="G13" s="387">
        <v>9.0</v>
      </c>
      <c r="H13" s="395">
        <v>9.0</v>
      </c>
      <c r="I13" s="395"/>
      <c r="J13" s="387"/>
      <c r="K13" s="387">
        <v>9.0</v>
      </c>
      <c r="L13" s="387">
        <v>9.0</v>
      </c>
      <c r="M13" s="387">
        <v>9.0</v>
      </c>
      <c r="N13" s="387">
        <v>9.0</v>
      </c>
      <c r="O13" s="395"/>
      <c r="P13" s="395"/>
      <c r="Q13" s="387"/>
      <c r="R13" s="387"/>
      <c r="S13" s="401"/>
      <c r="T13" s="387"/>
      <c r="U13" s="387"/>
      <c r="V13" s="395"/>
      <c r="W13" s="395"/>
      <c r="X13" s="387"/>
      <c r="Y13" s="387"/>
      <c r="Z13" s="387"/>
      <c r="AA13" s="387"/>
      <c r="AB13" s="387"/>
      <c r="AC13" s="395"/>
      <c r="AD13" s="395"/>
      <c r="AE13" s="387"/>
      <c r="AF13" s="387"/>
      <c r="AG13" s="387"/>
      <c r="AH13" s="387"/>
      <c r="AI13" s="387"/>
      <c r="AJ13" s="395"/>
      <c r="AK13" s="395"/>
      <c r="AL13" s="396">
        <f t="shared" si="3"/>
        <v>6</v>
      </c>
      <c r="AM13" s="397">
        <f t="shared" si="2"/>
        <v>54</v>
      </c>
      <c r="AN13" s="372"/>
    </row>
    <row r="14" ht="14.25" customHeight="1">
      <c r="A14" s="387">
        <v>1.0</v>
      </c>
      <c r="B14" s="388" t="s">
        <v>38</v>
      </c>
      <c r="C14" s="390">
        <v>6.0</v>
      </c>
      <c r="D14" s="399" t="s">
        <v>257</v>
      </c>
      <c r="E14" s="390" t="s">
        <v>258</v>
      </c>
      <c r="F14" s="391"/>
      <c r="G14" s="387"/>
      <c r="H14" s="395"/>
      <c r="I14" s="395"/>
      <c r="J14" s="387"/>
      <c r="K14" s="387"/>
      <c r="L14" s="387">
        <v>12.0</v>
      </c>
      <c r="M14" s="387">
        <v>12.0</v>
      </c>
      <c r="N14" s="387"/>
      <c r="O14" s="395"/>
      <c r="P14" s="395"/>
      <c r="Q14" s="387"/>
      <c r="R14" s="387"/>
      <c r="S14" s="401"/>
      <c r="T14" s="387"/>
      <c r="U14" s="387"/>
      <c r="V14" s="395"/>
      <c r="W14" s="395"/>
      <c r="X14" s="387"/>
      <c r="Y14" s="387"/>
      <c r="Z14" s="387"/>
      <c r="AA14" s="387"/>
      <c r="AB14" s="387"/>
      <c r="AC14" s="395"/>
      <c r="AD14" s="395"/>
      <c r="AE14" s="387"/>
      <c r="AF14" s="387"/>
      <c r="AG14" s="387"/>
      <c r="AH14" s="387"/>
      <c r="AI14" s="387"/>
      <c r="AJ14" s="395"/>
      <c r="AK14" s="395"/>
      <c r="AL14" s="396">
        <v>2.0</v>
      </c>
      <c r="AM14" s="397">
        <f t="shared" si="2"/>
        <v>24</v>
      </c>
      <c r="AN14" s="372"/>
    </row>
    <row r="15" ht="14.25" customHeight="1">
      <c r="A15" s="387">
        <v>1.0</v>
      </c>
      <c r="B15" s="388" t="s">
        <v>38</v>
      </c>
      <c r="C15" s="389">
        <v>7.0</v>
      </c>
      <c r="D15" s="402" t="s">
        <v>183</v>
      </c>
      <c r="E15" s="390" t="s">
        <v>40</v>
      </c>
      <c r="F15" s="391" t="s">
        <v>30</v>
      </c>
      <c r="G15" s="387"/>
      <c r="H15" s="403"/>
      <c r="I15" s="403"/>
      <c r="J15" s="387"/>
      <c r="K15" s="387"/>
      <c r="L15" s="387"/>
      <c r="M15" s="387"/>
      <c r="N15" s="387">
        <v>12.0</v>
      </c>
      <c r="O15" s="395">
        <v>12.0</v>
      </c>
      <c r="P15" s="395">
        <v>12.0</v>
      </c>
      <c r="Q15" s="387">
        <v>12.0</v>
      </c>
      <c r="R15" s="387">
        <v>12.0</v>
      </c>
      <c r="S15" s="401"/>
      <c r="T15" s="387">
        <v>12.0</v>
      </c>
      <c r="U15" s="387">
        <v>12.0</v>
      </c>
      <c r="V15" s="395">
        <v>12.0</v>
      </c>
      <c r="W15" s="395">
        <v>12.0</v>
      </c>
      <c r="X15" s="387">
        <v>12.0</v>
      </c>
      <c r="Y15" s="387">
        <v>12.0</v>
      </c>
      <c r="Z15" s="387"/>
      <c r="AA15" s="387"/>
      <c r="AB15" s="387">
        <v>12.0</v>
      </c>
      <c r="AC15" s="395">
        <v>12.0</v>
      </c>
      <c r="AD15" s="395">
        <v>12.0</v>
      </c>
      <c r="AE15" s="387">
        <v>12.0</v>
      </c>
      <c r="AF15" s="387">
        <v>12.0</v>
      </c>
      <c r="AG15" s="387">
        <v>6.0</v>
      </c>
      <c r="AH15" s="387">
        <v>12.0</v>
      </c>
      <c r="AI15" s="387">
        <v>12.0</v>
      </c>
      <c r="AJ15" s="395">
        <v>12.0</v>
      </c>
      <c r="AK15" s="395">
        <v>12.0</v>
      </c>
      <c r="AL15" s="396">
        <f t="shared" ref="AL15:AL24" si="4">COUNTA(G15:AK15)</f>
        <v>21</v>
      </c>
      <c r="AM15" s="397">
        <f t="shared" si="2"/>
        <v>210</v>
      </c>
      <c r="AN15" s="372"/>
    </row>
    <row r="16" ht="14.25" customHeight="1">
      <c r="A16" s="381"/>
      <c r="B16" s="382" t="s">
        <v>41</v>
      </c>
      <c r="C16" s="383"/>
      <c r="D16" s="382" t="s">
        <v>41</v>
      </c>
      <c r="E16" s="383"/>
      <c r="F16" s="404"/>
      <c r="G16" s="383"/>
      <c r="H16" s="383"/>
      <c r="I16" s="383"/>
      <c r="J16" s="383"/>
      <c r="K16" s="383"/>
      <c r="L16" s="383"/>
      <c r="M16" s="383"/>
      <c r="N16" s="383"/>
      <c r="O16" s="383"/>
      <c r="P16" s="383"/>
      <c r="Q16" s="383"/>
      <c r="R16" s="383"/>
      <c r="S16" s="383"/>
      <c r="T16" s="383"/>
      <c r="U16" s="383"/>
      <c r="V16" s="383"/>
      <c r="W16" s="383"/>
      <c r="X16" s="405"/>
      <c r="Y16" s="405"/>
      <c r="Z16" s="405"/>
      <c r="AA16" s="405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383">
        <f t="shared" si="4"/>
        <v>0</v>
      </c>
      <c r="AM16" s="406"/>
      <c r="AN16" s="372"/>
    </row>
    <row r="17" ht="14.25" customHeight="1">
      <c r="A17" s="387">
        <v>1.0</v>
      </c>
      <c r="B17" s="388" t="s">
        <v>214</v>
      </c>
      <c r="C17" s="389">
        <v>1.0</v>
      </c>
      <c r="D17" s="388" t="s">
        <v>215</v>
      </c>
      <c r="E17" s="389" t="s">
        <v>182</v>
      </c>
      <c r="F17" s="407" t="s">
        <v>65</v>
      </c>
      <c r="G17" s="389">
        <v>9.0</v>
      </c>
      <c r="H17" s="408">
        <v>9.0</v>
      </c>
      <c r="I17" s="408">
        <v>9.0</v>
      </c>
      <c r="J17" s="389">
        <v>9.0</v>
      </c>
      <c r="K17" s="389">
        <v>9.0</v>
      </c>
      <c r="L17" s="389">
        <v>9.0</v>
      </c>
      <c r="M17" s="389"/>
      <c r="N17" s="389"/>
      <c r="O17" s="408">
        <v>9.0</v>
      </c>
      <c r="P17" s="408">
        <v>9.0</v>
      </c>
      <c r="Q17" s="389">
        <v>9.0</v>
      </c>
      <c r="R17" s="389">
        <v>9.0</v>
      </c>
      <c r="S17" s="409"/>
      <c r="T17" s="389"/>
      <c r="U17" s="389">
        <v>9.0</v>
      </c>
      <c r="V17" s="408">
        <v>9.0</v>
      </c>
      <c r="W17" s="408">
        <v>9.0</v>
      </c>
      <c r="X17" s="389">
        <v>9.0</v>
      </c>
      <c r="Y17" s="389">
        <v>9.0</v>
      </c>
      <c r="Z17" s="389"/>
      <c r="AA17" s="389"/>
      <c r="AB17" s="389">
        <v>9.0</v>
      </c>
      <c r="AC17" s="408">
        <v>9.0</v>
      </c>
      <c r="AD17" s="408">
        <v>9.0</v>
      </c>
      <c r="AE17" s="389">
        <v>9.0</v>
      </c>
      <c r="AF17" s="389">
        <v>9.0</v>
      </c>
      <c r="AG17" s="410"/>
      <c r="AH17" s="410"/>
      <c r="AI17" s="410">
        <v>9.0</v>
      </c>
      <c r="AJ17" s="411">
        <v>9.0</v>
      </c>
      <c r="AK17" s="411">
        <v>9.0</v>
      </c>
      <c r="AL17" s="396">
        <f t="shared" si="4"/>
        <v>23</v>
      </c>
      <c r="AM17" s="397">
        <f t="shared" ref="AM17:AM24" si="5">SUM(G17:AK17)</f>
        <v>207</v>
      </c>
      <c r="AN17" s="372" t="s">
        <v>207</v>
      </c>
    </row>
    <row r="18" ht="14.25" customHeight="1">
      <c r="A18" s="387">
        <v>1.0</v>
      </c>
      <c r="B18" s="398" t="s">
        <v>53</v>
      </c>
      <c r="C18" s="390">
        <v>2.0</v>
      </c>
      <c r="D18" s="399" t="s">
        <v>54</v>
      </c>
      <c r="E18" s="390" t="s">
        <v>55</v>
      </c>
      <c r="F18" s="407" t="s">
        <v>46</v>
      </c>
      <c r="G18" s="387">
        <v>12.0</v>
      </c>
      <c r="H18" s="395">
        <v>12.0</v>
      </c>
      <c r="I18" s="395">
        <v>12.0</v>
      </c>
      <c r="J18" s="387">
        <v>12.0</v>
      </c>
      <c r="K18" s="387">
        <v>12.0</v>
      </c>
      <c r="L18" s="387"/>
      <c r="M18" s="387"/>
      <c r="N18" s="387"/>
      <c r="O18" s="395">
        <v>12.0</v>
      </c>
      <c r="P18" s="395">
        <v>12.0</v>
      </c>
      <c r="Q18" s="387">
        <v>12.0</v>
      </c>
      <c r="R18" s="387">
        <v>12.0</v>
      </c>
      <c r="S18" s="401"/>
      <c r="T18" s="387">
        <v>12.0</v>
      </c>
      <c r="U18" s="387">
        <v>12.0</v>
      </c>
      <c r="V18" s="395">
        <v>12.0</v>
      </c>
      <c r="W18" s="395">
        <v>12.0</v>
      </c>
      <c r="X18" s="387">
        <v>12.0</v>
      </c>
      <c r="Y18" s="387">
        <v>12.0</v>
      </c>
      <c r="Z18" s="387"/>
      <c r="AA18" s="387">
        <v>12.0</v>
      </c>
      <c r="AB18" s="387">
        <v>12.0</v>
      </c>
      <c r="AC18" s="395">
        <v>12.0</v>
      </c>
      <c r="AD18" s="395">
        <v>12.0</v>
      </c>
      <c r="AE18" s="387">
        <v>12.0</v>
      </c>
      <c r="AF18" s="387">
        <v>6.0</v>
      </c>
      <c r="AG18" s="387"/>
      <c r="AH18" s="387">
        <v>12.0</v>
      </c>
      <c r="AI18" s="387">
        <v>12.0</v>
      </c>
      <c r="AJ18" s="395">
        <v>12.0</v>
      </c>
      <c r="AK18" s="395">
        <v>12.0</v>
      </c>
      <c r="AL18" s="396">
        <f t="shared" si="4"/>
        <v>25</v>
      </c>
      <c r="AM18" s="397">
        <f t="shared" si="5"/>
        <v>294</v>
      </c>
      <c r="AN18" s="372" t="s">
        <v>207</v>
      </c>
    </row>
    <row r="19" ht="14.25" customHeight="1">
      <c r="A19" s="387">
        <v>1.0</v>
      </c>
      <c r="B19" s="398" t="s">
        <v>49</v>
      </c>
      <c r="C19" s="390">
        <v>3.0</v>
      </c>
      <c r="D19" s="399" t="s">
        <v>59</v>
      </c>
      <c r="E19" s="390" t="s">
        <v>51</v>
      </c>
      <c r="F19" s="407" t="s">
        <v>52</v>
      </c>
      <c r="G19" s="387"/>
      <c r="H19" s="395"/>
      <c r="I19" s="395"/>
      <c r="J19" s="387"/>
      <c r="K19" s="387"/>
      <c r="L19" s="387"/>
      <c r="M19" s="387"/>
      <c r="N19" s="387"/>
      <c r="O19" s="395"/>
      <c r="P19" s="395"/>
      <c r="Q19" s="387"/>
      <c r="R19" s="387"/>
      <c r="S19" s="401"/>
      <c r="T19" s="387"/>
      <c r="U19" s="387"/>
      <c r="V19" s="395"/>
      <c r="W19" s="395"/>
      <c r="X19" s="387"/>
      <c r="Y19" s="387"/>
      <c r="Z19" s="387">
        <v>24.0</v>
      </c>
      <c r="AA19" s="387"/>
      <c r="AB19" s="387">
        <v>24.0</v>
      </c>
      <c r="AC19" s="395"/>
      <c r="AD19" s="395">
        <v>24.0</v>
      </c>
      <c r="AE19" s="387"/>
      <c r="AF19" s="387">
        <v>24.0</v>
      </c>
      <c r="AG19" s="387"/>
      <c r="AH19" s="387">
        <v>24.0</v>
      </c>
      <c r="AI19" s="387"/>
      <c r="AJ19" s="395">
        <v>24.0</v>
      </c>
      <c r="AK19" s="395"/>
      <c r="AL19" s="396">
        <f t="shared" si="4"/>
        <v>6</v>
      </c>
      <c r="AM19" s="397">
        <f t="shared" si="5"/>
        <v>144</v>
      </c>
      <c r="AN19" s="372" t="s">
        <v>207</v>
      </c>
    </row>
    <row r="20" ht="14.25" customHeight="1">
      <c r="A20" s="387">
        <v>1.0</v>
      </c>
      <c r="B20" s="398" t="s">
        <v>49</v>
      </c>
      <c r="C20" s="389">
        <v>4.0</v>
      </c>
      <c r="D20" s="399" t="s">
        <v>56</v>
      </c>
      <c r="E20" s="390" t="s">
        <v>51</v>
      </c>
      <c r="F20" s="407" t="s">
        <v>52</v>
      </c>
      <c r="G20" s="387">
        <v>24.0</v>
      </c>
      <c r="H20" s="395"/>
      <c r="I20" s="395">
        <v>24.0</v>
      </c>
      <c r="J20" s="387"/>
      <c r="K20" s="387">
        <v>24.0</v>
      </c>
      <c r="L20" s="387"/>
      <c r="M20" s="387">
        <v>24.0</v>
      </c>
      <c r="N20" s="387"/>
      <c r="O20" s="395">
        <v>24.0</v>
      </c>
      <c r="P20" s="395"/>
      <c r="Q20" s="387">
        <v>24.0</v>
      </c>
      <c r="R20" s="387"/>
      <c r="S20" s="387">
        <v>24.0</v>
      </c>
      <c r="T20" s="387"/>
      <c r="U20" s="387">
        <v>24.0</v>
      </c>
      <c r="V20" s="395"/>
      <c r="W20" s="395">
        <v>24.0</v>
      </c>
      <c r="X20" s="387"/>
      <c r="Y20" s="387">
        <v>24.0</v>
      </c>
      <c r="Z20" s="387"/>
      <c r="AA20" s="387">
        <v>24.0</v>
      </c>
      <c r="AB20" s="387"/>
      <c r="AC20" s="395">
        <v>24.0</v>
      </c>
      <c r="AD20" s="395"/>
      <c r="AE20" s="387">
        <v>24.0</v>
      </c>
      <c r="AF20" s="387"/>
      <c r="AG20" s="387">
        <v>24.0</v>
      </c>
      <c r="AH20" s="387"/>
      <c r="AI20" s="387">
        <v>24.0</v>
      </c>
      <c r="AJ20" s="395"/>
      <c r="AK20" s="395">
        <v>24.0</v>
      </c>
      <c r="AL20" s="396">
        <f t="shared" si="4"/>
        <v>16</v>
      </c>
      <c r="AM20" s="397">
        <f t="shared" si="5"/>
        <v>384</v>
      </c>
      <c r="AN20" s="372" t="s">
        <v>207</v>
      </c>
    </row>
    <row r="21" ht="14.25" customHeight="1">
      <c r="A21" s="387">
        <v>1.0</v>
      </c>
      <c r="B21" s="398" t="s">
        <v>262</v>
      </c>
      <c r="C21" s="390">
        <v>5.0</v>
      </c>
      <c r="D21" s="399" t="s">
        <v>263</v>
      </c>
      <c r="E21" s="390" t="s">
        <v>237</v>
      </c>
      <c r="F21" s="407" t="s">
        <v>65</v>
      </c>
      <c r="G21" s="387"/>
      <c r="H21" s="395"/>
      <c r="I21" s="395"/>
      <c r="J21" s="387"/>
      <c r="K21" s="387"/>
      <c r="L21" s="387"/>
      <c r="M21" s="387"/>
      <c r="N21" s="387"/>
      <c r="O21" s="395"/>
      <c r="P21" s="395"/>
      <c r="Q21" s="387"/>
      <c r="R21" s="387"/>
      <c r="S21" s="401"/>
      <c r="T21" s="387"/>
      <c r="U21" s="387"/>
      <c r="V21" s="395"/>
      <c r="W21" s="395"/>
      <c r="X21" s="387"/>
      <c r="Y21" s="387"/>
      <c r="Z21" s="387"/>
      <c r="AA21" s="387"/>
      <c r="AB21" s="387"/>
      <c r="AC21" s="395"/>
      <c r="AD21" s="395"/>
      <c r="AE21" s="387"/>
      <c r="AF21" s="387"/>
      <c r="AG21" s="387"/>
      <c r="AH21" s="387"/>
      <c r="AI21" s="387"/>
      <c r="AJ21" s="395">
        <v>12.0</v>
      </c>
      <c r="AK21" s="395">
        <v>12.0</v>
      </c>
      <c r="AL21" s="396">
        <f t="shared" si="4"/>
        <v>2</v>
      </c>
      <c r="AM21" s="397">
        <f t="shared" si="5"/>
        <v>24</v>
      </c>
      <c r="AN21" s="372" t="s">
        <v>207</v>
      </c>
    </row>
    <row r="22" ht="14.25" customHeight="1">
      <c r="A22" s="387">
        <v>1.0</v>
      </c>
      <c r="B22" s="398" t="s">
        <v>62</v>
      </c>
      <c r="C22" s="390">
        <v>6.0</v>
      </c>
      <c r="D22" s="412" t="s">
        <v>264</v>
      </c>
      <c r="E22" s="390" t="s">
        <v>64</v>
      </c>
      <c r="F22" s="407" t="s">
        <v>65</v>
      </c>
      <c r="G22" s="389">
        <v>12.0</v>
      </c>
      <c r="H22" s="408">
        <v>12.0</v>
      </c>
      <c r="I22" s="408">
        <v>12.0</v>
      </c>
      <c r="J22" s="389"/>
      <c r="K22" s="389"/>
      <c r="L22" s="389"/>
      <c r="M22" s="389"/>
      <c r="N22" s="389"/>
      <c r="O22" s="408"/>
      <c r="P22" s="408"/>
      <c r="Q22" s="389"/>
      <c r="R22" s="389"/>
      <c r="S22" s="409"/>
      <c r="T22" s="389"/>
      <c r="U22" s="389"/>
      <c r="V22" s="408"/>
      <c r="W22" s="408"/>
      <c r="X22" s="389"/>
      <c r="Y22" s="389"/>
      <c r="Z22" s="389"/>
      <c r="AA22" s="389"/>
      <c r="AB22" s="389"/>
      <c r="AC22" s="408"/>
      <c r="AD22" s="408"/>
      <c r="AE22" s="389"/>
      <c r="AF22" s="389"/>
      <c r="AG22" s="389"/>
      <c r="AH22" s="389"/>
      <c r="AI22" s="389"/>
      <c r="AJ22" s="408"/>
      <c r="AK22" s="408"/>
      <c r="AL22" s="396">
        <f t="shared" si="4"/>
        <v>3</v>
      </c>
      <c r="AM22" s="397">
        <f t="shared" si="5"/>
        <v>36</v>
      </c>
      <c r="AN22" s="372"/>
    </row>
    <row r="23" ht="27.0" customHeight="1">
      <c r="A23" s="387">
        <v>1.0</v>
      </c>
      <c r="B23" s="398" t="s">
        <v>67</v>
      </c>
      <c r="C23" s="389">
        <v>7.0</v>
      </c>
      <c r="D23" s="399" t="s">
        <v>243</v>
      </c>
      <c r="E23" s="390" t="s">
        <v>70</v>
      </c>
      <c r="F23" s="391" t="s">
        <v>30</v>
      </c>
      <c r="G23" s="387">
        <v>12.0</v>
      </c>
      <c r="H23" s="395">
        <v>12.0</v>
      </c>
      <c r="I23" s="395">
        <v>12.0</v>
      </c>
      <c r="J23" s="387">
        <v>12.0</v>
      </c>
      <c r="K23" s="387"/>
      <c r="L23" s="387"/>
      <c r="M23" s="387">
        <v>12.0</v>
      </c>
      <c r="N23" s="387">
        <v>12.0</v>
      </c>
      <c r="O23" s="395">
        <v>12.0</v>
      </c>
      <c r="P23" s="395">
        <v>12.0</v>
      </c>
      <c r="Q23" s="387">
        <v>12.0</v>
      </c>
      <c r="R23" s="387">
        <v>12.0</v>
      </c>
      <c r="S23" s="401"/>
      <c r="T23" s="387"/>
      <c r="U23" s="387"/>
      <c r="V23" s="395"/>
      <c r="W23" s="395"/>
      <c r="X23" s="387"/>
      <c r="Y23" s="387"/>
      <c r="Z23" s="387"/>
      <c r="AA23" s="387"/>
      <c r="AB23" s="387"/>
      <c r="AC23" s="395"/>
      <c r="AD23" s="395"/>
      <c r="AE23" s="387"/>
      <c r="AF23" s="387"/>
      <c r="AG23" s="387"/>
      <c r="AH23" s="387"/>
      <c r="AI23" s="387"/>
      <c r="AJ23" s="395"/>
      <c r="AK23" s="395"/>
      <c r="AL23" s="396">
        <f t="shared" si="4"/>
        <v>10</v>
      </c>
      <c r="AM23" s="397">
        <f t="shared" si="5"/>
        <v>120</v>
      </c>
      <c r="AN23" s="372" t="s">
        <v>265</v>
      </c>
    </row>
    <row r="24" ht="14.25" customHeight="1">
      <c r="A24" s="387">
        <v>1.0</v>
      </c>
      <c r="B24" s="398" t="s">
        <v>71</v>
      </c>
      <c r="C24" s="390">
        <v>8.0</v>
      </c>
      <c r="D24" s="399" t="s">
        <v>76</v>
      </c>
      <c r="E24" s="390" t="s">
        <v>73</v>
      </c>
      <c r="F24" s="391" t="s">
        <v>26</v>
      </c>
      <c r="G24" s="387">
        <v>12.0</v>
      </c>
      <c r="H24" s="395">
        <v>12.0</v>
      </c>
      <c r="I24" s="395">
        <v>12.0</v>
      </c>
      <c r="J24" s="387">
        <v>12.0</v>
      </c>
      <c r="K24" s="387">
        <v>12.0</v>
      </c>
      <c r="L24" s="387">
        <v>12.0</v>
      </c>
      <c r="M24" s="387">
        <v>12.0</v>
      </c>
      <c r="N24" s="387">
        <v>12.0</v>
      </c>
      <c r="O24" s="395">
        <v>12.0</v>
      </c>
      <c r="P24" s="395">
        <v>12.0</v>
      </c>
      <c r="Q24" s="387">
        <v>12.0</v>
      </c>
      <c r="R24" s="387">
        <v>12.0</v>
      </c>
      <c r="S24" s="401"/>
      <c r="T24" s="387">
        <v>12.0</v>
      </c>
      <c r="U24" s="387">
        <v>12.0</v>
      </c>
      <c r="V24" s="395">
        <v>12.0</v>
      </c>
      <c r="W24" s="395">
        <v>12.0</v>
      </c>
      <c r="X24" s="387">
        <v>12.0</v>
      </c>
      <c r="Y24" s="387">
        <v>12.0</v>
      </c>
      <c r="Z24" s="387">
        <v>12.0</v>
      </c>
      <c r="AA24" s="387">
        <v>12.0</v>
      </c>
      <c r="AB24" s="387">
        <v>12.0</v>
      </c>
      <c r="AC24" s="395">
        <v>12.0</v>
      </c>
      <c r="AD24" s="395">
        <v>12.0</v>
      </c>
      <c r="AE24" s="387">
        <v>12.0</v>
      </c>
      <c r="AF24" s="387">
        <v>12.0</v>
      </c>
      <c r="AG24" s="387">
        <v>12.0</v>
      </c>
      <c r="AH24" s="387">
        <v>12.0</v>
      </c>
      <c r="AI24" s="387">
        <v>12.0</v>
      </c>
      <c r="AJ24" s="395">
        <v>12.0</v>
      </c>
      <c r="AK24" s="395">
        <v>12.0</v>
      </c>
      <c r="AL24" s="396">
        <f t="shared" si="4"/>
        <v>30</v>
      </c>
      <c r="AM24" s="397">
        <f t="shared" si="5"/>
        <v>360</v>
      </c>
      <c r="AN24" s="372"/>
    </row>
    <row r="25" ht="14.25" customHeight="1">
      <c r="A25" s="381"/>
      <c r="B25" s="382" t="s">
        <v>78</v>
      </c>
      <c r="C25" s="383">
        <v>19.0</v>
      </c>
      <c r="D25" s="413" t="s">
        <v>78</v>
      </c>
      <c r="E25" s="383"/>
      <c r="F25" s="383"/>
      <c r="G25" s="414" t="s">
        <v>247</v>
      </c>
      <c r="H25" s="414" t="s">
        <v>248</v>
      </c>
      <c r="I25" s="414" t="s">
        <v>249</v>
      </c>
      <c r="J25" s="414" t="s">
        <v>250</v>
      </c>
      <c r="K25" s="414" t="s">
        <v>251</v>
      </c>
      <c r="L25" s="414" t="s">
        <v>252</v>
      </c>
      <c r="M25" s="414" t="s">
        <v>253</v>
      </c>
      <c r="N25" s="414" t="s">
        <v>247</v>
      </c>
      <c r="O25" s="414" t="s">
        <v>248</v>
      </c>
      <c r="P25" s="414" t="s">
        <v>249</v>
      </c>
      <c r="Q25" s="414" t="s">
        <v>250</v>
      </c>
      <c r="R25" s="414" t="s">
        <v>251</v>
      </c>
      <c r="S25" s="414" t="s">
        <v>252</v>
      </c>
      <c r="T25" s="414" t="s">
        <v>253</v>
      </c>
      <c r="U25" s="414" t="s">
        <v>247</v>
      </c>
      <c r="V25" s="414" t="s">
        <v>248</v>
      </c>
      <c r="W25" s="414" t="s">
        <v>249</v>
      </c>
      <c r="X25" s="414" t="s">
        <v>250</v>
      </c>
      <c r="Y25" s="414" t="s">
        <v>251</v>
      </c>
      <c r="Z25" s="414" t="s">
        <v>252</v>
      </c>
      <c r="AA25" s="414" t="s">
        <v>253</v>
      </c>
      <c r="AB25" s="414" t="s">
        <v>247</v>
      </c>
      <c r="AC25" s="414" t="s">
        <v>248</v>
      </c>
      <c r="AD25" s="414" t="s">
        <v>249</v>
      </c>
      <c r="AE25" s="414" t="s">
        <v>250</v>
      </c>
      <c r="AF25" s="414" t="s">
        <v>251</v>
      </c>
      <c r="AG25" s="414" t="s">
        <v>252</v>
      </c>
      <c r="AH25" s="414" t="s">
        <v>253</v>
      </c>
      <c r="AI25" s="414" t="s">
        <v>247</v>
      </c>
      <c r="AJ25" s="414" t="s">
        <v>248</v>
      </c>
      <c r="AK25" s="414" t="s">
        <v>249</v>
      </c>
      <c r="AL25" s="383"/>
      <c r="AM25" s="383"/>
      <c r="AN25" s="372"/>
    </row>
    <row r="26" ht="14.25" customHeight="1">
      <c r="A26" s="415">
        <v>1.0</v>
      </c>
      <c r="B26" s="398" t="s">
        <v>266</v>
      </c>
      <c r="C26" s="390">
        <v>1.0</v>
      </c>
      <c r="D26" s="402" t="s">
        <v>82</v>
      </c>
      <c r="E26" s="390" t="s">
        <v>102</v>
      </c>
      <c r="F26" s="416" t="s">
        <v>85</v>
      </c>
      <c r="G26" s="387"/>
      <c r="H26" s="395">
        <v>24.0</v>
      </c>
      <c r="I26" s="395"/>
      <c r="J26" s="387"/>
      <c r="K26" s="387">
        <v>24.0</v>
      </c>
      <c r="L26" s="387"/>
      <c r="M26" s="387"/>
      <c r="N26" s="387">
        <v>24.0</v>
      </c>
      <c r="O26" s="395"/>
      <c r="P26" s="417">
        <v>12.0</v>
      </c>
      <c r="Q26" s="387">
        <v>24.0</v>
      </c>
      <c r="R26" s="387"/>
      <c r="S26" s="401"/>
      <c r="T26" s="387"/>
      <c r="U26" s="387">
        <v>24.0</v>
      </c>
      <c r="V26" s="395"/>
      <c r="W26" s="395">
        <v>24.0</v>
      </c>
      <c r="X26" s="387"/>
      <c r="Y26" s="387"/>
      <c r="Z26" s="387"/>
      <c r="AA26" s="387">
        <v>24.0</v>
      </c>
      <c r="AB26" s="387"/>
      <c r="AC26" s="395">
        <v>24.0</v>
      </c>
      <c r="AD26" s="395"/>
      <c r="AE26" s="387">
        <v>24.0</v>
      </c>
      <c r="AF26" s="387"/>
      <c r="AG26" s="387">
        <v>24.0</v>
      </c>
      <c r="AH26" s="387"/>
      <c r="AI26" s="387"/>
      <c r="AJ26" s="395">
        <v>24.0</v>
      </c>
      <c r="AK26" s="395"/>
      <c r="AL26" s="396">
        <f t="shared" ref="AL26:AL45" si="6">COUNTA(G26:AK26)</f>
        <v>12</v>
      </c>
      <c r="AM26" s="397">
        <f t="shared" ref="AM26:AM45" si="7">SUM(G26:AK26)</f>
        <v>276</v>
      </c>
      <c r="AN26" s="372"/>
    </row>
    <row r="27" ht="14.25" customHeight="1">
      <c r="A27" s="415">
        <v>1.0</v>
      </c>
      <c r="B27" s="398" t="s">
        <v>86</v>
      </c>
      <c r="C27" s="390">
        <v>2.0</v>
      </c>
      <c r="D27" s="418" t="s">
        <v>267</v>
      </c>
      <c r="E27" s="390" t="s">
        <v>102</v>
      </c>
      <c r="F27" s="88"/>
      <c r="G27" s="387"/>
      <c r="H27" s="395"/>
      <c r="I27" s="395"/>
      <c r="J27" s="387"/>
      <c r="K27" s="387"/>
      <c r="L27" s="387"/>
      <c r="M27" s="387"/>
      <c r="N27" s="387"/>
      <c r="O27" s="395">
        <v>24.0</v>
      </c>
      <c r="P27" s="395"/>
      <c r="Q27" s="387"/>
      <c r="R27" s="387"/>
      <c r="S27" s="401"/>
      <c r="T27" s="387">
        <v>24.0</v>
      </c>
      <c r="U27" s="387"/>
      <c r="V27" s="395">
        <v>24.0</v>
      </c>
      <c r="W27" s="395"/>
      <c r="X27" s="387">
        <v>24.0</v>
      </c>
      <c r="Y27" s="387"/>
      <c r="Z27" s="387">
        <v>24.0</v>
      </c>
      <c r="AA27" s="387"/>
      <c r="AB27" s="387"/>
      <c r="AC27" s="395"/>
      <c r="AD27" s="395"/>
      <c r="AE27" s="387"/>
      <c r="AF27" s="387"/>
      <c r="AG27" s="387"/>
      <c r="AH27" s="387"/>
      <c r="AI27" s="387"/>
      <c r="AJ27" s="395"/>
      <c r="AK27" s="395"/>
      <c r="AL27" s="396">
        <f t="shared" si="6"/>
        <v>5</v>
      </c>
      <c r="AM27" s="397">
        <f t="shared" si="7"/>
        <v>120</v>
      </c>
      <c r="AN27" s="372"/>
    </row>
    <row r="28" ht="14.25" customHeight="1">
      <c r="A28" s="415">
        <v>1.0</v>
      </c>
      <c r="B28" s="398" t="s">
        <v>86</v>
      </c>
      <c r="C28" s="419">
        <v>3.0</v>
      </c>
      <c r="D28" s="418" t="s">
        <v>212</v>
      </c>
      <c r="E28" s="390" t="s">
        <v>102</v>
      </c>
      <c r="F28" s="88"/>
      <c r="G28" s="387"/>
      <c r="H28" s="395"/>
      <c r="I28" s="395"/>
      <c r="J28" s="387"/>
      <c r="K28" s="387"/>
      <c r="L28" s="387"/>
      <c r="M28" s="387"/>
      <c r="N28" s="387"/>
      <c r="O28" s="395"/>
      <c r="P28" s="395"/>
      <c r="Q28" s="387"/>
      <c r="R28" s="387"/>
      <c r="S28" s="401"/>
      <c r="T28" s="387"/>
      <c r="U28" s="387"/>
      <c r="V28" s="395"/>
      <c r="W28" s="395"/>
      <c r="X28" s="387"/>
      <c r="Y28" s="387"/>
      <c r="Z28" s="387"/>
      <c r="AA28" s="387"/>
      <c r="AB28" s="387"/>
      <c r="AC28" s="395"/>
      <c r="AD28" s="395"/>
      <c r="AE28" s="387"/>
      <c r="AF28" s="387"/>
      <c r="AG28" s="387"/>
      <c r="AH28" s="387">
        <v>24.0</v>
      </c>
      <c r="AI28" s="387"/>
      <c r="AJ28" s="395"/>
      <c r="AK28" s="395"/>
      <c r="AL28" s="396">
        <f t="shared" si="6"/>
        <v>1</v>
      </c>
      <c r="AM28" s="397">
        <f t="shared" si="7"/>
        <v>24</v>
      </c>
      <c r="AN28" s="372"/>
    </row>
    <row r="29" ht="14.25" customHeight="1">
      <c r="A29" s="415">
        <v>1.0</v>
      </c>
      <c r="B29" s="398" t="s">
        <v>86</v>
      </c>
      <c r="C29" s="390">
        <v>4.0</v>
      </c>
      <c r="D29" s="418" t="s">
        <v>100</v>
      </c>
      <c r="E29" s="390" t="s">
        <v>102</v>
      </c>
      <c r="F29" s="88"/>
      <c r="G29" s="387"/>
      <c r="H29" s="395"/>
      <c r="I29" s="395"/>
      <c r="J29" s="387"/>
      <c r="K29" s="387"/>
      <c r="L29" s="387"/>
      <c r="M29" s="387"/>
      <c r="N29" s="387"/>
      <c r="O29" s="395"/>
      <c r="P29" s="395"/>
      <c r="Q29" s="387"/>
      <c r="R29" s="387"/>
      <c r="S29" s="401"/>
      <c r="T29" s="387"/>
      <c r="U29" s="387"/>
      <c r="V29" s="395"/>
      <c r="W29" s="395"/>
      <c r="X29" s="387"/>
      <c r="Y29" s="387">
        <v>24.0</v>
      </c>
      <c r="Z29" s="387"/>
      <c r="AA29" s="387"/>
      <c r="AB29" s="387">
        <v>24.0</v>
      </c>
      <c r="AC29" s="395"/>
      <c r="AD29" s="395">
        <v>24.0</v>
      </c>
      <c r="AE29" s="387"/>
      <c r="AF29" s="387">
        <v>24.0</v>
      </c>
      <c r="AG29" s="387"/>
      <c r="AH29" s="387"/>
      <c r="AI29" s="387">
        <v>24.0</v>
      </c>
      <c r="AJ29" s="417"/>
      <c r="AK29" s="395">
        <v>24.0</v>
      </c>
      <c r="AL29" s="396">
        <f t="shared" si="6"/>
        <v>6</v>
      </c>
      <c r="AM29" s="397">
        <f t="shared" si="7"/>
        <v>144</v>
      </c>
      <c r="AN29" s="372"/>
    </row>
    <row r="30" ht="14.25" customHeight="1">
      <c r="A30" s="415">
        <v>1.0</v>
      </c>
      <c r="B30" s="398" t="s">
        <v>86</v>
      </c>
      <c r="C30" s="390">
        <v>5.0</v>
      </c>
      <c r="D30" s="418" t="s">
        <v>257</v>
      </c>
      <c r="E30" s="390" t="s">
        <v>102</v>
      </c>
      <c r="F30" s="88"/>
      <c r="G30" s="387"/>
      <c r="H30" s="395"/>
      <c r="I30" s="395"/>
      <c r="J30" s="387"/>
      <c r="K30" s="387"/>
      <c r="L30" s="387"/>
      <c r="M30" s="387"/>
      <c r="N30" s="387"/>
      <c r="O30" s="395"/>
      <c r="P30" s="417">
        <v>12.0</v>
      </c>
      <c r="Q30" s="387"/>
      <c r="R30" s="387">
        <v>24.0</v>
      </c>
      <c r="S30" s="401"/>
      <c r="T30" s="387"/>
      <c r="U30" s="387"/>
      <c r="V30" s="395"/>
      <c r="W30" s="395"/>
      <c r="X30" s="387"/>
      <c r="Y30" s="387"/>
      <c r="Z30" s="387"/>
      <c r="AA30" s="387"/>
      <c r="AB30" s="387"/>
      <c r="AC30" s="395"/>
      <c r="AD30" s="395"/>
      <c r="AE30" s="387"/>
      <c r="AF30" s="387"/>
      <c r="AG30" s="387"/>
      <c r="AH30" s="387"/>
      <c r="AI30" s="387"/>
      <c r="AJ30" s="395"/>
      <c r="AK30" s="395"/>
      <c r="AL30" s="396">
        <f t="shared" si="6"/>
        <v>2</v>
      </c>
      <c r="AM30" s="397">
        <f t="shared" si="7"/>
        <v>36</v>
      </c>
      <c r="AN30" s="372"/>
    </row>
    <row r="31" ht="14.25" customHeight="1">
      <c r="A31" s="415">
        <v>1.0</v>
      </c>
      <c r="B31" s="398" t="s">
        <v>86</v>
      </c>
      <c r="C31" s="419">
        <v>6.0</v>
      </c>
      <c r="D31" s="418" t="s">
        <v>268</v>
      </c>
      <c r="E31" s="390" t="s">
        <v>102</v>
      </c>
      <c r="F31" s="88"/>
      <c r="G31" s="387"/>
      <c r="H31" s="395"/>
      <c r="I31" s="395">
        <v>24.0</v>
      </c>
      <c r="J31" s="387"/>
      <c r="K31" s="387"/>
      <c r="L31" s="387">
        <v>24.0</v>
      </c>
      <c r="M31" s="387"/>
      <c r="N31" s="387"/>
      <c r="O31" s="395"/>
      <c r="P31" s="395"/>
      <c r="Q31" s="387"/>
      <c r="R31" s="387"/>
      <c r="S31" s="401"/>
      <c r="T31" s="387"/>
      <c r="U31" s="387"/>
      <c r="V31" s="395"/>
      <c r="W31" s="395"/>
      <c r="X31" s="387"/>
      <c r="Y31" s="387"/>
      <c r="Z31" s="387"/>
      <c r="AA31" s="387"/>
      <c r="AB31" s="387"/>
      <c r="AC31" s="395"/>
      <c r="AD31" s="395"/>
      <c r="AE31" s="387"/>
      <c r="AF31" s="387"/>
      <c r="AG31" s="387"/>
      <c r="AH31" s="387"/>
      <c r="AI31" s="387"/>
      <c r="AJ31" s="395"/>
      <c r="AK31" s="395"/>
      <c r="AL31" s="396">
        <f t="shared" si="6"/>
        <v>2</v>
      </c>
      <c r="AM31" s="397">
        <f t="shared" si="7"/>
        <v>48</v>
      </c>
      <c r="AN31" s="372"/>
    </row>
    <row r="32" ht="14.25" customHeight="1">
      <c r="A32" s="415">
        <v>1.0</v>
      </c>
      <c r="B32" s="398" t="s">
        <v>86</v>
      </c>
      <c r="C32" s="390">
        <v>7.0</v>
      </c>
      <c r="D32" s="402" t="s">
        <v>198</v>
      </c>
      <c r="E32" s="390" t="s">
        <v>102</v>
      </c>
      <c r="F32" s="88"/>
      <c r="G32" s="387">
        <v>24.0</v>
      </c>
      <c r="H32" s="395"/>
      <c r="I32" s="395"/>
      <c r="J32" s="387">
        <v>24.0</v>
      </c>
      <c r="K32" s="387"/>
      <c r="L32" s="387"/>
      <c r="M32" s="387">
        <v>24.0</v>
      </c>
      <c r="N32" s="387"/>
      <c r="O32" s="395"/>
      <c r="P32" s="395"/>
      <c r="Q32" s="387"/>
      <c r="R32" s="387"/>
      <c r="S32" s="401"/>
      <c r="T32" s="387"/>
      <c r="U32" s="387"/>
      <c r="V32" s="395"/>
      <c r="W32" s="395"/>
      <c r="X32" s="387"/>
      <c r="Y32" s="387"/>
      <c r="Z32" s="387"/>
      <c r="AA32" s="387"/>
      <c r="AB32" s="387"/>
      <c r="AC32" s="395"/>
      <c r="AD32" s="395"/>
      <c r="AE32" s="387"/>
      <c r="AF32" s="387"/>
      <c r="AG32" s="387"/>
      <c r="AH32" s="387"/>
      <c r="AI32" s="387"/>
      <c r="AJ32" s="395"/>
      <c r="AK32" s="395"/>
      <c r="AL32" s="396">
        <f t="shared" si="6"/>
        <v>3</v>
      </c>
      <c r="AM32" s="397">
        <f t="shared" si="7"/>
        <v>72</v>
      </c>
      <c r="AN32" s="372"/>
    </row>
    <row r="33" ht="14.25" customHeight="1">
      <c r="A33" s="415">
        <v>1.0</v>
      </c>
      <c r="B33" s="398" t="s">
        <v>95</v>
      </c>
      <c r="C33" s="390">
        <v>8.0</v>
      </c>
      <c r="D33" s="418" t="s">
        <v>97</v>
      </c>
      <c r="E33" s="390" t="s">
        <v>102</v>
      </c>
      <c r="F33" s="88"/>
      <c r="G33" s="387">
        <v>24.0</v>
      </c>
      <c r="H33" s="395"/>
      <c r="I33" s="395"/>
      <c r="J33" s="387">
        <v>24.0</v>
      </c>
      <c r="K33" s="387"/>
      <c r="L33" s="387"/>
      <c r="M33" s="387">
        <v>24.0</v>
      </c>
      <c r="N33" s="387"/>
      <c r="O33" s="395"/>
      <c r="P33" s="395"/>
      <c r="Q33" s="387">
        <v>24.0</v>
      </c>
      <c r="R33" s="387"/>
      <c r="S33" s="401"/>
      <c r="T33" s="387"/>
      <c r="U33" s="387"/>
      <c r="V33" s="395"/>
      <c r="W33" s="395">
        <v>17.0</v>
      </c>
      <c r="X33" s="387"/>
      <c r="Y33" s="387"/>
      <c r="Z33" s="387"/>
      <c r="AA33" s="387"/>
      <c r="AB33" s="387"/>
      <c r="AC33" s="395">
        <v>24.0</v>
      </c>
      <c r="AD33" s="395"/>
      <c r="AE33" s="387"/>
      <c r="AF33" s="387">
        <v>24.0</v>
      </c>
      <c r="AG33" s="387"/>
      <c r="AH33" s="387">
        <v>24.0</v>
      </c>
      <c r="AI33" s="387"/>
      <c r="AJ33" s="395">
        <v>17.0</v>
      </c>
      <c r="AK33" s="395">
        <v>24.0</v>
      </c>
      <c r="AL33" s="396">
        <f t="shared" si="6"/>
        <v>10</v>
      </c>
      <c r="AM33" s="397">
        <f t="shared" si="7"/>
        <v>226</v>
      </c>
      <c r="AN33" s="372"/>
    </row>
    <row r="34" ht="14.25" customHeight="1">
      <c r="A34" s="415">
        <v>1.0</v>
      </c>
      <c r="B34" s="420" t="s">
        <v>95</v>
      </c>
      <c r="C34" s="421">
        <v>9.0</v>
      </c>
      <c r="D34" s="422" t="s">
        <v>63</v>
      </c>
      <c r="E34" s="423" t="s">
        <v>102</v>
      </c>
      <c r="F34" s="88"/>
      <c r="G34" s="387"/>
      <c r="H34" s="395"/>
      <c r="I34" s="395"/>
      <c r="J34" s="387"/>
      <c r="K34" s="387"/>
      <c r="L34" s="387"/>
      <c r="M34" s="387"/>
      <c r="N34" s="387"/>
      <c r="O34" s="395"/>
      <c r="P34" s="395"/>
      <c r="Q34" s="387"/>
      <c r="R34" s="387"/>
      <c r="S34" s="401"/>
      <c r="T34" s="387"/>
      <c r="U34" s="387"/>
      <c r="V34" s="395"/>
      <c r="W34" s="395"/>
      <c r="X34" s="387"/>
      <c r="Y34" s="387"/>
      <c r="Z34" s="387"/>
      <c r="AA34" s="387"/>
      <c r="AB34" s="387"/>
      <c r="AC34" s="395"/>
      <c r="AD34" s="395"/>
      <c r="AE34" s="387"/>
      <c r="AF34" s="387"/>
      <c r="AG34" s="387"/>
      <c r="AH34" s="387"/>
      <c r="AI34" s="387"/>
      <c r="AJ34" s="395"/>
      <c r="AK34" s="395"/>
      <c r="AL34" s="396">
        <f t="shared" si="6"/>
        <v>0</v>
      </c>
      <c r="AM34" s="397">
        <f t="shared" si="7"/>
        <v>0</v>
      </c>
      <c r="AN34" s="372"/>
    </row>
    <row r="35" ht="14.25" customHeight="1">
      <c r="A35" s="415">
        <v>1.0</v>
      </c>
      <c r="B35" s="424" t="s">
        <v>95</v>
      </c>
      <c r="C35" s="390">
        <v>10.0</v>
      </c>
      <c r="D35" s="418" t="s">
        <v>106</v>
      </c>
      <c r="E35" s="390" t="s">
        <v>269</v>
      </c>
      <c r="F35" s="88"/>
      <c r="G35" s="387"/>
      <c r="H35" s="395"/>
      <c r="I35" s="395">
        <v>24.0</v>
      </c>
      <c r="J35" s="387"/>
      <c r="K35" s="387"/>
      <c r="L35" s="387">
        <v>24.0</v>
      </c>
      <c r="M35" s="387"/>
      <c r="N35" s="387"/>
      <c r="O35" s="395">
        <v>24.0</v>
      </c>
      <c r="P35" s="395"/>
      <c r="Q35" s="387"/>
      <c r="R35" s="387"/>
      <c r="S35" s="401"/>
      <c r="T35" s="387">
        <v>24.0</v>
      </c>
      <c r="U35" s="387"/>
      <c r="V35" s="395"/>
      <c r="W35" s="395"/>
      <c r="X35" s="387"/>
      <c r="Y35" s="387"/>
      <c r="Z35" s="387"/>
      <c r="AA35" s="387"/>
      <c r="AB35" s="387"/>
      <c r="AC35" s="395"/>
      <c r="AD35" s="395"/>
      <c r="AE35" s="387"/>
      <c r="AF35" s="387"/>
      <c r="AG35" s="387"/>
      <c r="AH35" s="387"/>
      <c r="AI35" s="387"/>
      <c r="AJ35" s="395"/>
      <c r="AK35" s="395"/>
      <c r="AL35" s="396">
        <f t="shared" si="6"/>
        <v>4</v>
      </c>
      <c r="AM35" s="397">
        <f t="shared" si="7"/>
        <v>96</v>
      </c>
      <c r="AN35" s="372" t="s">
        <v>207</v>
      </c>
    </row>
    <row r="36" ht="14.25" customHeight="1">
      <c r="A36" s="415">
        <v>1.0</v>
      </c>
      <c r="B36" s="398" t="s">
        <v>95</v>
      </c>
      <c r="C36" s="390">
        <v>11.0</v>
      </c>
      <c r="D36" s="418" t="s">
        <v>100</v>
      </c>
      <c r="E36" s="390" t="s">
        <v>102</v>
      </c>
      <c r="F36" s="17"/>
      <c r="G36" s="387"/>
      <c r="H36" s="395">
        <v>24.0</v>
      </c>
      <c r="I36" s="395"/>
      <c r="J36" s="387"/>
      <c r="K36" s="387">
        <v>24.0</v>
      </c>
      <c r="L36" s="387"/>
      <c r="M36" s="387"/>
      <c r="N36" s="387">
        <v>24.0</v>
      </c>
      <c r="O36" s="395"/>
      <c r="P36" s="395">
        <v>24.0</v>
      </c>
      <c r="Q36" s="387"/>
      <c r="R36" s="387">
        <v>24.0</v>
      </c>
      <c r="S36" s="401"/>
      <c r="T36" s="387"/>
      <c r="U36" s="387">
        <v>24.0</v>
      </c>
      <c r="V36" s="395"/>
      <c r="W36" s="395">
        <v>24.0</v>
      </c>
      <c r="X36" s="387"/>
      <c r="Y36" s="387">
        <v>12.0</v>
      </c>
      <c r="Z36" s="387"/>
      <c r="AA36" s="387"/>
      <c r="AB36" s="387"/>
      <c r="AC36" s="395"/>
      <c r="AD36" s="395"/>
      <c r="AE36" s="387"/>
      <c r="AF36" s="387"/>
      <c r="AG36" s="387"/>
      <c r="AH36" s="387"/>
      <c r="AI36" s="387">
        <v>17.0</v>
      </c>
      <c r="AJ36" s="395"/>
      <c r="AK36" s="395"/>
      <c r="AL36" s="396">
        <f t="shared" si="6"/>
        <v>9</v>
      </c>
      <c r="AM36" s="397">
        <f t="shared" si="7"/>
        <v>197</v>
      </c>
      <c r="AN36" s="372" t="s">
        <v>207</v>
      </c>
    </row>
    <row r="37" ht="14.25" customHeight="1">
      <c r="A37" s="415">
        <v>1.0</v>
      </c>
      <c r="B37" s="427" t="s">
        <v>184</v>
      </c>
      <c r="C37" s="419">
        <v>12.0</v>
      </c>
      <c r="D37" s="428" t="s">
        <v>242</v>
      </c>
      <c r="E37" s="429" t="s">
        <v>105</v>
      </c>
      <c r="F37" s="430">
        <v>0.4</v>
      </c>
      <c r="G37" s="431"/>
      <c r="H37" s="417"/>
      <c r="I37" s="417"/>
      <c r="J37" s="431"/>
      <c r="K37" s="431"/>
      <c r="L37" s="431"/>
      <c r="M37" s="431"/>
      <c r="N37" s="431"/>
      <c r="O37" s="417"/>
      <c r="P37" s="417"/>
      <c r="Q37" s="431"/>
      <c r="R37" s="431"/>
      <c r="S37" s="432"/>
      <c r="T37" s="431"/>
      <c r="U37" s="431"/>
      <c r="V37" s="395">
        <v>24.0</v>
      </c>
      <c r="W37" s="395"/>
      <c r="X37" s="387"/>
      <c r="Y37" s="387"/>
      <c r="Z37" s="387"/>
      <c r="AA37" s="387"/>
      <c r="AB37" s="387"/>
      <c r="AC37" s="395"/>
      <c r="AD37" s="395"/>
      <c r="AE37" s="387">
        <v>24.0</v>
      </c>
      <c r="AF37" s="387"/>
      <c r="AG37" s="387"/>
      <c r="AH37" s="387"/>
      <c r="AI37" s="387"/>
      <c r="AJ37" s="395">
        <v>17.0</v>
      </c>
      <c r="AK37" s="395">
        <v>17.0</v>
      </c>
      <c r="AL37" s="396">
        <f t="shared" si="6"/>
        <v>4</v>
      </c>
      <c r="AM37" s="397">
        <f t="shared" si="7"/>
        <v>82</v>
      </c>
      <c r="AN37" s="372" t="s">
        <v>207</v>
      </c>
    </row>
    <row r="38" ht="14.25" customHeight="1">
      <c r="A38" s="415">
        <v>1.0</v>
      </c>
      <c r="B38" s="433" t="s">
        <v>184</v>
      </c>
      <c r="C38" s="390">
        <v>13.0</v>
      </c>
      <c r="D38" s="428" t="s">
        <v>63</v>
      </c>
      <c r="E38" s="423" t="s">
        <v>105</v>
      </c>
      <c r="F38" s="430">
        <v>0.4</v>
      </c>
      <c r="G38" s="431"/>
      <c r="H38" s="417"/>
      <c r="I38" s="417"/>
      <c r="J38" s="431"/>
      <c r="K38" s="431"/>
      <c r="L38" s="431"/>
      <c r="M38" s="431"/>
      <c r="N38" s="431"/>
      <c r="O38" s="417"/>
      <c r="P38" s="417"/>
      <c r="Q38" s="431"/>
      <c r="R38" s="431"/>
      <c r="S38" s="432"/>
      <c r="T38" s="431"/>
      <c r="U38" s="431"/>
      <c r="V38" s="417"/>
      <c r="W38" s="417"/>
      <c r="X38" s="431"/>
      <c r="Y38" s="431"/>
      <c r="Z38" s="431"/>
      <c r="AA38" s="431"/>
      <c r="AB38" s="431"/>
      <c r="AC38" s="417"/>
      <c r="AD38" s="417"/>
      <c r="AE38" s="431"/>
      <c r="AF38" s="431"/>
      <c r="AG38" s="431"/>
      <c r="AH38" s="431"/>
      <c r="AI38" s="431"/>
      <c r="AJ38" s="417"/>
      <c r="AK38" s="417"/>
      <c r="AL38" s="396">
        <f t="shared" si="6"/>
        <v>0</v>
      </c>
      <c r="AM38" s="397">
        <f t="shared" si="7"/>
        <v>0</v>
      </c>
      <c r="AN38" s="372" t="s">
        <v>207</v>
      </c>
    </row>
    <row r="39" ht="19.5" customHeight="1">
      <c r="A39" s="415">
        <v>1.0</v>
      </c>
      <c r="B39" s="399" t="s">
        <v>109</v>
      </c>
      <c r="C39" s="390">
        <v>14.0</v>
      </c>
      <c r="D39" s="434" t="s">
        <v>131</v>
      </c>
      <c r="E39" s="390" t="s">
        <v>111</v>
      </c>
      <c r="F39" s="435" t="s">
        <v>26</v>
      </c>
      <c r="G39" s="387">
        <v>12.0</v>
      </c>
      <c r="H39" s="395">
        <v>18.0</v>
      </c>
      <c r="I39" s="395">
        <v>18.0</v>
      </c>
      <c r="J39" s="387">
        <v>18.0</v>
      </c>
      <c r="K39" s="387">
        <v>12.0</v>
      </c>
      <c r="L39" s="387">
        <v>12.0</v>
      </c>
      <c r="M39" s="387">
        <v>12.0</v>
      </c>
      <c r="N39" s="387">
        <v>12.0</v>
      </c>
      <c r="O39" s="395">
        <v>18.0</v>
      </c>
      <c r="P39" s="395">
        <v>18.0</v>
      </c>
      <c r="Q39" s="387">
        <v>18.0</v>
      </c>
      <c r="R39" s="387">
        <v>18.0</v>
      </c>
      <c r="S39" s="401"/>
      <c r="T39" s="387">
        <v>12.0</v>
      </c>
      <c r="U39" s="387">
        <v>12.0</v>
      </c>
      <c r="V39" s="395">
        <v>12.0</v>
      </c>
      <c r="W39" s="395">
        <v>12.0</v>
      </c>
      <c r="X39" s="387">
        <v>12.0</v>
      </c>
      <c r="Y39" s="387">
        <v>12.0</v>
      </c>
      <c r="Z39" s="387">
        <v>12.0</v>
      </c>
      <c r="AA39" s="387">
        <v>12.0</v>
      </c>
      <c r="AB39" s="387"/>
      <c r="AC39" s="395"/>
      <c r="AD39" s="395"/>
      <c r="AE39" s="387"/>
      <c r="AF39" s="387"/>
      <c r="AG39" s="387"/>
      <c r="AH39" s="387"/>
      <c r="AI39" s="387"/>
      <c r="AJ39" s="395"/>
      <c r="AK39" s="395"/>
      <c r="AL39" s="396">
        <f t="shared" si="6"/>
        <v>20</v>
      </c>
      <c r="AM39" s="397">
        <f t="shared" si="7"/>
        <v>282</v>
      </c>
      <c r="AN39" s="372" t="s">
        <v>207</v>
      </c>
    </row>
    <row r="40" ht="24.0" customHeight="1">
      <c r="A40" s="415">
        <v>1.0</v>
      </c>
      <c r="B40" s="398" t="s">
        <v>135</v>
      </c>
      <c r="C40" s="419">
        <v>15.0</v>
      </c>
      <c r="D40" s="418" t="s">
        <v>228</v>
      </c>
      <c r="E40" s="390" t="s">
        <v>111</v>
      </c>
      <c r="F40" s="435" t="s">
        <v>26</v>
      </c>
      <c r="G40" s="387"/>
      <c r="H40" s="395"/>
      <c r="I40" s="395"/>
      <c r="J40" s="387"/>
      <c r="K40" s="387">
        <v>12.0</v>
      </c>
      <c r="L40" s="387">
        <v>12.0</v>
      </c>
      <c r="M40" s="387">
        <v>12.0</v>
      </c>
      <c r="N40" s="387">
        <v>12.0</v>
      </c>
      <c r="O40" s="395">
        <v>12.0</v>
      </c>
      <c r="P40" s="395">
        <v>12.0</v>
      </c>
      <c r="Q40" s="387"/>
      <c r="R40" s="387">
        <v>12.0</v>
      </c>
      <c r="S40" s="401"/>
      <c r="T40" s="387"/>
      <c r="U40" s="387">
        <v>12.0</v>
      </c>
      <c r="V40" s="395">
        <v>12.0</v>
      </c>
      <c r="W40" s="395">
        <v>12.0</v>
      </c>
      <c r="X40" s="387">
        <v>12.0</v>
      </c>
      <c r="Y40" s="387">
        <v>12.0</v>
      </c>
      <c r="Z40" s="387"/>
      <c r="AA40" s="387">
        <v>12.0</v>
      </c>
      <c r="AB40" s="387"/>
      <c r="AC40" s="395">
        <v>12.0</v>
      </c>
      <c r="AD40" s="395"/>
      <c r="AE40" s="387">
        <v>12.0</v>
      </c>
      <c r="AF40" s="387">
        <v>12.0</v>
      </c>
      <c r="AG40" s="387">
        <v>12.0</v>
      </c>
      <c r="AH40" s="387"/>
      <c r="AI40" s="387">
        <v>12.0</v>
      </c>
      <c r="AJ40" s="395">
        <v>12.0</v>
      </c>
      <c r="AK40" s="395">
        <v>12.0</v>
      </c>
      <c r="AL40" s="396">
        <f t="shared" si="6"/>
        <v>20</v>
      </c>
      <c r="AM40" s="397">
        <f t="shared" si="7"/>
        <v>240</v>
      </c>
      <c r="AN40" s="372" t="s">
        <v>207</v>
      </c>
    </row>
    <row r="41" ht="24.0" customHeight="1">
      <c r="A41" s="415">
        <v>1.0</v>
      </c>
      <c r="B41" s="398" t="s">
        <v>135</v>
      </c>
      <c r="C41" s="390">
        <v>16.0</v>
      </c>
      <c r="D41" s="418" t="s">
        <v>270</v>
      </c>
      <c r="E41" s="390" t="s">
        <v>73</v>
      </c>
      <c r="F41" s="436" t="s">
        <v>26</v>
      </c>
      <c r="G41" s="387"/>
      <c r="H41" s="395"/>
      <c r="I41" s="395"/>
      <c r="J41" s="387"/>
      <c r="K41" s="387">
        <v>12.0</v>
      </c>
      <c r="L41" s="387">
        <v>12.0</v>
      </c>
      <c r="M41" s="387">
        <v>12.0</v>
      </c>
      <c r="N41" s="387">
        <v>12.0</v>
      </c>
      <c r="O41" s="395">
        <v>12.0</v>
      </c>
      <c r="P41" s="395">
        <v>12.0</v>
      </c>
      <c r="Q41" s="387"/>
      <c r="R41" s="387">
        <v>12.0</v>
      </c>
      <c r="S41" s="401"/>
      <c r="T41" s="387"/>
      <c r="U41" s="387">
        <v>12.0</v>
      </c>
      <c r="V41" s="395">
        <v>12.0</v>
      </c>
      <c r="W41" s="395">
        <v>12.0</v>
      </c>
      <c r="X41" s="387">
        <v>12.0</v>
      </c>
      <c r="Y41" s="387">
        <v>12.0</v>
      </c>
      <c r="Z41" s="387">
        <v>12.0</v>
      </c>
      <c r="AA41" s="387">
        <v>12.0</v>
      </c>
      <c r="AB41" s="387"/>
      <c r="AC41" s="395">
        <v>12.0</v>
      </c>
      <c r="AD41" s="395">
        <v>12.0</v>
      </c>
      <c r="AE41" s="387">
        <v>12.0</v>
      </c>
      <c r="AF41" s="387">
        <v>12.0</v>
      </c>
      <c r="AG41" s="387">
        <v>12.0</v>
      </c>
      <c r="AH41" s="387"/>
      <c r="AI41" s="387">
        <v>12.0</v>
      </c>
      <c r="AJ41" s="395">
        <v>12.0</v>
      </c>
      <c r="AK41" s="395">
        <v>12.0</v>
      </c>
      <c r="AL41" s="396">
        <f t="shared" si="6"/>
        <v>22</v>
      </c>
      <c r="AM41" s="397">
        <f t="shared" si="7"/>
        <v>264</v>
      </c>
      <c r="AN41" s="372" t="s">
        <v>207</v>
      </c>
    </row>
    <row r="42" ht="29.25" customHeight="1">
      <c r="A42" s="437">
        <v>1.0</v>
      </c>
      <c r="B42" s="438" t="s">
        <v>142</v>
      </c>
      <c r="C42" s="421">
        <v>17.0</v>
      </c>
      <c r="D42" s="422" t="s">
        <v>63</v>
      </c>
      <c r="E42" s="421" t="s">
        <v>125</v>
      </c>
      <c r="F42" s="416"/>
      <c r="G42" s="387"/>
      <c r="H42" s="395"/>
      <c r="I42" s="395"/>
      <c r="J42" s="387"/>
      <c r="K42" s="387"/>
      <c r="L42" s="387"/>
      <c r="M42" s="387"/>
      <c r="N42" s="387"/>
      <c r="O42" s="395"/>
      <c r="P42" s="395"/>
      <c r="Q42" s="387"/>
      <c r="R42" s="387"/>
      <c r="S42" s="401"/>
      <c r="T42" s="387"/>
      <c r="U42" s="387"/>
      <c r="V42" s="395"/>
      <c r="W42" s="395"/>
      <c r="X42" s="387"/>
      <c r="Y42" s="387"/>
      <c r="Z42" s="387"/>
      <c r="AA42" s="387"/>
      <c r="AB42" s="387"/>
      <c r="AC42" s="395"/>
      <c r="AD42" s="395"/>
      <c r="AE42" s="387"/>
      <c r="AF42" s="387"/>
      <c r="AG42" s="387"/>
      <c r="AH42" s="387"/>
      <c r="AI42" s="387"/>
      <c r="AJ42" s="395"/>
      <c r="AK42" s="395"/>
      <c r="AL42" s="396">
        <f t="shared" si="6"/>
        <v>0</v>
      </c>
      <c r="AM42" s="397">
        <f t="shared" si="7"/>
        <v>0</v>
      </c>
      <c r="AN42" s="372" t="s">
        <v>207</v>
      </c>
    </row>
    <row r="43" ht="30.75" customHeight="1">
      <c r="A43" s="17"/>
      <c r="B43" s="17"/>
      <c r="C43" s="17"/>
      <c r="D43" s="17"/>
      <c r="E43" s="423" t="s">
        <v>127</v>
      </c>
      <c r="F43" s="17"/>
      <c r="G43" s="387"/>
      <c r="H43" s="395"/>
      <c r="I43" s="395"/>
      <c r="J43" s="387"/>
      <c r="K43" s="387"/>
      <c r="L43" s="387"/>
      <c r="M43" s="387"/>
      <c r="N43" s="387"/>
      <c r="O43" s="395"/>
      <c r="P43" s="395"/>
      <c r="Q43" s="387"/>
      <c r="R43" s="387"/>
      <c r="S43" s="401"/>
      <c r="T43" s="387"/>
      <c r="U43" s="387"/>
      <c r="V43" s="395"/>
      <c r="W43" s="395"/>
      <c r="X43" s="387"/>
      <c r="Y43" s="387"/>
      <c r="Z43" s="387"/>
      <c r="AA43" s="387"/>
      <c r="AB43" s="387"/>
      <c r="AC43" s="395"/>
      <c r="AD43" s="395"/>
      <c r="AE43" s="387"/>
      <c r="AF43" s="387"/>
      <c r="AG43" s="387"/>
      <c r="AH43" s="387"/>
      <c r="AI43" s="387"/>
      <c r="AJ43" s="395"/>
      <c r="AK43" s="395"/>
      <c r="AL43" s="396">
        <f t="shared" si="6"/>
        <v>0</v>
      </c>
      <c r="AM43" s="397">
        <f t="shared" si="7"/>
        <v>0</v>
      </c>
      <c r="AN43" s="372" t="s">
        <v>207</v>
      </c>
    </row>
    <row r="44" ht="24.75" customHeight="1">
      <c r="A44" s="415">
        <v>1.0</v>
      </c>
      <c r="B44" s="398" t="s">
        <v>144</v>
      </c>
      <c r="C44" s="390">
        <v>18.0</v>
      </c>
      <c r="D44" s="434" t="s">
        <v>188</v>
      </c>
      <c r="E44" s="390" t="s">
        <v>133</v>
      </c>
      <c r="F44" s="436" t="s">
        <v>26</v>
      </c>
      <c r="G44" s="387"/>
      <c r="H44" s="395"/>
      <c r="I44" s="395"/>
      <c r="J44" s="387"/>
      <c r="K44" s="387"/>
      <c r="L44" s="387"/>
      <c r="M44" s="387"/>
      <c r="N44" s="387"/>
      <c r="O44" s="395"/>
      <c r="P44" s="395"/>
      <c r="Q44" s="387"/>
      <c r="R44" s="387"/>
      <c r="S44" s="401"/>
      <c r="T44" s="387"/>
      <c r="U44" s="387"/>
      <c r="V44" s="395"/>
      <c r="W44" s="395"/>
      <c r="X44" s="387"/>
      <c r="Y44" s="387"/>
      <c r="Z44" s="387"/>
      <c r="AA44" s="387"/>
      <c r="AB44" s="387"/>
      <c r="AC44" s="395"/>
      <c r="AD44" s="395"/>
      <c r="AE44" s="387"/>
      <c r="AF44" s="387"/>
      <c r="AG44" s="387"/>
      <c r="AH44" s="387"/>
      <c r="AI44" s="387"/>
      <c r="AJ44" s="395"/>
      <c r="AK44" s="395"/>
      <c r="AL44" s="396">
        <f t="shared" si="6"/>
        <v>0</v>
      </c>
      <c r="AM44" s="397">
        <f t="shared" si="7"/>
        <v>0</v>
      </c>
      <c r="AN44" s="372" t="s">
        <v>207</v>
      </c>
    </row>
    <row r="45" ht="28.5" customHeight="1">
      <c r="A45" s="415">
        <v>1.0</v>
      </c>
      <c r="B45" s="398" t="s">
        <v>136</v>
      </c>
      <c r="C45" s="390">
        <v>19.0</v>
      </c>
      <c r="D45" s="434" t="s">
        <v>145</v>
      </c>
      <c r="E45" s="389" t="s">
        <v>138</v>
      </c>
      <c r="F45" s="391" t="s">
        <v>26</v>
      </c>
      <c r="G45" s="387">
        <v>11.0</v>
      </c>
      <c r="H45" s="395">
        <v>11.0</v>
      </c>
      <c r="I45" s="395">
        <v>11.0</v>
      </c>
      <c r="J45" s="387">
        <v>11.0</v>
      </c>
      <c r="K45" s="387">
        <v>11.0</v>
      </c>
      <c r="L45" s="387">
        <v>11.0</v>
      </c>
      <c r="M45" s="387"/>
      <c r="N45" s="387">
        <v>11.0</v>
      </c>
      <c r="O45" s="395">
        <v>11.0</v>
      </c>
      <c r="P45" s="395">
        <v>11.0</v>
      </c>
      <c r="Q45" s="387">
        <v>11.0</v>
      </c>
      <c r="R45" s="387">
        <v>11.0</v>
      </c>
      <c r="S45" s="401"/>
      <c r="T45" s="387"/>
      <c r="U45" s="387">
        <v>11.0</v>
      </c>
      <c r="V45" s="395">
        <v>11.0</v>
      </c>
      <c r="W45" s="395">
        <v>11.0</v>
      </c>
      <c r="X45" s="387">
        <v>11.0</v>
      </c>
      <c r="Y45" s="387">
        <v>11.0</v>
      </c>
      <c r="Z45" s="387">
        <v>11.0</v>
      </c>
      <c r="AA45" s="387"/>
      <c r="AB45" s="387">
        <v>11.0</v>
      </c>
      <c r="AC45" s="395">
        <v>11.0</v>
      </c>
      <c r="AD45" s="395">
        <v>11.0</v>
      </c>
      <c r="AE45" s="387">
        <v>11.0</v>
      </c>
      <c r="AF45" s="387">
        <v>11.0</v>
      </c>
      <c r="AG45" s="387">
        <v>11.0</v>
      </c>
      <c r="AH45" s="387"/>
      <c r="AI45" s="387">
        <v>11.0</v>
      </c>
      <c r="AJ45" s="395">
        <v>11.0</v>
      </c>
      <c r="AK45" s="395">
        <v>11.0</v>
      </c>
      <c r="AL45" s="396">
        <f t="shared" si="6"/>
        <v>26</v>
      </c>
      <c r="AM45" s="397">
        <f t="shared" si="7"/>
        <v>286</v>
      </c>
      <c r="AN45" s="372" t="s">
        <v>207</v>
      </c>
    </row>
    <row r="46" ht="14.25" customHeight="1">
      <c r="A46" s="383"/>
      <c r="B46" s="382" t="s">
        <v>140</v>
      </c>
      <c r="C46" s="383">
        <v>4.0</v>
      </c>
      <c r="D46" s="382" t="s">
        <v>140</v>
      </c>
      <c r="E46" s="383"/>
      <c r="F46" s="383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3"/>
      <c r="W46" s="383"/>
      <c r="X46" s="405"/>
      <c r="Y46" s="405"/>
      <c r="Z46" s="405"/>
      <c r="AA46" s="405"/>
      <c r="AB46" s="405"/>
      <c r="AC46" s="405"/>
      <c r="AD46" s="405"/>
      <c r="AE46" s="405"/>
      <c r="AF46" s="405"/>
      <c r="AG46" s="405"/>
      <c r="AH46" s="405"/>
      <c r="AI46" s="405"/>
      <c r="AJ46" s="405"/>
      <c r="AK46" s="405"/>
      <c r="AL46" s="383"/>
      <c r="AM46" s="406"/>
      <c r="AN46" s="372"/>
    </row>
    <row r="47" ht="14.25" customHeight="1">
      <c r="A47" s="415">
        <v>1.0</v>
      </c>
      <c r="B47" s="398" t="s">
        <v>140</v>
      </c>
      <c r="C47" s="390">
        <v>1.0</v>
      </c>
      <c r="D47" s="434" t="s">
        <v>271</v>
      </c>
      <c r="E47" s="439" t="s">
        <v>51</v>
      </c>
      <c r="F47" s="391" t="s">
        <v>85</v>
      </c>
      <c r="G47" s="387"/>
      <c r="H47" s="395"/>
      <c r="I47" s="395">
        <v>24.0</v>
      </c>
      <c r="J47" s="387"/>
      <c r="K47" s="387"/>
      <c r="L47" s="387">
        <v>24.0</v>
      </c>
      <c r="M47" s="387"/>
      <c r="N47" s="387"/>
      <c r="O47" s="395">
        <v>24.0</v>
      </c>
      <c r="P47" s="395"/>
      <c r="Q47" s="387"/>
      <c r="R47" s="387"/>
      <c r="S47" s="401"/>
      <c r="T47" s="387"/>
      <c r="U47" s="387"/>
      <c r="V47" s="395"/>
      <c r="W47" s="395"/>
      <c r="X47" s="387"/>
      <c r="Y47" s="387"/>
      <c r="Z47" s="387"/>
      <c r="AA47" s="387"/>
      <c r="AB47" s="387"/>
      <c r="AC47" s="395"/>
      <c r="AD47" s="395"/>
      <c r="AE47" s="387"/>
      <c r="AF47" s="387"/>
      <c r="AG47" s="387"/>
      <c r="AH47" s="387"/>
      <c r="AI47" s="387"/>
      <c r="AJ47" s="395"/>
      <c r="AK47" s="395"/>
      <c r="AL47" s="396">
        <f t="shared" ref="AL47:AL50" si="8">COUNTA(G47:AK47)</f>
        <v>3</v>
      </c>
      <c r="AM47" s="397">
        <v>240.0</v>
      </c>
      <c r="AN47" s="372"/>
    </row>
    <row r="48" ht="14.25" customHeight="1">
      <c r="A48" s="415">
        <v>1.0</v>
      </c>
      <c r="B48" s="398" t="s">
        <v>140</v>
      </c>
      <c r="C48" s="390">
        <v>2.0</v>
      </c>
      <c r="D48" s="434" t="s">
        <v>145</v>
      </c>
      <c r="E48" s="439" t="s">
        <v>51</v>
      </c>
      <c r="F48" s="391" t="s">
        <v>85</v>
      </c>
      <c r="G48" s="387"/>
      <c r="H48" s="395">
        <v>24.0</v>
      </c>
      <c r="I48" s="395"/>
      <c r="J48" s="387"/>
      <c r="K48" s="387">
        <v>24.0</v>
      </c>
      <c r="L48" s="387"/>
      <c r="M48" s="387"/>
      <c r="N48" s="387">
        <v>24.0</v>
      </c>
      <c r="O48" s="395"/>
      <c r="P48" s="395"/>
      <c r="Q48" s="387">
        <v>24.0</v>
      </c>
      <c r="R48" s="387"/>
      <c r="S48" s="401"/>
      <c r="T48" s="387">
        <v>24.0</v>
      </c>
      <c r="U48" s="387"/>
      <c r="V48" s="395"/>
      <c r="W48" s="395">
        <v>24.0</v>
      </c>
      <c r="X48" s="387"/>
      <c r="Y48" s="387"/>
      <c r="Z48" s="387">
        <v>24.0</v>
      </c>
      <c r="AA48" s="387"/>
      <c r="AB48" s="387"/>
      <c r="AC48" s="395">
        <v>24.0</v>
      </c>
      <c r="AD48" s="395"/>
      <c r="AE48" s="387"/>
      <c r="AF48" s="387">
        <v>24.0</v>
      </c>
      <c r="AG48" s="387"/>
      <c r="AH48" s="387"/>
      <c r="AI48" s="387">
        <v>24.0</v>
      </c>
      <c r="AJ48" s="395"/>
      <c r="AK48" s="395"/>
      <c r="AL48" s="396">
        <f t="shared" si="8"/>
        <v>10</v>
      </c>
      <c r="AM48" s="397">
        <v>240.0</v>
      </c>
      <c r="AN48" s="372"/>
    </row>
    <row r="49" ht="14.25" customHeight="1">
      <c r="A49" s="415">
        <v>1.0</v>
      </c>
      <c r="B49" s="398" t="s">
        <v>140</v>
      </c>
      <c r="C49" s="390">
        <v>3.0</v>
      </c>
      <c r="D49" s="434" t="s">
        <v>153</v>
      </c>
      <c r="E49" s="439" t="s">
        <v>51</v>
      </c>
      <c r="F49" s="391" t="s">
        <v>85</v>
      </c>
      <c r="G49" s="387"/>
      <c r="H49" s="395"/>
      <c r="I49" s="395"/>
      <c r="J49" s="387"/>
      <c r="K49" s="387"/>
      <c r="L49" s="387"/>
      <c r="M49" s="387"/>
      <c r="N49" s="387"/>
      <c r="O49" s="395"/>
      <c r="P49" s="395"/>
      <c r="Q49" s="387"/>
      <c r="R49" s="387">
        <v>24.0</v>
      </c>
      <c r="S49" s="401"/>
      <c r="T49" s="387"/>
      <c r="U49" s="387">
        <v>24.0</v>
      </c>
      <c r="V49" s="395"/>
      <c r="W49" s="395"/>
      <c r="X49" s="387">
        <v>24.0</v>
      </c>
      <c r="Y49" s="387"/>
      <c r="Z49" s="387"/>
      <c r="AA49" s="387">
        <v>24.0</v>
      </c>
      <c r="AB49" s="387"/>
      <c r="AC49" s="395"/>
      <c r="AD49" s="395">
        <v>24.0</v>
      </c>
      <c r="AE49" s="387"/>
      <c r="AF49" s="387"/>
      <c r="AG49" s="387">
        <v>24.0</v>
      </c>
      <c r="AH49" s="387"/>
      <c r="AI49" s="387"/>
      <c r="AJ49" s="395">
        <v>24.0</v>
      </c>
      <c r="AK49" s="395"/>
      <c r="AL49" s="396">
        <f t="shared" si="8"/>
        <v>7</v>
      </c>
      <c r="AM49" s="397"/>
      <c r="AN49" s="372"/>
    </row>
    <row r="50" ht="14.25" customHeight="1">
      <c r="A50" s="415">
        <v>1.0</v>
      </c>
      <c r="B50" s="398" t="s">
        <v>140</v>
      </c>
      <c r="C50" s="390">
        <v>4.0</v>
      </c>
      <c r="D50" s="434" t="s">
        <v>150</v>
      </c>
      <c r="E50" s="439" t="s">
        <v>51</v>
      </c>
      <c r="F50" s="391" t="s">
        <v>85</v>
      </c>
      <c r="G50" s="387">
        <v>24.0</v>
      </c>
      <c r="H50" s="395"/>
      <c r="I50" s="395"/>
      <c r="J50" s="387">
        <v>24.0</v>
      </c>
      <c r="K50" s="387"/>
      <c r="L50" s="387"/>
      <c r="M50" s="387">
        <v>24.0</v>
      </c>
      <c r="N50" s="387"/>
      <c r="O50" s="395"/>
      <c r="P50" s="395">
        <v>24.0</v>
      </c>
      <c r="Q50" s="387"/>
      <c r="R50" s="387"/>
      <c r="S50" s="387">
        <v>24.0</v>
      </c>
      <c r="T50" s="387"/>
      <c r="U50" s="387"/>
      <c r="V50" s="395">
        <v>24.0</v>
      </c>
      <c r="W50" s="395"/>
      <c r="X50" s="387"/>
      <c r="Y50" s="387">
        <v>24.0</v>
      </c>
      <c r="Z50" s="387"/>
      <c r="AA50" s="387"/>
      <c r="AB50" s="387">
        <v>24.0</v>
      </c>
      <c r="AC50" s="395"/>
      <c r="AD50" s="395"/>
      <c r="AE50" s="387">
        <v>24.0</v>
      </c>
      <c r="AF50" s="387"/>
      <c r="AG50" s="387"/>
      <c r="AH50" s="387">
        <v>24.0</v>
      </c>
      <c r="AI50" s="387"/>
      <c r="AJ50" s="395"/>
      <c r="AK50" s="395">
        <v>24.0</v>
      </c>
      <c r="AL50" s="396">
        <f t="shared" si="8"/>
        <v>11</v>
      </c>
      <c r="AM50" s="397">
        <v>264.0</v>
      </c>
      <c r="AN50" s="372"/>
    </row>
    <row r="51" ht="14.25" customHeight="1">
      <c r="A51" s="401"/>
      <c r="B51" s="440" t="s">
        <v>151</v>
      </c>
      <c r="C51" s="409">
        <v>33.0</v>
      </c>
      <c r="D51" s="440" t="s">
        <v>152</v>
      </c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  <c r="X51" s="409"/>
      <c r="Y51" s="409"/>
      <c r="Z51" s="409"/>
      <c r="AA51" s="409"/>
      <c r="AB51" s="409"/>
      <c r="AC51" s="409"/>
      <c r="AD51" s="409"/>
      <c r="AE51" s="409"/>
      <c r="AF51" s="409"/>
      <c r="AG51" s="409"/>
      <c r="AH51" s="409"/>
      <c r="AI51" s="409"/>
      <c r="AJ51" s="409"/>
      <c r="AK51" s="409"/>
      <c r="AL51" s="383"/>
      <c r="AM51" s="406"/>
      <c r="AN51" s="372"/>
    </row>
    <row r="52" ht="21.0" customHeight="1">
      <c r="A52" s="401"/>
      <c r="B52" s="442" t="s">
        <v>154</v>
      </c>
      <c r="C52" s="147"/>
      <c r="D52" s="147"/>
      <c r="E52" s="147"/>
      <c r="F52" s="148"/>
      <c r="G52" s="409" t="s">
        <v>155</v>
      </c>
      <c r="H52" s="409" t="s">
        <v>155</v>
      </c>
      <c r="I52" s="409" t="s">
        <v>155</v>
      </c>
      <c r="J52" s="409" t="s">
        <v>155</v>
      </c>
      <c r="K52" s="409" t="s">
        <v>155</v>
      </c>
      <c r="L52" s="409" t="s">
        <v>155</v>
      </c>
      <c r="M52" s="409" t="s">
        <v>155</v>
      </c>
      <c r="N52" s="409" t="s">
        <v>155</v>
      </c>
      <c r="O52" s="409" t="s">
        <v>155</v>
      </c>
      <c r="P52" s="409" t="s">
        <v>155</v>
      </c>
      <c r="Q52" s="409" t="s">
        <v>155</v>
      </c>
      <c r="R52" s="409" t="s">
        <v>155</v>
      </c>
      <c r="S52" s="409" t="s">
        <v>155</v>
      </c>
      <c r="T52" s="409" t="s">
        <v>155</v>
      </c>
      <c r="U52" s="409" t="s">
        <v>155</v>
      </c>
      <c r="V52" s="409" t="s">
        <v>155</v>
      </c>
      <c r="W52" s="409" t="s">
        <v>155</v>
      </c>
      <c r="X52" s="409" t="s">
        <v>155</v>
      </c>
      <c r="Y52" s="409" t="s">
        <v>155</v>
      </c>
      <c r="Z52" s="409" t="s">
        <v>155</v>
      </c>
      <c r="AA52" s="409" t="s">
        <v>155</v>
      </c>
      <c r="AB52" s="409"/>
      <c r="AC52" s="409"/>
      <c r="AD52" s="409" t="s">
        <v>155</v>
      </c>
      <c r="AE52" s="409" t="s">
        <v>155</v>
      </c>
      <c r="AF52" s="409" t="s">
        <v>155</v>
      </c>
      <c r="AG52" s="409" t="s">
        <v>155</v>
      </c>
      <c r="AH52" s="409"/>
      <c r="AI52" s="409"/>
      <c r="AJ52" s="409"/>
      <c r="AK52" s="409"/>
      <c r="AL52" s="383"/>
      <c r="AM52" s="406"/>
      <c r="AN52" s="372"/>
    </row>
    <row r="53" ht="21.0" customHeight="1">
      <c r="A53" s="401"/>
      <c r="B53" s="442" t="s">
        <v>156</v>
      </c>
      <c r="C53" s="147"/>
      <c r="D53" s="147"/>
      <c r="E53" s="147"/>
      <c r="F53" s="148"/>
      <c r="G53" s="409">
        <f t="shared" ref="G53:AA53" si="9">COUNTA(#REF!,#REF!,#REF!,#REF!,#REF!)</f>
        <v>5</v>
      </c>
      <c r="H53" s="409">
        <f t="shared" si="9"/>
        <v>5</v>
      </c>
      <c r="I53" s="409">
        <f t="shared" si="9"/>
        <v>5</v>
      </c>
      <c r="J53" s="409">
        <f t="shared" si="9"/>
        <v>5</v>
      </c>
      <c r="K53" s="409">
        <f t="shared" si="9"/>
        <v>5</v>
      </c>
      <c r="L53" s="409">
        <f t="shared" si="9"/>
        <v>5</v>
      </c>
      <c r="M53" s="409">
        <f t="shared" si="9"/>
        <v>5</v>
      </c>
      <c r="N53" s="409">
        <f t="shared" si="9"/>
        <v>5</v>
      </c>
      <c r="O53" s="409">
        <f t="shared" si="9"/>
        <v>5</v>
      </c>
      <c r="P53" s="409">
        <f t="shared" si="9"/>
        <v>5</v>
      </c>
      <c r="Q53" s="409">
        <f t="shared" si="9"/>
        <v>5</v>
      </c>
      <c r="R53" s="409">
        <f t="shared" si="9"/>
        <v>5</v>
      </c>
      <c r="S53" s="409">
        <f t="shared" si="9"/>
        <v>5</v>
      </c>
      <c r="T53" s="409">
        <f t="shared" si="9"/>
        <v>5</v>
      </c>
      <c r="U53" s="409">
        <f t="shared" si="9"/>
        <v>5</v>
      </c>
      <c r="V53" s="409">
        <f t="shared" si="9"/>
        <v>5</v>
      </c>
      <c r="W53" s="409">
        <f t="shared" si="9"/>
        <v>5</v>
      </c>
      <c r="X53" s="409">
        <f t="shared" si="9"/>
        <v>5</v>
      </c>
      <c r="Y53" s="409">
        <f t="shared" si="9"/>
        <v>5</v>
      </c>
      <c r="Z53" s="409">
        <f t="shared" si="9"/>
        <v>5</v>
      </c>
      <c r="AA53" s="409">
        <f t="shared" si="9"/>
        <v>5</v>
      </c>
      <c r="AB53" s="409"/>
      <c r="AC53" s="409"/>
      <c r="AD53" s="409">
        <f t="shared" ref="AD53:AG53" si="10">COUNTA(#REF!,#REF!,#REF!,#REF!,#REF!)</f>
        <v>5</v>
      </c>
      <c r="AE53" s="409">
        <f t="shared" si="10"/>
        <v>5</v>
      </c>
      <c r="AF53" s="409">
        <f t="shared" si="10"/>
        <v>5</v>
      </c>
      <c r="AG53" s="409">
        <f t="shared" si="10"/>
        <v>5</v>
      </c>
      <c r="AH53" s="409"/>
      <c r="AI53" s="409"/>
      <c r="AJ53" s="409"/>
      <c r="AK53" s="409"/>
      <c r="AL53" s="383"/>
      <c r="AM53" s="406"/>
      <c r="AN53" s="372"/>
    </row>
    <row r="54" ht="21.0" customHeight="1">
      <c r="A54" s="401"/>
      <c r="B54" s="442" t="s">
        <v>157</v>
      </c>
      <c r="C54" s="147"/>
      <c r="D54" s="147"/>
      <c r="E54" s="147"/>
      <c r="F54" s="148"/>
      <c r="G54" s="444">
        <f t="shared" ref="G54:AA54" si="11">COUNTA(#REF!,#REF!)</f>
        <v>2</v>
      </c>
      <c r="H54" s="444">
        <f t="shared" si="11"/>
        <v>2</v>
      </c>
      <c r="I54" s="444">
        <f t="shared" si="11"/>
        <v>2</v>
      </c>
      <c r="J54" s="444">
        <f t="shared" si="11"/>
        <v>2</v>
      </c>
      <c r="K54" s="444">
        <f t="shared" si="11"/>
        <v>2</v>
      </c>
      <c r="L54" s="444">
        <f t="shared" si="11"/>
        <v>2</v>
      </c>
      <c r="M54" s="444">
        <f t="shared" si="11"/>
        <v>2</v>
      </c>
      <c r="N54" s="444">
        <f t="shared" si="11"/>
        <v>2</v>
      </c>
      <c r="O54" s="444">
        <f t="shared" si="11"/>
        <v>2</v>
      </c>
      <c r="P54" s="444">
        <f t="shared" si="11"/>
        <v>2</v>
      </c>
      <c r="Q54" s="444">
        <f t="shared" si="11"/>
        <v>2</v>
      </c>
      <c r="R54" s="444">
        <f t="shared" si="11"/>
        <v>2</v>
      </c>
      <c r="S54" s="444">
        <f t="shared" si="11"/>
        <v>2</v>
      </c>
      <c r="T54" s="444">
        <f t="shared" si="11"/>
        <v>2</v>
      </c>
      <c r="U54" s="444">
        <f t="shared" si="11"/>
        <v>2</v>
      </c>
      <c r="V54" s="444">
        <f t="shared" si="11"/>
        <v>2</v>
      </c>
      <c r="W54" s="444">
        <f t="shared" si="11"/>
        <v>2</v>
      </c>
      <c r="X54" s="444">
        <f t="shared" si="11"/>
        <v>2</v>
      </c>
      <c r="Y54" s="444">
        <f t="shared" si="11"/>
        <v>2</v>
      </c>
      <c r="Z54" s="444">
        <f t="shared" si="11"/>
        <v>2</v>
      </c>
      <c r="AA54" s="444">
        <f t="shared" si="11"/>
        <v>2</v>
      </c>
      <c r="AB54" s="444"/>
      <c r="AC54" s="444"/>
      <c r="AD54" s="444">
        <f t="shared" ref="AD54:AG54" si="12">COUNTA(#REF!,#REF!)</f>
        <v>2</v>
      </c>
      <c r="AE54" s="444">
        <f t="shared" si="12"/>
        <v>2</v>
      </c>
      <c r="AF54" s="444">
        <f t="shared" si="12"/>
        <v>2</v>
      </c>
      <c r="AG54" s="444">
        <f t="shared" si="12"/>
        <v>2</v>
      </c>
      <c r="AH54" s="444"/>
      <c r="AI54" s="444"/>
      <c r="AJ54" s="444"/>
      <c r="AK54" s="444"/>
      <c r="AL54" s="383"/>
      <c r="AM54" s="406"/>
      <c r="AN54" s="372"/>
    </row>
    <row r="55" ht="14.25" customHeight="1">
      <c r="A55" s="2"/>
      <c r="B55" s="3"/>
      <c r="C55" s="2"/>
      <c r="D55" s="2"/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280"/>
      <c r="AM55" s="11"/>
    </row>
    <row r="56" ht="14.25" customHeight="1">
      <c r="A56" s="152"/>
      <c r="B56" s="153"/>
      <c r="C56" s="154"/>
      <c r="D56" s="155" t="s">
        <v>159</v>
      </c>
      <c r="E56" s="155"/>
      <c r="F56" s="156"/>
      <c r="G56" s="213">
        <f t="shared" ref="G56:AA56" si="13">COUNTA(G10,G11:G16,#REF!,G26:G27,G46,G25:G44,G35)</f>
        <v>9</v>
      </c>
      <c r="H56" s="213">
        <f t="shared" si="13"/>
        <v>10</v>
      </c>
      <c r="I56" s="213">
        <f t="shared" si="13"/>
        <v>6</v>
      </c>
      <c r="J56" s="213">
        <f t="shared" si="13"/>
        <v>5</v>
      </c>
      <c r="K56" s="213">
        <f t="shared" si="13"/>
        <v>12</v>
      </c>
      <c r="L56" s="213">
        <f t="shared" si="13"/>
        <v>13</v>
      </c>
      <c r="M56" s="213">
        <f t="shared" si="13"/>
        <v>12</v>
      </c>
      <c r="N56" s="213">
        <f t="shared" si="13"/>
        <v>13</v>
      </c>
      <c r="O56" s="213">
        <f t="shared" si="13"/>
        <v>13</v>
      </c>
      <c r="P56" s="213">
        <f t="shared" si="13"/>
        <v>13</v>
      </c>
      <c r="Q56" s="213">
        <f t="shared" si="13"/>
        <v>7</v>
      </c>
      <c r="R56" s="213">
        <f t="shared" si="13"/>
        <v>11</v>
      </c>
      <c r="S56" s="213">
        <f t="shared" si="13"/>
        <v>2</v>
      </c>
      <c r="T56" s="213">
        <f t="shared" si="13"/>
        <v>11</v>
      </c>
      <c r="U56" s="213">
        <f t="shared" si="13"/>
        <v>12</v>
      </c>
      <c r="V56" s="213">
        <f t="shared" si="13"/>
        <v>12</v>
      </c>
      <c r="W56" s="213">
        <f t="shared" si="13"/>
        <v>13</v>
      </c>
      <c r="X56" s="213">
        <f t="shared" si="13"/>
        <v>11</v>
      </c>
      <c r="Y56" s="213">
        <f t="shared" si="13"/>
        <v>11</v>
      </c>
      <c r="Z56" s="213">
        <f t="shared" si="13"/>
        <v>9</v>
      </c>
      <c r="AA56" s="213">
        <f t="shared" si="13"/>
        <v>10</v>
      </c>
      <c r="AB56" s="213"/>
      <c r="AC56" s="213"/>
      <c r="AD56" s="213">
        <f t="shared" ref="AD56:AK56" si="14">COUNTA(AD10,AD11:AD16,#REF!,AD26:AD27,AD46,AD25:AD44,AD35)</f>
        <v>5</v>
      </c>
      <c r="AE56" s="213">
        <f t="shared" si="14"/>
        <v>8</v>
      </c>
      <c r="AF56" s="213">
        <f t="shared" si="14"/>
        <v>10</v>
      </c>
      <c r="AG56" s="213">
        <f t="shared" si="14"/>
        <v>10</v>
      </c>
      <c r="AH56" s="213">
        <f t="shared" si="14"/>
        <v>8</v>
      </c>
      <c r="AI56" s="213">
        <f t="shared" si="14"/>
        <v>10</v>
      </c>
      <c r="AJ56" s="213">
        <f t="shared" si="14"/>
        <v>12</v>
      </c>
      <c r="AK56" s="213">
        <f t="shared" si="14"/>
        <v>8</v>
      </c>
      <c r="AL56" s="287">
        <f t="shared" ref="AL56:AL59" si="17">SUM(G56:AG56)</f>
        <v>248</v>
      </c>
      <c r="AM56" s="158">
        <v>250.0</v>
      </c>
    </row>
    <row r="57" ht="14.25" customHeight="1">
      <c r="A57" s="159"/>
      <c r="B57" s="160"/>
      <c r="C57" s="161"/>
      <c r="D57" s="162" t="s">
        <v>160</v>
      </c>
      <c r="E57" s="162"/>
      <c r="F57" s="163"/>
      <c r="G57" s="289">
        <f t="shared" ref="G57:AA57" si="15">COUNTA(G10,#REF!,#REF!,G16,G25:G44,G26:G46)</f>
        <v>11</v>
      </c>
      <c r="H57" s="289">
        <f t="shared" si="15"/>
        <v>11</v>
      </c>
      <c r="I57" s="289">
        <f t="shared" si="15"/>
        <v>10</v>
      </c>
      <c r="J57" s="289">
        <f t="shared" si="15"/>
        <v>10</v>
      </c>
      <c r="K57" s="289">
        <f t="shared" si="15"/>
        <v>15</v>
      </c>
      <c r="L57" s="289">
        <f t="shared" si="15"/>
        <v>15</v>
      </c>
      <c r="M57" s="289">
        <f t="shared" si="15"/>
        <v>14</v>
      </c>
      <c r="N57" s="289">
        <f t="shared" si="15"/>
        <v>15</v>
      </c>
      <c r="O57" s="289">
        <f t="shared" si="15"/>
        <v>15</v>
      </c>
      <c r="P57" s="289">
        <f t="shared" si="15"/>
        <v>17</v>
      </c>
      <c r="Q57" s="289">
        <f t="shared" si="15"/>
        <v>10</v>
      </c>
      <c r="R57" s="289">
        <f t="shared" si="15"/>
        <v>15</v>
      </c>
      <c r="S57" s="289">
        <f t="shared" si="15"/>
        <v>3</v>
      </c>
      <c r="T57" s="289">
        <f t="shared" si="15"/>
        <v>10</v>
      </c>
      <c r="U57" s="289">
        <f t="shared" si="15"/>
        <v>15</v>
      </c>
      <c r="V57" s="289">
        <f t="shared" si="15"/>
        <v>15</v>
      </c>
      <c r="W57" s="289">
        <f t="shared" si="15"/>
        <v>17</v>
      </c>
      <c r="X57" s="289">
        <f t="shared" si="15"/>
        <v>13</v>
      </c>
      <c r="Y57" s="289">
        <f t="shared" si="15"/>
        <v>15</v>
      </c>
      <c r="Z57" s="289">
        <f t="shared" si="15"/>
        <v>11</v>
      </c>
      <c r="AA57" s="289">
        <f t="shared" si="15"/>
        <v>12</v>
      </c>
      <c r="AB57" s="289"/>
      <c r="AC57" s="289"/>
      <c r="AD57" s="289">
        <f t="shared" ref="AD57:AK57" si="16">COUNTA(AD10,#REF!,#REF!,AD16,AD25:AD44,AD26:AD46)</f>
        <v>8</v>
      </c>
      <c r="AE57" s="289">
        <f t="shared" si="16"/>
        <v>12</v>
      </c>
      <c r="AF57" s="289">
        <f t="shared" si="16"/>
        <v>13</v>
      </c>
      <c r="AG57" s="289">
        <f t="shared" si="16"/>
        <v>11</v>
      </c>
      <c r="AH57" s="289">
        <f t="shared" si="16"/>
        <v>8</v>
      </c>
      <c r="AI57" s="289">
        <f t="shared" si="16"/>
        <v>13</v>
      </c>
      <c r="AJ57" s="289">
        <f t="shared" si="16"/>
        <v>15</v>
      </c>
      <c r="AK57" s="289">
        <f t="shared" si="16"/>
        <v>14</v>
      </c>
      <c r="AL57" s="294">
        <f t="shared" si="17"/>
        <v>313</v>
      </c>
      <c r="AM57" s="158"/>
    </row>
    <row r="58" ht="14.25" customHeight="1">
      <c r="A58" s="166"/>
      <c r="B58" s="167"/>
      <c r="C58" s="168"/>
      <c r="D58" s="169" t="s">
        <v>161</v>
      </c>
      <c r="E58" s="169"/>
      <c r="F58" s="170"/>
      <c r="G58" s="295">
        <f t="shared" ref="G58:AA58" si="18">COUNTA(G25:G44,G35,G46:G47)</f>
        <v>4</v>
      </c>
      <c r="H58" s="295">
        <f t="shared" si="18"/>
        <v>4</v>
      </c>
      <c r="I58" s="295">
        <f t="shared" si="18"/>
        <v>6</v>
      </c>
      <c r="J58" s="295">
        <f t="shared" si="18"/>
        <v>4</v>
      </c>
      <c r="K58" s="295">
        <f t="shared" si="18"/>
        <v>6</v>
      </c>
      <c r="L58" s="295">
        <f t="shared" si="18"/>
        <v>8</v>
      </c>
      <c r="M58" s="295">
        <f t="shared" si="18"/>
        <v>6</v>
      </c>
      <c r="N58" s="295">
        <f t="shared" si="18"/>
        <v>6</v>
      </c>
      <c r="O58" s="295">
        <f t="shared" si="18"/>
        <v>8</v>
      </c>
      <c r="P58" s="295">
        <f t="shared" si="18"/>
        <v>7</v>
      </c>
      <c r="Q58" s="295">
        <f t="shared" si="18"/>
        <v>4</v>
      </c>
      <c r="R58" s="295">
        <f t="shared" si="18"/>
        <v>6</v>
      </c>
      <c r="S58" s="295">
        <f t="shared" si="18"/>
        <v>1</v>
      </c>
      <c r="T58" s="295">
        <f t="shared" si="18"/>
        <v>5</v>
      </c>
      <c r="U58" s="295">
        <f t="shared" si="18"/>
        <v>6</v>
      </c>
      <c r="V58" s="295">
        <f t="shared" si="18"/>
        <v>6</v>
      </c>
      <c r="W58" s="295">
        <f t="shared" si="18"/>
        <v>7</v>
      </c>
      <c r="X58" s="295">
        <f t="shared" si="18"/>
        <v>5</v>
      </c>
      <c r="Y58" s="295">
        <f t="shared" si="18"/>
        <v>6</v>
      </c>
      <c r="Z58" s="295">
        <f t="shared" si="18"/>
        <v>4</v>
      </c>
      <c r="AA58" s="295">
        <f t="shared" si="18"/>
        <v>5</v>
      </c>
      <c r="AB58" s="295"/>
      <c r="AC58" s="295"/>
      <c r="AD58" s="295">
        <f t="shared" ref="AD58:AK58" si="19">COUNTA(AD25:AD44,AD35,AD46:AD47)</f>
        <v>3</v>
      </c>
      <c r="AE58" s="295">
        <f t="shared" si="19"/>
        <v>5</v>
      </c>
      <c r="AF58" s="295">
        <f t="shared" si="19"/>
        <v>5</v>
      </c>
      <c r="AG58" s="295">
        <f t="shared" si="19"/>
        <v>4</v>
      </c>
      <c r="AH58" s="295">
        <f t="shared" si="19"/>
        <v>3</v>
      </c>
      <c r="AI58" s="295">
        <f t="shared" si="19"/>
        <v>5</v>
      </c>
      <c r="AJ58" s="295">
        <f t="shared" si="19"/>
        <v>6</v>
      </c>
      <c r="AK58" s="295">
        <f t="shared" si="19"/>
        <v>6</v>
      </c>
      <c r="AL58" s="301">
        <f t="shared" si="17"/>
        <v>131</v>
      </c>
      <c r="AM58" s="173">
        <f>AM56*AL60</f>
        <v>192750</v>
      </c>
    </row>
    <row r="59" ht="14.25" customHeight="1">
      <c r="A59" s="174"/>
      <c r="B59" s="175"/>
      <c r="C59" s="176"/>
      <c r="D59" s="177" t="s">
        <v>162</v>
      </c>
      <c r="E59" s="177"/>
      <c r="F59" s="178"/>
      <c r="G59" s="302">
        <f t="shared" ref="G59:AA59" si="20">COUNTA(#REF!,#REF!,G35,#REF!)</f>
        <v>3</v>
      </c>
      <c r="H59" s="302">
        <f t="shared" si="20"/>
        <v>3</v>
      </c>
      <c r="I59" s="302">
        <f t="shared" si="20"/>
        <v>4</v>
      </c>
      <c r="J59" s="302">
        <f t="shared" si="20"/>
        <v>3</v>
      </c>
      <c r="K59" s="302">
        <f t="shared" si="20"/>
        <v>3</v>
      </c>
      <c r="L59" s="302">
        <f t="shared" si="20"/>
        <v>4</v>
      </c>
      <c r="M59" s="302">
        <f t="shared" si="20"/>
        <v>3</v>
      </c>
      <c r="N59" s="302">
        <f t="shared" si="20"/>
        <v>3</v>
      </c>
      <c r="O59" s="302">
        <f t="shared" si="20"/>
        <v>4</v>
      </c>
      <c r="P59" s="302">
        <f t="shared" si="20"/>
        <v>3</v>
      </c>
      <c r="Q59" s="302">
        <f t="shared" si="20"/>
        <v>3</v>
      </c>
      <c r="R59" s="302">
        <f t="shared" si="20"/>
        <v>3</v>
      </c>
      <c r="S59" s="302">
        <f t="shared" si="20"/>
        <v>3</v>
      </c>
      <c r="T59" s="302">
        <f t="shared" si="20"/>
        <v>4</v>
      </c>
      <c r="U59" s="302">
        <f t="shared" si="20"/>
        <v>3</v>
      </c>
      <c r="V59" s="302">
        <f t="shared" si="20"/>
        <v>3</v>
      </c>
      <c r="W59" s="302">
        <f t="shared" si="20"/>
        <v>3</v>
      </c>
      <c r="X59" s="302">
        <f t="shared" si="20"/>
        <v>3</v>
      </c>
      <c r="Y59" s="302">
        <f t="shared" si="20"/>
        <v>3</v>
      </c>
      <c r="Z59" s="302">
        <f t="shared" si="20"/>
        <v>3</v>
      </c>
      <c r="AA59" s="302">
        <f t="shared" si="20"/>
        <v>3</v>
      </c>
      <c r="AB59" s="302"/>
      <c r="AC59" s="302"/>
      <c r="AD59" s="302">
        <f t="shared" ref="AD59:AK59" si="21">COUNTA(#REF!,#REF!,AD35,#REF!)</f>
        <v>3</v>
      </c>
      <c r="AE59" s="302">
        <f t="shared" si="21"/>
        <v>3</v>
      </c>
      <c r="AF59" s="302">
        <f t="shared" si="21"/>
        <v>3</v>
      </c>
      <c r="AG59" s="302">
        <f t="shared" si="21"/>
        <v>3</v>
      </c>
      <c r="AH59" s="302">
        <f t="shared" si="21"/>
        <v>3</v>
      </c>
      <c r="AI59" s="302">
        <f t="shared" si="21"/>
        <v>3</v>
      </c>
      <c r="AJ59" s="302">
        <f t="shared" si="21"/>
        <v>3</v>
      </c>
      <c r="AK59" s="302">
        <f t="shared" si="21"/>
        <v>3</v>
      </c>
      <c r="AL59" s="302">
        <f t="shared" si="17"/>
        <v>79</v>
      </c>
      <c r="AM59" s="180"/>
    </row>
    <row r="60" ht="15.75" customHeight="1">
      <c r="A60" s="146" t="s">
        <v>163</v>
      </c>
      <c r="B60" s="147"/>
      <c r="C60" s="147"/>
      <c r="D60" s="147"/>
      <c r="E60" s="147"/>
      <c r="F60" s="148"/>
      <c r="G60" s="144">
        <f t="shared" ref="G60:AA60" si="22">SUM(G56:G59)</f>
        <v>27</v>
      </c>
      <c r="H60" s="144">
        <f t="shared" si="22"/>
        <v>28</v>
      </c>
      <c r="I60" s="144">
        <f t="shared" si="22"/>
        <v>26</v>
      </c>
      <c r="J60" s="144">
        <f t="shared" si="22"/>
        <v>22</v>
      </c>
      <c r="K60" s="144">
        <f t="shared" si="22"/>
        <v>36</v>
      </c>
      <c r="L60" s="144">
        <f t="shared" si="22"/>
        <v>40</v>
      </c>
      <c r="M60" s="144">
        <f t="shared" si="22"/>
        <v>35</v>
      </c>
      <c r="N60" s="144">
        <f t="shared" si="22"/>
        <v>37</v>
      </c>
      <c r="O60" s="144">
        <f t="shared" si="22"/>
        <v>40</v>
      </c>
      <c r="P60" s="144">
        <f t="shared" si="22"/>
        <v>40</v>
      </c>
      <c r="Q60" s="144">
        <f t="shared" si="22"/>
        <v>24</v>
      </c>
      <c r="R60" s="144">
        <f t="shared" si="22"/>
        <v>35</v>
      </c>
      <c r="S60" s="144">
        <f t="shared" si="22"/>
        <v>9</v>
      </c>
      <c r="T60" s="144">
        <f t="shared" si="22"/>
        <v>30</v>
      </c>
      <c r="U60" s="144">
        <f t="shared" si="22"/>
        <v>36</v>
      </c>
      <c r="V60" s="144">
        <f t="shared" si="22"/>
        <v>36</v>
      </c>
      <c r="W60" s="144">
        <f t="shared" si="22"/>
        <v>40</v>
      </c>
      <c r="X60" s="144">
        <f t="shared" si="22"/>
        <v>32</v>
      </c>
      <c r="Y60" s="144">
        <f t="shared" si="22"/>
        <v>35</v>
      </c>
      <c r="Z60" s="144">
        <f t="shared" si="22"/>
        <v>27</v>
      </c>
      <c r="AA60" s="144">
        <f t="shared" si="22"/>
        <v>30</v>
      </c>
      <c r="AB60" s="144"/>
      <c r="AC60" s="144"/>
      <c r="AD60" s="144">
        <f t="shared" ref="AD60:AL60" si="23">SUM(AD56:AD59)</f>
        <v>19</v>
      </c>
      <c r="AE60" s="144">
        <f t="shared" si="23"/>
        <v>28</v>
      </c>
      <c r="AF60" s="144">
        <f t="shared" si="23"/>
        <v>31</v>
      </c>
      <c r="AG60" s="144">
        <f t="shared" si="23"/>
        <v>28</v>
      </c>
      <c r="AH60" s="144">
        <f t="shared" si="23"/>
        <v>22</v>
      </c>
      <c r="AI60" s="144">
        <f t="shared" si="23"/>
        <v>31</v>
      </c>
      <c r="AJ60" s="144">
        <f t="shared" si="23"/>
        <v>36</v>
      </c>
      <c r="AK60" s="144">
        <f t="shared" si="23"/>
        <v>31</v>
      </c>
      <c r="AL60" s="144">
        <f t="shared" si="23"/>
        <v>771</v>
      </c>
      <c r="AM60" s="181"/>
    </row>
    <row r="61" ht="14.25" customHeight="1">
      <c r="A61" s="2"/>
      <c r="B61" s="182" t="s">
        <v>164</v>
      </c>
      <c r="C61" s="182"/>
      <c r="D61" s="182"/>
      <c r="E61" s="182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4"/>
      <c r="R61" s="4"/>
      <c r="S61" s="4"/>
      <c r="T61" s="4"/>
      <c r="U61" s="5"/>
      <c r="V61" s="5"/>
      <c r="W61" s="5"/>
      <c r="X61" s="4"/>
      <c r="Y61" s="4"/>
      <c r="Z61" s="4"/>
      <c r="AA61" s="4"/>
      <c r="AB61" s="4"/>
      <c r="AC61" s="4"/>
      <c r="AD61" s="5"/>
      <c r="AE61" s="5"/>
      <c r="AF61" s="5"/>
      <c r="AG61" s="5"/>
      <c r="AH61" s="5"/>
      <c r="AI61" s="5"/>
      <c r="AJ61" s="5"/>
      <c r="AK61" s="5"/>
      <c r="AL61" s="2"/>
      <c r="AM61" s="183"/>
    </row>
    <row r="62" ht="14.25" customHeight="1">
      <c r="A62" s="2"/>
      <c r="B62" s="182" t="s">
        <v>165</v>
      </c>
      <c r="C62" s="2"/>
      <c r="D62" s="2"/>
      <c r="E62" s="2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11"/>
      <c r="AM62" s="2"/>
    </row>
    <row r="63" ht="14.25" customHeight="1">
      <c r="A63" s="2"/>
      <c r="B63" s="182" t="s">
        <v>166</v>
      </c>
      <c r="C63" s="184"/>
      <c r="D63" s="184"/>
      <c r="E63" s="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11"/>
      <c r="AM63" s="2"/>
    </row>
    <row r="64" ht="14.25" customHeight="1">
      <c r="A64" s="2"/>
      <c r="B64" s="182"/>
      <c r="C64" s="184"/>
      <c r="D64" s="184"/>
      <c r="E64" s="4" t="s">
        <v>167</v>
      </c>
      <c r="G64" s="5"/>
      <c r="H64" s="5"/>
      <c r="I64" s="5"/>
      <c r="J64" s="5"/>
      <c r="K64" s="5" t="s">
        <v>168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11"/>
      <c r="AM64" s="2"/>
    </row>
    <row r="65" ht="14.25" customHeight="1">
      <c r="A65" s="2"/>
      <c r="B65" s="3"/>
      <c r="C65" s="2"/>
      <c r="D65" s="2"/>
      <c r="E65" s="2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11"/>
      <c r="AM65" s="11"/>
    </row>
    <row r="66" ht="14.25" customHeight="1">
      <c r="A66" s="2"/>
      <c r="B66" s="3"/>
      <c r="C66" s="2"/>
      <c r="D66" s="2"/>
      <c r="E66" s="4" t="s">
        <v>169</v>
      </c>
      <c r="G66" s="5"/>
      <c r="H66" s="5"/>
      <c r="I66" s="5"/>
      <c r="J66" s="5"/>
      <c r="K66" s="5"/>
      <c r="L66" s="5"/>
      <c r="M66" s="5"/>
      <c r="N66" s="5" t="s">
        <v>170</v>
      </c>
      <c r="O66" s="5"/>
      <c r="P66" s="5"/>
      <c r="Q66" s="5" t="s">
        <v>171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11"/>
      <c r="AM66" s="11"/>
    </row>
    <row r="67" ht="14.25" customHeight="1">
      <c r="A67" s="2"/>
      <c r="B67" s="3"/>
      <c r="C67" s="2"/>
      <c r="D67" s="2"/>
      <c r="E67" s="2"/>
      <c r="F67" s="185"/>
      <c r="G67" s="5"/>
      <c r="H67" s="5"/>
      <c r="I67" s="5"/>
      <c r="J67" s="5"/>
      <c r="K67" s="5"/>
      <c r="L67" s="5"/>
      <c r="M67" s="5"/>
      <c r="N67" s="5"/>
      <c r="O67" s="5"/>
      <c r="P67" s="5"/>
      <c r="Q67" s="4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11"/>
      <c r="AM67" s="11"/>
    </row>
    <row r="68" ht="30.75" customHeight="1">
      <c r="A68" s="2"/>
      <c r="B68" s="3"/>
      <c r="C68" s="2"/>
      <c r="D68" s="2"/>
      <c r="E68" s="185" t="s">
        <v>172</v>
      </c>
      <c r="G68" s="5"/>
      <c r="H68" s="5"/>
      <c r="I68" s="5"/>
      <c r="J68" s="5"/>
      <c r="K68" s="5"/>
      <c r="L68" s="5"/>
      <c r="M68" s="5"/>
      <c r="N68" s="5" t="s">
        <v>170</v>
      </c>
      <c r="O68" s="5"/>
      <c r="P68" s="5"/>
      <c r="Q68" s="5" t="s">
        <v>171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11"/>
      <c r="AM68" s="11"/>
    </row>
    <row r="69" ht="14.25" customHeight="1">
      <c r="A69" s="11"/>
      <c r="B69" s="3"/>
      <c r="C69" s="2"/>
      <c r="D69" s="186"/>
      <c r="E69" s="2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11"/>
      <c r="AM69" s="11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5.7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L6:AL7"/>
    <mergeCell ref="AM6:AM7"/>
    <mergeCell ref="B52:F52"/>
    <mergeCell ref="B53:F53"/>
    <mergeCell ref="B54:F54"/>
    <mergeCell ref="A60:F60"/>
    <mergeCell ref="E64:F64"/>
    <mergeCell ref="K64:R64"/>
    <mergeCell ref="E66:F66"/>
    <mergeCell ref="E68:F68"/>
    <mergeCell ref="F6:F7"/>
    <mergeCell ref="F26:F36"/>
    <mergeCell ref="A42:A43"/>
    <mergeCell ref="B42:B43"/>
    <mergeCell ref="C42:C43"/>
    <mergeCell ref="D42:D43"/>
    <mergeCell ref="F42:F43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5.14"/>
    <col customWidth="1" min="8" max="8" width="4.71"/>
    <col customWidth="1" min="9" max="9" width="4.43"/>
    <col customWidth="1" min="10" max="10" width="4.71"/>
    <col customWidth="1" min="11" max="13" width="5.29"/>
    <col customWidth="1" min="14" max="14" width="5.86"/>
    <col customWidth="1" min="15" max="15" width="5.29"/>
    <col customWidth="1" min="16" max="16" width="4.57"/>
    <col customWidth="1" min="17" max="17" width="5.29"/>
    <col customWidth="1" min="18" max="18" width="5.0"/>
    <col customWidth="1" min="19" max="19" width="5.29"/>
    <col customWidth="1" min="20" max="20" width="5.0"/>
    <col customWidth="1" min="21" max="21" width="5.29"/>
    <col customWidth="1" min="22" max="23" width="4.57"/>
    <col customWidth="1" min="24" max="24" width="4.71"/>
    <col customWidth="1" min="25" max="25" width="5.0"/>
    <col customWidth="1" min="26" max="26" width="4.86"/>
    <col customWidth="1" min="27" max="29" width="5.0"/>
    <col customWidth="1" min="30" max="30" width="5.29"/>
    <col customWidth="1" min="31" max="31" width="4.57"/>
    <col customWidth="1" min="32" max="32" width="4.71"/>
    <col customWidth="1" min="33" max="37" width="4.57"/>
    <col customWidth="1" min="38" max="38" width="9.0"/>
    <col customWidth="1" min="39" max="39" width="17.43"/>
    <col customWidth="1" min="40" max="40" width="1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246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10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5.7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A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v>22.0</v>
      </c>
      <c r="AC6" s="15">
        <v>23.0</v>
      </c>
      <c r="AD6" s="15">
        <v>24.0</v>
      </c>
      <c r="AE6" s="15">
        <v>25.0</v>
      </c>
      <c r="AF6" s="15">
        <v>26.0</v>
      </c>
      <c r="AG6" s="15">
        <v>27.0</v>
      </c>
      <c r="AH6" s="15">
        <v>28.0</v>
      </c>
      <c r="AI6" s="15">
        <v>29.0</v>
      </c>
      <c r="AJ6" s="15">
        <v>30.0</v>
      </c>
      <c r="AK6" s="15">
        <v>31.0</v>
      </c>
      <c r="AL6" s="13" t="s">
        <v>14</v>
      </c>
      <c r="AM6" s="13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247</v>
      </c>
      <c r="H7" s="446" t="s">
        <v>248</v>
      </c>
      <c r="I7" s="446" t="s">
        <v>249</v>
      </c>
      <c r="J7" s="446" t="s">
        <v>250</v>
      </c>
      <c r="K7" s="446" t="s">
        <v>251</v>
      </c>
      <c r="L7" s="446" t="s">
        <v>252</v>
      </c>
      <c r="M7" s="446" t="s">
        <v>253</v>
      </c>
      <c r="N7" s="446" t="s">
        <v>247</v>
      </c>
      <c r="O7" s="446" t="s">
        <v>248</v>
      </c>
      <c r="P7" s="446" t="s">
        <v>249</v>
      </c>
      <c r="Q7" s="446" t="s">
        <v>250</v>
      </c>
      <c r="R7" s="446" t="s">
        <v>251</v>
      </c>
      <c r="S7" s="446" t="s">
        <v>252</v>
      </c>
      <c r="T7" s="446" t="s">
        <v>253</v>
      </c>
      <c r="U7" s="446" t="s">
        <v>247</v>
      </c>
      <c r="V7" s="446" t="s">
        <v>248</v>
      </c>
      <c r="W7" s="446" t="s">
        <v>249</v>
      </c>
      <c r="X7" s="446" t="s">
        <v>250</v>
      </c>
      <c r="Y7" s="446" t="s">
        <v>251</v>
      </c>
      <c r="Z7" s="446" t="s">
        <v>252</v>
      </c>
      <c r="AA7" s="446" t="s">
        <v>253</v>
      </c>
      <c r="AB7" s="446" t="s">
        <v>247</v>
      </c>
      <c r="AC7" s="446" t="s">
        <v>248</v>
      </c>
      <c r="AD7" s="446" t="s">
        <v>249</v>
      </c>
      <c r="AE7" s="446" t="s">
        <v>250</v>
      </c>
      <c r="AF7" s="446" t="s">
        <v>251</v>
      </c>
      <c r="AG7" s="446" t="s">
        <v>252</v>
      </c>
      <c r="AH7" s="446" t="s">
        <v>253</v>
      </c>
      <c r="AI7" s="446" t="s">
        <v>247</v>
      </c>
      <c r="AJ7" s="446" t="s">
        <v>248</v>
      </c>
      <c r="AK7" s="446" t="s">
        <v>249</v>
      </c>
      <c r="AL7" s="17"/>
      <c r="AM7" s="17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60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09" t="s">
        <v>205</v>
      </c>
      <c r="I9" s="209" t="s">
        <v>205</v>
      </c>
      <c r="J9" s="209" t="s">
        <v>205</v>
      </c>
      <c r="K9" s="209" t="s">
        <v>205</v>
      </c>
      <c r="L9" s="210" t="s">
        <v>205</v>
      </c>
      <c r="M9" s="210"/>
      <c r="N9" s="209" t="s">
        <v>205</v>
      </c>
      <c r="O9" s="209" t="s">
        <v>205</v>
      </c>
      <c r="P9" s="209" t="s">
        <v>205</v>
      </c>
      <c r="Q9" s="209" t="s">
        <v>205</v>
      </c>
      <c r="R9" s="209" t="s">
        <v>205</v>
      </c>
      <c r="S9" s="210" t="s">
        <v>205</v>
      </c>
      <c r="T9" s="210"/>
      <c r="U9" s="209" t="s">
        <v>205</v>
      </c>
      <c r="V9" s="209" t="s">
        <v>205</v>
      </c>
      <c r="W9" s="209" t="s">
        <v>205</v>
      </c>
      <c r="X9" s="209" t="s">
        <v>205</v>
      </c>
      <c r="Y9" s="209" t="s">
        <v>205</v>
      </c>
      <c r="Z9" s="209" t="s">
        <v>205</v>
      </c>
      <c r="AA9" s="209"/>
      <c r="AB9" s="210"/>
      <c r="AC9" s="210"/>
      <c r="AD9" s="209" t="s">
        <v>205</v>
      </c>
      <c r="AE9" s="209" t="s">
        <v>205</v>
      </c>
      <c r="AF9" s="209" t="s">
        <v>205</v>
      </c>
      <c r="AG9" s="24">
        <v>12.0</v>
      </c>
      <c r="AH9" s="24">
        <v>12.0</v>
      </c>
      <c r="AI9" s="110">
        <v>12.0</v>
      </c>
      <c r="AJ9" s="110"/>
      <c r="AK9" s="24">
        <v>12.0</v>
      </c>
      <c r="AL9" s="211">
        <f>COUNTA(G9:AG9)</f>
        <v>22</v>
      </c>
      <c r="AM9" s="57"/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>
        <v>12.0</v>
      </c>
      <c r="H10" s="24">
        <v>12.0</v>
      </c>
      <c r="I10" s="24">
        <v>12.0</v>
      </c>
      <c r="J10" s="24">
        <v>12.0</v>
      </c>
      <c r="K10" s="24">
        <v>12.0</v>
      </c>
      <c r="L10" s="110"/>
      <c r="M10" s="110"/>
      <c r="N10" s="24">
        <v>12.0</v>
      </c>
      <c r="O10" s="24">
        <v>12.0</v>
      </c>
      <c r="P10" s="24">
        <v>12.0</v>
      </c>
      <c r="Q10" s="24">
        <v>12.0</v>
      </c>
      <c r="R10" s="24">
        <v>12.0</v>
      </c>
      <c r="S10" s="110"/>
      <c r="T10" s="110"/>
      <c r="U10" s="24">
        <v>12.0</v>
      </c>
      <c r="V10" s="24">
        <v>12.0</v>
      </c>
      <c r="W10" s="24">
        <v>12.0</v>
      </c>
      <c r="X10" s="24">
        <v>12.0</v>
      </c>
      <c r="Y10" s="24">
        <v>12.0</v>
      </c>
      <c r="Z10" s="24"/>
      <c r="AA10" s="24"/>
      <c r="AB10" s="110"/>
      <c r="AC10" s="110"/>
      <c r="AD10" s="24">
        <v>12.0</v>
      </c>
      <c r="AE10" s="24">
        <v>12.0</v>
      </c>
      <c r="AF10" s="24">
        <v>12.0</v>
      </c>
      <c r="AG10" s="24">
        <v>12.0</v>
      </c>
      <c r="AH10" s="24">
        <v>12.0</v>
      </c>
      <c r="AI10" s="110"/>
      <c r="AJ10" s="110"/>
      <c r="AK10" s="24">
        <v>12.0</v>
      </c>
      <c r="AL10" s="211">
        <v>21.0</v>
      </c>
      <c r="AM10" s="57">
        <f t="shared" ref="AM10:AM14" si="2">SUM(G10:AH10)</f>
        <v>240</v>
      </c>
    </row>
    <row r="11" ht="14.25" customHeight="1">
      <c r="A11" s="260">
        <v>3.0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>
        <v>9.0</v>
      </c>
      <c r="H11" s="24">
        <v>9.0</v>
      </c>
      <c r="I11" s="24">
        <v>9.0</v>
      </c>
      <c r="J11" s="24">
        <v>9.0</v>
      </c>
      <c r="K11" s="24">
        <v>9.0</v>
      </c>
      <c r="L11" s="110"/>
      <c r="M11" s="110"/>
      <c r="N11" s="24">
        <v>9.0</v>
      </c>
      <c r="O11" s="24">
        <v>9.0</v>
      </c>
      <c r="P11" s="24">
        <v>9.0</v>
      </c>
      <c r="Q11" s="24">
        <v>9.0</v>
      </c>
      <c r="R11" s="24">
        <v>9.0</v>
      </c>
      <c r="S11" s="110"/>
      <c r="T11" s="110"/>
      <c r="U11" s="24">
        <v>9.0</v>
      </c>
      <c r="V11" s="24">
        <v>9.0</v>
      </c>
      <c r="W11" s="24">
        <v>9.0</v>
      </c>
      <c r="X11" s="24">
        <v>9.0</v>
      </c>
      <c r="Y11" s="24">
        <v>9.0</v>
      </c>
      <c r="Z11" s="24"/>
      <c r="AA11" s="24"/>
      <c r="AB11" s="110"/>
      <c r="AC11" s="110"/>
      <c r="AD11" s="24">
        <v>9.0</v>
      </c>
      <c r="AE11" s="24">
        <v>9.0</v>
      </c>
      <c r="AF11" s="24">
        <v>9.0</v>
      </c>
      <c r="AG11" s="24">
        <v>9.0</v>
      </c>
      <c r="AH11" s="24">
        <v>9.0</v>
      </c>
      <c r="AI11" s="110"/>
      <c r="AJ11" s="110"/>
      <c r="AK11" s="24">
        <v>9.0</v>
      </c>
      <c r="AL11" s="211">
        <f t="shared" ref="AL11:AL12" si="3">COUNTA(G11:AH11)</f>
        <v>20</v>
      </c>
      <c r="AM11" s="57">
        <f t="shared" si="2"/>
        <v>180</v>
      </c>
    </row>
    <row r="12" ht="14.25" customHeight="1">
      <c r="A12" s="34">
        <v>4.0</v>
      </c>
      <c r="B12" s="35" t="s">
        <v>34</v>
      </c>
      <c r="C12" s="27">
        <v>1.0</v>
      </c>
      <c r="D12" s="36" t="s">
        <v>35</v>
      </c>
      <c r="E12" s="27" t="s">
        <v>33</v>
      </c>
      <c r="F12" s="28" t="s">
        <v>30</v>
      </c>
      <c r="G12" s="24">
        <v>9.0</v>
      </c>
      <c r="H12" s="24">
        <v>9.0</v>
      </c>
      <c r="I12" s="24">
        <v>9.0</v>
      </c>
      <c r="J12" s="24">
        <v>9.0</v>
      </c>
      <c r="K12" s="24">
        <v>9.0</v>
      </c>
      <c r="L12" s="110"/>
      <c r="M12" s="110"/>
      <c r="N12" s="24">
        <v>9.0</v>
      </c>
      <c r="O12" s="24">
        <v>9.0</v>
      </c>
      <c r="P12" s="24">
        <v>9.0</v>
      </c>
      <c r="Q12" s="24">
        <v>9.0</v>
      </c>
      <c r="R12" s="24">
        <v>9.0</v>
      </c>
      <c r="S12" s="110"/>
      <c r="T12" s="110"/>
      <c r="U12" s="24">
        <v>9.0</v>
      </c>
      <c r="V12" s="24">
        <v>9.0</v>
      </c>
      <c r="W12" s="24">
        <v>9.0</v>
      </c>
      <c r="X12" s="24">
        <v>9.0</v>
      </c>
      <c r="Y12" s="24">
        <v>9.0</v>
      </c>
      <c r="Z12" s="24"/>
      <c r="AA12" s="24"/>
      <c r="AB12" s="110"/>
      <c r="AC12" s="110"/>
      <c r="AD12" s="24">
        <v>9.0</v>
      </c>
      <c r="AE12" s="24">
        <v>9.0</v>
      </c>
      <c r="AF12" s="24">
        <v>9.0</v>
      </c>
      <c r="AG12" s="24">
        <v>9.0</v>
      </c>
      <c r="AH12" s="24">
        <v>9.0</v>
      </c>
      <c r="AI12" s="110"/>
      <c r="AJ12" s="110"/>
      <c r="AK12" s="24">
        <v>9.0</v>
      </c>
      <c r="AL12" s="211">
        <f t="shared" si="3"/>
        <v>20</v>
      </c>
      <c r="AM12" s="57">
        <f t="shared" si="2"/>
        <v>180</v>
      </c>
    </row>
    <row r="13" ht="14.25" customHeight="1">
      <c r="A13" s="260">
        <v>5.0</v>
      </c>
      <c r="B13" s="35" t="s">
        <v>36</v>
      </c>
      <c r="C13" s="27">
        <v>1.0</v>
      </c>
      <c r="D13" s="36" t="s">
        <v>180</v>
      </c>
      <c r="E13" s="27" t="s">
        <v>33</v>
      </c>
      <c r="F13" s="28" t="s">
        <v>30</v>
      </c>
      <c r="G13" s="24">
        <v>9.0</v>
      </c>
      <c r="H13" s="24">
        <v>9.0</v>
      </c>
      <c r="I13" s="24">
        <v>9.0</v>
      </c>
      <c r="J13" s="24">
        <v>9.0</v>
      </c>
      <c r="K13" s="24">
        <v>9.0</v>
      </c>
      <c r="L13" s="110"/>
      <c r="M13" s="110"/>
      <c r="N13" s="24">
        <v>9.0</v>
      </c>
      <c r="O13" s="24">
        <v>9.0</v>
      </c>
      <c r="P13" s="24">
        <v>9.0</v>
      </c>
      <c r="Q13" s="24">
        <v>9.0</v>
      </c>
      <c r="R13" s="24">
        <v>9.0</v>
      </c>
      <c r="S13" s="110"/>
      <c r="T13" s="110"/>
      <c r="U13" s="24">
        <v>9.0</v>
      </c>
      <c r="V13" s="24">
        <v>9.0</v>
      </c>
      <c r="W13" s="24">
        <v>9.0</v>
      </c>
      <c r="X13" s="24">
        <v>9.0</v>
      </c>
      <c r="Y13" s="24">
        <v>9.0</v>
      </c>
      <c r="Z13" s="24"/>
      <c r="AA13" s="24"/>
      <c r="AB13" s="110"/>
      <c r="AC13" s="110"/>
      <c r="AD13" s="24">
        <v>9.0</v>
      </c>
      <c r="AE13" s="24">
        <v>9.0</v>
      </c>
      <c r="AF13" s="24">
        <v>9.0</v>
      </c>
      <c r="AG13" s="24">
        <v>9.0</v>
      </c>
      <c r="AH13" s="24">
        <v>9.0</v>
      </c>
      <c r="AI13" s="110"/>
      <c r="AJ13" s="110"/>
      <c r="AK13" s="24">
        <v>9.0</v>
      </c>
      <c r="AL13" s="211">
        <v>20.0</v>
      </c>
      <c r="AM13" s="57">
        <f t="shared" si="2"/>
        <v>180</v>
      </c>
    </row>
    <row r="14" ht="14.25" customHeight="1">
      <c r="A14" s="34">
        <v>6.0</v>
      </c>
      <c r="B14" s="25" t="s">
        <v>38</v>
      </c>
      <c r="C14" s="27">
        <v>1.0</v>
      </c>
      <c r="D14" s="37" t="s">
        <v>239</v>
      </c>
      <c r="E14" s="27" t="s">
        <v>40</v>
      </c>
      <c r="F14" s="28" t="s">
        <v>30</v>
      </c>
      <c r="G14" s="24">
        <v>12.0</v>
      </c>
      <c r="H14" s="117"/>
      <c r="I14" s="117"/>
      <c r="J14" s="24">
        <v>12.0</v>
      </c>
      <c r="K14" s="24">
        <v>12.0</v>
      </c>
      <c r="L14" s="110">
        <v>12.0</v>
      </c>
      <c r="M14" s="110">
        <v>12.0</v>
      </c>
      <c r="N14" s="24">
        <v>12.0</v>
      </c>
      <c r="O14" s="24"/>
      <c r="P14" s="24"/>
      <c r="Q14" s="24">
        <v>12.0</v>
      </c>
      <c r="R14" s="24">
        <v>12.0</v>
      </c>
      <c r="S14" s="110">
        <v>12.0</v>
      </c>
      <c r="T14" s="110">
        <v>12.0</v>
      </c>
      <c r="U14" s="24">
        <v>12.0</v>
      </c>
      <c r="V14" s="24"/>
      <c r="W14" s="24"/>
      <c r="X14" s="24">
        <v>12.0</v>
      </c>
      <c r="Y14" s="24">
        <v>12.0</v>
      </c>
      <c r="Z14" s="24">
        <v>12.0</v>
      </c>
      <c r="AA14" s="24">
        <v>12.0</v>
      </c>
      <c r="AB14" s="110"/>
      <c r="AC14" s="110"/>
      <c r="AD14" s="24">
        <v>12.0</v>
      </c>
      <c r="AE14" s="24"/>
      <c r="AF14" s="24"/>
      <c r="AG14" s="24">
        <v>12.0</v>
      </c>
      <c r="AH14" s="24">
        <v>12.0</v>
      </c>
      <c r="AI14" s="110">
        <v>12.0</v>
      </c>
      <c r="AJ14" s="110">
        <v>12.0</v>
      </c>
      <c r="AK14" s="24">
        <v>12.0</v>
      </c>
      <c r="AL14" s="211">
        <f>COUNTA(G14:AK14)</f>
        <v>21</v>
      </c>
      <c r="AM14" s="57">
        <f t="shared" si="2"/>
        <v>216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"/>
      <c r="AM15" s="45"/>
    </row>
    <row r="16" ht="14.25" customHeight="1">
      <c r="A16" s="24">
        <v>8.0</v>
      </c>
      <c r="B16" s="25" t="s">
        <v>214</v>
      </c>
      <c r="C16" s="26">
        <v>1.0</v>
      </c>
      <c r="D16" s="25" t="s">
        <v>215</v>
      </c>
      <c r="E16" s="26" t="s">
        <v>182</v>
      </c>
      <c r="F16" s="47" t="s">
        <v>65</v>
      </c>
      <c r="G16" s="26">
        <v>12.0</v>
      </c>
      <c r="H16" s="26">
        <v>12.0</v>
      </c>
      <c r="I16" s="26">
        <v>12.0</v>
      </c>
      <c r="J16" s="26"/>
      <c r="K16" s="26">
        <v>12.0</v>
      </c>
      <c r="L16" s="213">
        <v>12.0</v>
      </c>
      <c r="M16" s="213"/>
      <c r="N16" s="26">
        <v>12.0</v>
      </c>
      <c r="O16" s="26">
        <v>12.0</v>
      </c>
      <c r="P16" s="26"/>
      <c r="Q16" s="26">
        <v>12.0</v>
      </c>
      <c r="R16" s="26">
        <v>12.0</v>
      </c>
      <c r="S16" s="213">
        <v>12.0</v>
      </c>
      <c r="T16" s="213"/>
      <c r="U16" s="26">
        <v>12.0</v>
      </c>
      <c r="V16" s="26">
        <v>12.0</v>
      </c>
      <c r="W16" s="26"/>
      <c r="X16" s="26">
        <v>12.0</v>
      </c>
      <c r="Y16" s="26">
        <v>12.0</v>
      </c>
      <c r="Z16" s="26">
        <v>12.0</v>
      </c>
      <c r="AA16" s="26"/>
      <c r="AB16" s="213"/>
      <c r="AC16" s="213"/>
      <c r="AD16" s="26">
        <v>12.0</v>
      </c>
      <c r="AE16" s="26">
        <v>12.0</v>
      </c>
      <c r="AF16" s="26"/>
      <c r="AG16" s="215">
        <v>12.0</v>
      </c>
      <c r="AH16" s="215">
        <v>12.0</v>
      </c>
      <c r="AI16" s="214">
        <v>12.0</v>
      </c>
      <c r="AJ16" s="214"/>
      <c r="AK16" s="215">
        <v>12.0</v>
      </c>
      <c r="AL16" s="211">
        <v>26.0</v>
      </c>
      <c r="AM16" s="57">
        <f t="shared" ref="AM16:AM22" si="4">SUM(G16:AK16)</f>
        <v>252</v>
      </c>
      <c r="AN16" s="73" t="s">
        <v>207</v>
      </c>
    </row>
    <row r="17" ht="14.25" customHeight="1">
      <c r="A17" s="24">
        <v>9.0</v>
      </c>
      <c r="B17" s="35" t="s">
        <v>53</v>
      </c>
      <c r="C17" s="27">
        <v>1.0</v>
      </c>
      <c r="D17" s="36" t="s">
        <v>54</v>
      </c>
      <c r="E17" s="27" t="s">
        <v>55</v>
      </c>
      <c r="F17" s="47" t="s">
        <v>46</v>
      </c>
      <c r="G17" s="24">
        <v>12.0</v>
      </c>
      <c r="H17" s="24">
        <v>12.0</v>
      </c>
      <c r="I17" s="24">
        <v>12.0</v>
      </c>
      <c r="J17" s="24">
        <v>12.0</v>
      </c>
      <c r="K17" s="24">
        <v>12.0</v>
      </c>
      <c r="L17" s="110"/>
      <c r="M17" s="110">
        <v>12.0</v>
      </c>
      <c r="N17" s="24">
        <v>12.0</v>
      </c>
      <c r="O17" s="24">
        <v>12.0</v>
      </c>
      <c r="P17" s="24">
        <v>12.0</v>
      </c>
      <c r="Q17" s="24">
        <v>12.0</v>
      </c>
      <c r="R17" s="24">
        <v>12.0</v>
      </c>
      <c r="S17" s="110"/>
      <c r="T17" s="110">
        <v>12.0</v>
      </c>
      <c r="U17" s="24">
        <v>12.0</v>
      </c>
      <c r="V17" s="24">
        <v>12.0</v>
      </c>
      <c r="W17" s="24">
        <v>12.0</v>
      </c>
      <c r="X17" s="24">
        <v>12.0</v>
      </c>
      <c r="Y17" s="24">
        <v>12.0</v>
      </c>
      <c r="Z17" s="24"/>
      <c r="AA17" s="24">
        <v>12.0</v>
      </c>
      <c r="AB17" s="110">
        <v>12.0</v>
      </c>
      <c r="AC17" s="110">
        <v>12.0</v>
      </c>
      <c r="AD17" s="24">
        <v>12.0</v>
      </c>
      <c r="AE17" s="24">
        <v>12.0</v>
      </c>
      <c r="AF17" s="24">
        <v>12.0</v>
      </c>
      <c r="AG17" s="24"/>
      <c r="AH17" s="24">
        <v>12.0</v>
      </c>
      <c r="AI17" s="110">
        <v>12.0</v>
      </c>
      <c r="AJ17" s="110">
        <v>12.0</v>
      </c>
      <c r="AK17" s="24">
        <v>12.0</v>
      </c>
      <c r="AL17" s="211">
        <v>15.0</v>
      </c>
      <c r="AM17" s="57">
        <f t="shared" si="4"/>
        <v>324</v>
      </c>
      <c r="AN17" s="73" t="s">
        <v>207</v>
      </c>
    </row>
    <row r="18" ht="14.25" customHeight="1">
      <c r="A18" s="24">
        <v>10.0</v>
      </c>
      <c r="B18" s="35" t="s">
        <v>49</v>
      </c>
      <c r="C18" s="27">
        <v>1.0</v>
      </c>
      <c r="D18" s="36" t="s">
        <v>272</v>
      </c>
      <c r="E18" s="27" t="s">
        <v>51</v>
      </c>
      <c r="F18" s="47" t="s">
        <v>52</v>
      </c>
      <c r="G18" s="24">
        <v>24.0</v>
      </c>
      <c r="H18" s="24"/>
      <c r="I18" s="24">
        <v>24.0</v>
      </c>
      <c r="J18" s="24"/>
      <c r="K18" s="24">
        <v>24.0</v>
      </c>
      <c r="L18" s="110"/>
      <c r="M18" s="110">
        <v>24.0</v>
      </c>
      <c r="N18" s="24"/>
      <c r="O18" s="24">
        <v>24.0</v>
      </c>
      <c r="P18" s="24"/>
      <c r="Q18" s="24">
        <v>24.0</v>
      </c>
      <c r="R18" s="24"/>
      <c r="S18" s="110">
        <v>24.0</v>
      </c>
      <c r="T18" s="110"/>
      <c r="U18" s="24">
        <v>24.0</v>
      </c>
      <c r="V18" s="24"/>
      <c r="W18" s="24">
        <v>24.0</v>
      </c>
      <c r="X18" s="24"/>
      <c r="Y18" s="24">
        <v>24.0</v>
      </c>
      <c r="Z18" s="24"/>
      <c r="AA18" s="24">
        <v>24.0</v>
      </c>
      <c r="AB18" s="110"/>
      <c r="AC18" s="110"/>
      <c r="AD18" s="24"/>
      <c r="AE18" s="24">
        <v>24.0</v>
      </c>
      <c r="AF18" s="24"/>
      <c r="AG18" s="24">
        <v>24.0</v>
      </c>
      <c r="AH18" s="24"/>
      <c r="AI18" s="110">
        <v>24.0</v>
      </c>
      <c r="AJ18" s="110"/>
      <c r="AK18" s="24">
        <v>24.0</v>
      </c>
      <c r="AL18" s="211">
        <v>16.0</v>
      </c>
      <c r="AM18" s="57">
        <f t="shared" si="4"/>
        <v>360</v>
      </c>
      <c r="AN18" s="73" t="s">
        <v>207</v>
      </c>
    </row>
    <row r="19" ht="14.25" customHeight="1">
      <c r="A19" s="24">
        <v>11.0</v>
      </c>
      <c r="B19" s="35" t="s">
        <v>49</v>
      </c>
      <c r="C19" s="27">
        <v>1.0</v>
      </c>
      <c r="D19" s="36" t="s">
        <v>56</v>
      </c>
      <c r="E19" s="27" t="s">
        <v>216</v>
      </c>
      <c r="F19" s="47" t="s">
        <v>52</v>
      </c>
      <c r="G19" s="24"/>
      <c r="H19" s="24">
        <v>24.0</v>
      </c>
      <c r="I19" s="24"/>
      <c r="J19" s="24">
        <v>24.0</v>
      </c>
      <c r="K19" s="24"/>
      <c r="L19" s="110">
        <v>24.0</v>
      </c>
      <c r="M19" s="110"/>
      <c r="N19" s="24">
        <v>24.0</v>
      </c>
      <c r="O19" s="24"/>
      <c r="P19" s="24">
        <v>24.0</v>
      </c>
      <c r="Q19" s="24"/>
      <c r="R19" s="24">
        <v>24.0</v>
      </c>
      <c r="S19" s="110"/>
      <c r="T19" s="110">
        <v>24.0</v>
      </c>
      <c r="U19" s="24"/>
      <c r="V19" s="24">
        <v>24.0</v>
      </c>
      <c r="W19" s="24"/>
      <c r="X19" s="24">
        <v>24.0</v>
      </c>
      <c r="Y19" s="24"/>
      <c r="Z19" s="24">
        <v>24.0</v>
      </c>
      <c r="AA19" s="24"/>
      <c r="AB19" s="110">
        <v>24.0</v>
      </c>
      <c r="AC19" s="110"/>
      <c r="AD19" s="24">
        <v>24.0</v>
      </c>
      <c r="AE19" s="24"/>
      <c r="AF19" s="24">
        <v>24.0</v>
      </c>
      <c r="AG19" s="24"/>
      <c r="AH19" s="24">
        <v>24.0</v>
      </c>
      <c r="AI19" s="110"/>
      <c r="AJ19" s="110">
        <v>24.0</v>
      </c>
      <c r="AK19" s="24"/>
      <c r="AL19" s="211">
        <f t="shared" ref="AL19:AL22" si="5">COUNTA(G19:AK19)</f>
        <v>15</v>
      </c>
      <c r="AM19" s="57">
        <f t="shared" si="4"/>
        <v>360</v>
      </c>
    </row>
    <row r="20" ht="14.25" customHeight="1">
      <c r="A20" s="24">
        <v>12.0</v>
      </c>
      <c r="B20" s="35" t="s">
        <v>62</v>
      </c>
      <c r="C20" s="27">
        <v>1.0</v>
      </c>
      <c r="D20" s="67" t="s">
        <v>264</v>
      </c>
      <c r="E20" s="27" t="s">
        <v>64</v>
      </c>
      <c r="F20" s="47" t="s">
        <v>65</v>
      </c>
      <c r="G20" s="26">
        <v>12.0</v>
      </c>
      <c r="H20" s="26">
        <v>12.0</v>
      </c>
      <c r="I20" s="26">
        <v>12.0</v>
      </c>
      <c r="J20" s="26"/>
      <c r="K20" s="26">
        <v>12.0</v>
      </c>
      <c r="L20" s="213">
        <v>12.0</v>
      </c>
      <c r="M20" s="213"/>
      <c r="N20" s="26">
        <v>12.0</v>
      </c>
      <c r="O20" s="26">
        <v>12.0</v>
      </c>
      <c r="P20" s="26"/>
      <c r="Q20" s="26">
        <v>12.0</v>
      </c>
      <c r="R20" s="26">
        <v>12.0</v>
      </c>
      <c r="S20" s="213">
        <v>12.0</v>
      </c>
      <c r="T20" s="213"/>
      <c r="U20" s="26">
        <v>12.0</v>
      </c>
      <c r="V20" s="26">
        <v>12.0</v>
      </c>
      <c r="W20" s="26"/>
      <c r="X20" s="26">
        <v>12.0</v>
      </c>
      <c r="Y20" s="26">
        <v>12.0</v>
      </c>
      <c r="Z20" s="26">
        <v>12.0</v>
      </c>
      <c r="AA20" s="26"/>
      <c r="AB20" s="213"/>
      <c r="AC20" s="213"/>
      <c r="AD20" s="26">
        <v>12.0</v>
      </c>
      <c r="AE20" s="26">
        <v>12.0</v>
      </c>
      <c r="AF20" s="26"/>
      <c r="AG20" s="215">
        <v>12.0</v>
      </c>
      <c r="AH20" s="215">
        <v>12.0</v>
      </c>
      <c r="AI20" s="214">
        <v>12.0</v>
      </c>
      <c r="AJ20" s="214"/>
      <c r="AK20" s="215">
        <v>12.0</v>
      </c>
      <c r="AL20" s="211">
        <f t="shared" si="5"/>
        <v>21</v>
      </c>
      <c r="AM20" s="57">
        <f t="shared" si="4"/>
        <v>252</v>
      </c>
      <c r="AN20" s="73" t="s">
        <v>207</v>
      </c>
    </row>
    <row r="21" ht="14.25" customHeight="1">
      <c r="A21" s="24">
        <v>13.0</v>
      </c>
      <c r="B21" s="35" t="s">
        <v>67</v>
      </c>
      <c r="C21" s="27">
        <v>1.0</v>
      </c>
      <c r="D21" s="36" t="s">
        <v>243</v>
      </c>
      <c r="E21" s="27" t="s">
        <v>70</v>
      </c>
      <c r="F21" s="28" t="s">
        <v>30</v>
      </c>
      <c r="G21" s="24">
        <v>12.0</v>
      </c>
      <c r="H21" s="24">
        <v>12.0</v>
      </c>
      <c r="I21" s="24">
        <v>12.0</v>
      </c>
      <c r="J21" s="24">
        <v>12.0</v>
      </c>
      <c r="K21" s="24"/>
      <c r="L21" s="110"/>
      <c r="M21" s="110">
        <v>12.0</v>
      </c>
      <c r="N21" s="24">
        <v>12.0</v>
      </c>
      <c r="O21" s="24">
        <v>12.0</v>
      </c>
      <c r="P21" s="24">
        <v>12.0</v>
      </c>
      <c r="Q21" s="24">
        <v>12.0</v>
      </c>
      <c r="R21" s="24"/>
      <c r="S21" s="110"/>
      <c r="T21" s="110">
        <v>12.0</v>
      </c>
      <c r="U21" s="24">
        <v>12.0</v>
      </c>
      <c r="V21" s="24">
        <v>12.0</v>
      </c>
      <c r="W21" s="24">
        <v>12.0</v>
      </c>
      <c r="X21" s="24">
        <v>12.0</v>
      </c>
      <c r="Y21" s="24"/>
      <c r="Z21" s="24"/>
      <c r="AA21" s="24">
        <v>12.0</v>
      </c>
      <c r="AB21" s="110">
        <v>12.0</v>
      </c>
      <c r="AC21" s="110">
        <v>12.0</v>
      </c>
      <c r="AD21" s="24">
        <v>12.0</v>
      </c>
      <c r="AE21" s="24">
        <v>12.0</v>
      </c>
      <c r="AF21" s="24"/>
      <c r="AG21" s="24"/>
      <c r="AH21" s="24">
        <v>12.0</v>
      </c>
      <c r="AI21" s="110">
        <v>12.0</v>
      </c>
      <c r="AJ21" s="110">
        <v>12.0</v>
      </c>
      <c r="AK21" s="24">
        <v>12.0</v>
      </c>
      <c r="AL21" s="211">
        <f t="shared" si="5"/>
        <v>23</v>
      </c>
      <c r="AM21" s="57">
        <f t="shared" si="4"/>
        <v>276</v>
      </c>
      <c r="AN21" s="73" t="s">
        <v>207</v>
      </c>
    </row>
    <row r="22" ht="14.25" customHeight="1">
      <c r="A22" s="24">
        <v>14.0</v>
      </c>
      <c r="B22" s="35" t="s">
        <v>71</v>
      </c>
      <c r="C22" s="27">
        <v>1.0</v>
      </c>
      <c r="D22" s="36" t="s">
        <v>76</v>
      </c>
      <c r="E22" s="27" t="s">
        <v>73</v>
      </c>
      <c r="F22" s="28" t="s">
        <v>26</v>
      </c>
      <c r="G22" s="448"/>
      <c r="H22" s="24">
        <v>12.0</v>
      </c>
      <c r="I22" s="24">
        <v>12.0</v>
      </c>
      <c r="J22" s="24">
        <v>12.0</v>
      </c>
      <c r="K22" s="24">
        <v>12.0</v>
      </c>
      <c r="L22" s="110">
        <v>12.0</v>
      </c>
      <c r="M22" s="110">
        <v>12.0</v>
      </c>
      <c r="N22" s="448"/>
      <c r="O22" s="24">
        <v>12.0</v>
      </c>
      <c r="P22" s="24">
        <v>12.0</v>
      </c>
      <c r="Q22" s="24">
        <v>12.0</v>
      </c>
      <c r="R22" s="24">
        <v>12.0</v>
      </c>
      <c r="S22" s="110">
        <v>12.0</v>
      </c>
      <c r="T22" s="110">
        <v>12.0</v>
      </c>
      <c r="U22" s="448"/>
      <c r="V22" s="24">
        <v>12.0</v>
      </c>
      <c r="W22" s="24">
        <v>12.0</v>
      </c>
      <c r="X22" s="24">
        <v>12.0</v>
      </c>
      <c r="Y22" s="24">
        <v>12.0</v>
      </c>
      <c r="Z22" s="24">
        <v>12.0</v>
      </c>
      <c r="AA22" s="24">
        <v>12.0</v>
      </c>
      <c r="AB22" s="110"/>
      <c r="AC22" s="110"/>
      <c r="AD22" s="448"/>
      <c r="AE22" s="24">
        <v>12.0</v>
      </c>
      <c r="AF22" s="24">
        <v>12.0</v>
      </c>
      <c r="AG22" s="24">
        <v>12.0</v>
      </c>
      <c r="AH22" s="24">
        <v>12.0</v>
      </c>
      <c r="AI22" s="110">
        <v>12.0</v>
      </c>
      <c r="AJ22" s="110">
        <v>12.0</v>
      </c>
      <c r="AK22" s="24"/>
      <c r="AL22" s="211">
        <f t="shared" si="5"/>
        <v>24</v>
      </c>
      <c r="AM22" s="57">
        <f t="shared" si="4"/>
        <v>288</v>
      </c>
      <c r="AN22" s="73" t="s">
        <v>207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ht="14.25" customHeight="1">
      <c r="A24" s="34">
        <v>15.0</v>
      </c>
      <c r="B24" s="35" t="s">
        <v>266</v>
      </c>
      <c r="C24" s="27">
        <v>1.0</v>
      </c>
      <c r="D24" s="37" t="s">
        <v>82</v>
      </c>
      <c r="E24" s="27" t="s">
        <v>102</v>
      </c>
      <c r="F24" s="250" t="s">
        <v>85</v>
      </c>
      <c r="G24" s="24"/>
      <c r="H24" s="24">
        <v>24.0</v>
      </c>
      <c r="I24" s="24"/>
      <c r="J24" s="24"/>
      <c r="K24" s="24">
        <v>24.0</v>
      </c>
      <c r="L24" s="110"/>
      <c r="M24" s="110"/>
      <c r="N24" s="24">
        <v>24.0</v>
      </c>
      <c r="O24" s="24"/>
      <c r="P24" s="24"/>
      <c r="Q24" s="24">
        <v>24.0</v>
      </c>
      <c r="R24" s="24"/>
      <c r="S24" s="110"/>
      <c r="T24" s="110">
        <v>24.0</v>
      </c>
      <c r="U24" s="24"/>
      <c r="V24" s="24"/>
      <c r="W24" s="24">
        <v>24.0</v>
      </c>
      <c r="X24" s="24"/>
      <c r="Y24" s="24"/>
      <c r="Z24" s="24">
        <v>24.0</v>
      </c>
      <c r="AA24" s="24"/>
      <c r="AB24" s="110"/>
      <c r="AC24" s="110">
        <v>24.0</v>
      </c>
      <c r="AD24" s="24"/>
      <c r="AE24" s="24"/>
      <c r="AF24" s="24">
        <v>24.0</v>
      </c>
      <c r="AG24" s="24"/>
      <c r="AH24" s="24"/>
      <c r="AI24" s="110">
        <v>24.0</v>
      </c>
      <c r="AJ24" s="110"/>
      <c r="AK24" s="24"/>
      <c r="AL24" s="211">
        <f t="shared" ref="AL24:AL39" si="6">COUNTA(G24:AK24)</f>
        <v>10</v>
      </c>
      <c r="AM24" s="57">
        <f t="shared" ref="AM24:AM39" si="7">SUM(G24:AK24)</f>
        <v>240</v>
      </c>
      <c r="AN24" s="73" t="s">
        <v>207</v>
      </c>
    </row>
    <row r="25" ht="14.25" customHeight="1">
      <c r="A25" s="34">
        <v>16.0</v>
      </c>
      <c r="B25" s="35" t="s">
        <v>86</v>
      </c>
      <c r="C25" s="27">
        <v>1.0</v>
      </c>
      <c r="D25" s="90" t="s">
        <v>276</v>
      </c>
      <c r="E25" s="27" t="s">
        <v>102</v>
      </c>
      <c r="F25" s="88"/>
      <c r="G25" s="24"/>
      <c r="H25" s="24"/>
      <c r="I25" s="24">
        <v>24.0</v>
      </c>
      <c r="J25" s="24"/>
      <c r="K25" s="24"/>
      <c r="L25" s="110">
        <v>24.0</v>
      </c>
      <c r="M25" s="110"/>
      <c r="N25" s="24"/>
      <c r="O25" s="24">
        <v>24.0</v>
      </c>
      <c r="P25" s="24"/>
      <c r="Q25" s="24"/>
      <c r="R25" s="24">
        <v>24.0</v>
      </c>
      <c r="S25" s="110"/>
      <c r="T25" s="110"/>
      <c r="U25" s="24">
        <v>24.0</v>
      </c>
      <c r="V25" s="24"/>
      <c r="W25" s="24"/>
      <c r="X25" s="24">
        <v>24.0</v>
      </c>
      <c r="Y25" s="24"/>
      <c r="Z25" s="24"/>
      <c r="AA25" s="24">
        <v>24.0</v>
      </c>
      <c r="AB25" s="110"/>
      <c r="AC25" s="110"/>
      <c r="AD25" s="24">
        <v>24.0</v>
      </c>
      <c r="AE25" s="24"/>
      <c r="AF25" s="24"/>
      <c r="AG25" s="24">
        <v>24.0</v>
      </c>
      <c r="AH25" s="24"/>
      <c r="AI25" s="110"/>
      <c r="AJ25" s="110">
        <v>24.0</v>
      </c>
      <c r="AK25" s="24"/>
      <c r="AL25" s="211">
        <f t="shared" si="6"/>
        <v>10</v>
      </c>
      <c r="AM25" s="57">
        <f t="shared" si="7"/>
        <v>240</v>
      </c>
      <c r="AN25" s="73" t="s">
        <v>207</v>
      </c>
    </row>
    <row r="26" ht="14.25" customHeight="1">
      <c r="A26" s="34">
        <v>17.0</v>
      </c>
      <c r="B26" s="35" t="s">
        <v>86</v>
      </c>
      <c r="C26" s="65">
        <v>1.0</v>
      </c>
      <c r="D26" s="37" t="s">
        <v>198</v>
      </c>
      <c r="E26" s="27" t="s">
        <v>102</v>
      </c>
      <c r="F26" s="88"/>
      <c r="G26" s="24">
        <v>24.0</v>
      </c>
      <c r="H26" s="24"/>
      <c r="I26" s="24"/>
      <c r="J26" s="24">
        <v>24.0</v>
      </c>
      <c r="K26" s="24"/>
      <c r="L26" s="110"/>
      <c r="M26" s="110">
        <v>24.0</v>
      </c>
      <c r="N26" s="24"/>
      <c r="O26" s="24"/>
      <c r="P26" s="24">
        <v>24.0</v>
      </c>
      <c r="Q26" s="24"/>
      <c r="R26" s="24"/>
      <c r="S26" s="110">
        <v>24.0</v>
      </c>
      <c r="T26" s="110"/>
      <c r="U26" s="24"/>
      <c r="V26" s="24">
        <v>24.0</v>
      </c>
      <c r="W26" s="24"/>
      <c r="X26" s="24"/>
      <c r="Y26" s="24">
        <v>24.0</v>
      </c>
      <c r="Z26" s="24"/>
      <c r="AA26" s="24"/>
      <c r="AB26" s="110">
        <v>24.0</v>
      </c>
      <c r="AC26" s="110"/>
      <c r="AD26" s="24"/>
      <c r="AE26" s="24">
        <v>24.0</v>
      </c>
      <c r="AF26" s="24"/>
      <c r="AG26" s="24"/>
      <c r="AH26" s="24">
        <v>24.0</v>
      </c>
      <c r="AI26" s="110"/>
      <c r="AJ26" s="110"/>
      <c r="AK26" s="24">
        <v>24.0</v>
      </c>
      <c r="AL26" s="211">
        <f t="shared" si="6"/>
        <v>11</v>
      </c>
      <c r="AM26" s="57">
        <f t="shared" si="7"/>
        <v>264</v>
      </c>
      <c r="AN26" s="73" t="s">
        <v>207</v>
      </c>
    </row>
    <row r="27" ht="14.25" customHeight="1">
      <c r="A27" s="34">
        <v>18.0</v>
      </c>
      <c r="B27" s="35" t="s">
        <v>95</v>
      </c>
      <c r="C27" s="65">
        <v>1.0</v>
      </c>
      <c r="D27" s="90" t="s">
        <v>97</v>
      </c>
      <c r="E27" s="27" t="s">
        <v>102</v>
      </c>
      <c r="F27" s="88"/>
      <c r="G27" s="24"/>
      <c r="H27" s="24"/>
      <c r="I27" s="24">
        <v>17.0</v>
      </c>
      <c r="J27" s="24">
        <v>17.0</v>
      </c>
      <c r="K27" s="24">
        <v>17.0</v>
      </c>
      <c r="L27" s="110">
        <v>17.0</v>
      </c>
      <c r="M27" s="110">
        <v>17.0</v>
      </c>
      <c r="N27" s="24"/>
      <c r="O27" s="24"/>
      <c r="P27" s="24">
        <v>24.0</v>
      </c>
      <c r="Q27" s="24"/>
      <c r="R27" s="24"/>
      <c r="S27" s="110">
        <v>24.0</v>
      </c>
      <c r="T27" s="110"/>
      <c r="U27" s="24"/>
      <c r="V27" s="24">
        <v>24.0</v>
      </c>
      <c r="W27" s="24"/>
      <c r="X27" s="24"/>
      <c r="Y27" s="24">
        <v>24.0</v>
      </c>
      <c r="Z27" s="24"/>
      <c r="AA27" s="24"/>
      <c r="AB27" s="110"/>
      <c r="AC27" s="110"/>
      <c r="AD27" s="24">
        <v>24.0</v>
      </c>
      <c r="AE27" s="24"/>
      <c r="AF27" s="24"/>
      <c r="AG27" s="24">
        <v>24.0</v>
      </c>
      <c r="AH27" s="24"/>
      <c r="AI27" s="110"/>
      <c r="AJ27" s="110">
        <v>24.0</v>
      </c>
      <c r="AK27" s="24"/>
      <c r="AL27" s="211">
        <f t="shared" si="6"/>
        <v>12</v>
      </c>
      <c r="AM27" s="57">
        <f t="shared" si="7"/>
        <v>253</v>
      </c>
      <c r="AN27" s="73" t="s">
        <v>207</v>
      </c>
    </row>
    <row r="28" ht="14.25" customHeight="1">
      <c r="A28" s="34">
        <v>19.0</v>
      </c>
      <c r="B28" s="35" t="s">
        <v>95</v>
      </c>
      <c r="C28" s="65">
        <v>1.0</v>
      </c>
      <c r="D28" s="130" t="s">
        <v>63</v>
      </c>
      <c r="E28" s="27" t="s">
        <v>102</v>
      </c>
      <c r="F28" s="88"/>
      <c r="G28" s="24"/>
      <c r="H28" s="24"/>
      <c r="I28" s="24">
        <v>24.0</v>
      </c>
      <c r="J28" s="24"/>
      <c r="K28" s="24"/>
      <c r="L28" s="110">
        <v>24.0</v>
      </c>
      <c r="M28" s="110"/>
      <c r="N28" s="24"/>
      <c r="O28" s="24">
        <v>24.0</v>
      </c>
      <c r="P28" s="24"/>
      <c r="Q28" s="24"/>
      <c r="R28" s="24">
        <v>24.0</v>
      </c>
      <c r="S28" s="110"/>
      <c r="T28" s="110"/>
      <c r="U28" s="24">
        <v>24.0</v>
      </c>
      <c r="V28" s="24"/>
      <c r="W28" s="24"/>
      <c r="X28" s="24">
        <v>24.0</v>
      </c>
      <c r="Y28" s="24"/>
      <c r="Z28" s="24"/>
      <c r="AA28" s="24">
        <v>24.0</v>
      </c>
      <c r="AB28" s="110"/>
      <c r="AC28" s="110"/>
      <c r="AD28" s="24"/>
      <c r="AE28" s="24"/>
      <c r="AF28" s="24">
        <v>17.0</v>
      </c>
      <c r="AG28" s="24">
        <v>17.0</v>
      </c>
      <c r="AH28" s="24">
        <v>17.0</v>
      </c>
      <c r="AI28" s="110">
        <v>17.0</v>
      </c>
      <c r="AJ28" s="110">
        <v>17.0</v>
      </c>
      <c r="AK28" s="24"/>
      <c r="AL28" s="211">
        <f t="shared" si="6"/>
        <v>12</v>
      </c>
      <c r="AM28" s="57">
        <f t="shared" si="7"/>
        <v>253</v>
      </c>
      <c r="AN28" s="73" t="s">
        <v>207</v>
      </c>
    </row>
    <row r="29" ht="14.25" customHeight="1">
      <c r="A29" s="34">
        <v>20.0</v>
      </c>
      <c r="B29" s="97" t="s">
        <v>95</v>
      </c>
      <c r="C29" s="65">
        <v>1.0</v>
      </c>
      <c r="D29" s="90" t="s">
        <v>106</v>
      </c>
      <c r="E29" s="27" t="s">
        <v>269</v>
      </c>
      <c r="F29" s="88"/>
      <c r="G29" s="24">
        <v>24.0</v>
      </c>
      <c r="H29" s="24"/>
      <c r="I29" s="24"/>
      <c r="J29" s="24">
        <v>24.0</v>
      </c>
      <c r="K29" s="24"/>
      <c r="L29" s="110"/>
      <c r="M29" s="110">
        <v>24.0</v>
      </c>
      <c r="N29" s="24"/>
      <c r="O29" s="24"/>
      <c r="P29" s="24">
        <v>17.0</v>
      </c>
      <c r="Q29" s="24">
        <v>17.0</v>
      </c>
      <c r="R29" s="24">
        <v>17.0</v>
      </c>
      <c r="S29" s="110">
        <v>17.0</v>
      </c>
      <c r="T29" s="110">
        <v>17.0</v>
      </c>
      <c r="U29" s="24"/>
      <c r="V29" s="24"/>
      <c r="W29" s="24">
        <v>24.0</v>
      </c>
      <c r="X29" s="24"/>
      <c r="Y29" s="24"/>
      <c r="Z29" s="24">
        <v>24.0</v>
      </c>
      <c r="AA29" s="24"/>
      <c r="AB29" s="110"/>
      <c r="AC29" s="110"/>
      <c r="AD29" s="24"/>
      <c r="AE29" s="24">
        <v>24.0</v>
      </c>
      <c r="AF29" s="24"/>
      <c r="AG29" s="24"/>
      <c r="AH29" s="24">
        <v>24.0</v>
      </c>
      <c r="AI29" s="110"/>
      <c r="AJ29" s="110"/>
      <c r="AK29" s="24">
        <v>24.0</v>
      </c>
      <c r="AL29" s="211">
        <f t="shared" si="6"/>
        <v>13</v>
      </c>
      <c r="AM29" s="57">
        <f t="shared" si="7"/>
        <v>277</v>
      </c>
      <c r="AN29" s="73" t="s">
        <v>207</v>
      </c>
    </row>
    <row r="30" ht="14.25" customHeight="1">
      <c r="A30" s="34">
        <v>21.0</v>
      </c>
      <c r="B30" s="35" t="s">
        <v>95</v>
      </c>
      <c r="C30" s="65">
        <v>1.0</v>
      </c>
      <c r="D30" s="90" t="s">
        <v>279</v>
      </c>
      <c r="E30" s="27" t="s">
        <v>102</v>
      </c>
      <c r="F30" s="450"/>
      <c r="G30" s="24"/>
      <c r="H30" s="24">
        <v>24.0</v>
      </c>
      <c r="I30" s="24"/>
      <c r="J30" s="24"/>
      <c r="K30" s="24">
        <v>24.0</v>
      </c>
      <c r="L30" s="110"/>
      <c r="M30" s="110"/>
      <c r="N30" s="24">
        <v>24.0</v>
      </c>
      <c r="O30" s="24"/>
      <c r="P30" s="24"/>
      <c r="Q30" s="24">
        <v>24.0</v>
      </c>
      <c r="R30" s="24"/>
      <c r="S30" s="110"/>
      <c r="T30" s="110">
        <v>24.0</v>
      </c>
      <c r="U30" s="24"/>
      <c r="V30" s="24"/>
      <c r="W30" s="24">
        <v>17.0</v>
      </c>
      <c r="X30" s="24">
        <v>17.0</v>
      </c>
      <c r="Y30" s="24">
        <v>17.0</v>
      </c>
      <c r="Z30" s="24">
        <v>17.0</v>
      </c>
      <c r="AA30" s="24">
        <v>17.0</v>
      </c>
      <c r="AB30" s="110"/>
      <c r="AC30" s="110"/>
      <c r="AD30" s="24"/>
      <c r="AE30" s="24"/>
      <c r="AF30" s="24">
        <v>24.0</v>
      </c>
      <c r="AG30" s="24"/>
      <c r="AH30" s="24"/>
      <c r="AI30" s="110">
        <v>24.0</v>
      </c>
      <c r="AJ30" s="110"/>
      <c r="AK30" s="24"/>
      <c r="AL30" s="211">
        <f t="shared" si="6"/>
        <v>12</v>
      </c>
      <c r="AM30" s="57">
        <f t="shared" si="7"/>
        <v>253</v>
      </c>
      <c r="AN30" s="73" t="s">
        <v>207</v>
      </c>
    </row>
    <row r="31" ht="14.25" customHeight="1">
      <c r="A31" s="34">
        <v>22.0</v>
      </c>
      <c r="B31" s="64" t="s">
        <v>184</v>
      </c>
      <c r="C31" s="101">
        <v>1.0</v>
      </c>
      <c r="D31" s="102" t="s">
        <v>63</v>
      </c>
      <c r="E31" s="101" t="s">
        <v>105</v>
      </c>
      <c r="F31" s="103">
        <v>0.4</v>
      </c>
      <c r="G31" s="106"/>
      <c r="H31" s="106"/>
      <c r="I31" s="106">
        <v>17.0</v>
      </c>
      <c r="J31" s="106">
        <v>17.0</v>
      </c>
      <c r="K31" s="106">
        <v>17.0</v>
      </c>
      <c r="L31" s="107"/>
      <c r="M31" s="107"/>
      <c r="N31" s="106"/>
      <c r="O31" s="106">
        <v>17.0</v>
      </c>
      <c r="P31" s="106">
        <v>17.0</v>
      </c>
      <c r="Q31" s="106">
        <v>17.0</v>
      </c>
      <c r="R31" s="106"/>
      <c r="S31" s="107"/>
      <c r="T31" s="107"/>
      <c r="U31" s="106">
        <v>17.0</v>
      </c>
      <c r="V31" s="106">
        <v>17.0</v>
      </c>
      <c r="W31" s="106">
        <v>17.0</v>
      </c>
      <c r="X31" s="106"/>
      <c r="Y31" s="106"/>
      <c r="Z31" s="106"/>
      <c r="AA31" s="106">
        <v>17.0</v>
      </c>
      <c r="AB31" s="107"/>
      <c r="AC31" s="107"/>
      <c r="AD31" s="106">
        <v>17.0</v>
      </c>
      <c r="AE31" s="106">
        <v>17.0</v>
      </c>
      <c r="AF31" s="106"/>
      <c r="AG31" s="106"/>
      <c r="AH31" s="106"/>
      <c r="AI31" s="107">
        <v>17.0</v>
      </c>
      <c r="AJ31" s="107">
        <v>17.0</v>
      </c>
      <c r="AK31" s="106"/>
      <c r="AL31" s="211">
        <f t="shared" si="6"/>
        <v>14</v>
      </c>
      <c r="AM31" s="57">
        <f t="shared" si="7"/>
        <v>238</v>
      </c>
      <c r="AN31" s="73" t="s">
        <v>207</v>
      </c>
    </row>
    <row r="32" ht="14.25" customHeight="1">
      <c r="A32" s="34">
        <v>23.0</v>
      </c>
      <c r="B32" s="137" t="s">
        <v>184</v>
      </c>
      <c r="C32" s="129">
        <v>1.0</v>
      </c>
      <c r="D32" s="102" t="s">
        <v>63</v>
      </c>
      <c r="E32" s="121" t="s">
        <v>105</v>
      </c>
      <c r="F32" s="103">
        <v>0.4</v>
      </c>
      <c r="G32" s="106"/>
      <c r="H32" s="106"/>
      <c r="I32" s="106"/>
      <c r="J32" s="106"/>
      <c r="K32" s="106"/>
      <c r="L32" s="107">
        <v>17.0</v>
      </c>
      <c r="M32" s="107">
        <v>17.0</v>
      </c>
      <c r="N32" s="106">
        <v>17.0</v>
      </c>
      <c r="O32" s="106"/>
      <c r="P32" s="106"/>
      <c r="Q32" s="106"/>
      <c r="R32" s="106">
        <v>17.0</v>
      </c>
      <c r="S32" s="107">
        <v>17.0</v>
      </c>
      <c r="T32" s="107">
        <v>17.0</v>
      </c>
      <c r="U32" s="106"/>
      <c r="V32" s="106"/>
      <c r="W32" s="106"/>
      <c r="X32" s="106">
        <v>17.0</v>
      </c>
      <c r="Y32" s="106">
        <v>17.0</v>
      </c>
      <c r="Z32" s="106">
        <v>17.0</v>
      </c>
      <c r="AA32" s="106"/>
      <c r="AB32" s="107"/>
      <c r="AC32" s="107"/>
      <c r="AD32" s="106"/>
      <c r="AE32" s="106"/>
      <c r="AF32" s="106">
        <v>17.0</v>
      </c>
      <c r="AG32" s="106">
        <v>17.0</v>
      </c>
      <c r="AH32" s="106">
        <v>17.0</v>
      </c>
      <c r="AI32" s="107"/>
      <c r="AJ32" s="107"/>
      <c r="AK32" s="106"/>
      <c r="AL32" s="211">
        <f t="shared" si="6"/>
        <v>12</v>
      </c>
      <c r="AM32" s="57">
        <f t="shared" si="7"/>
        <v>204</v>
      </c>
      <c r="AN32" s="73" t="s">
        <v>207</v>
      </c>
    </row>
    <row r="33" ht="17.25" customHeight="1">
      <c r="A33" s="34">
        <v>24.0</v>
      </c>
      <c r="B33" s="36" t="s">
        <v>109</v>
      </c>
      <c r="C33" s="65">
        <v>1.0</v>
      </c>
      <c r="D33" s="117" t="s">
        <v>131</v>
      </c>
      <c r="E33" s="27" t="s">
        <v>111</v>
      </c>
      <c r="F33" s="118" t="s">
        <v>26</v>
      </c>
      <c r="G33" s="24">
        <v>12.0</v>
      </c>
      <c r="H33" s="24">
        <v>12.0</v>
      </c>
      <c r="I33" s="453"/>
      <c r="J33" s="24">
        <v>12.0</v>
      </c>
      <c r="K33" s="24">
        <v>12.0</v>
      </c>
      <c r="L33" s="110">
        <v>12.0</v>
      </c>
      <c r="M33" s="110">
        <v>12.0</v>
      </c>
      <c r="N33" s="24">
        <v>12.0</v>
      </c>
      <c r="O33" s="24">
        <v>12.0</v>
      </c>
      <c r="P33" s="453"/>
      <c r="Q33" s="24">
        <v>12.0</v>
      </c>
      <c r="R33" s="24">
        <v>12.0</v>
      </c>
      <c r="S33" s="110">
        <v>12.0</v>
      </c>
      <c r="T33" s="110">
        <v>12.0</v>
      </c>
      <c r="U33" s="24">
        <v>12.0</v>
      </c>
      <c r="V33" s="24">
        <v>12.0</v>
      </c>
      <c r="W33" s="453"/>
      <c r="X33" s="24">
        <v>12.0</v>
      </c>
      <c r="Y33" s="24">
        <v>12.0</v>
      </c>
      <c r="Z33" s="24">
        <v>12.0</v>
      </c>
      <c r="AA33" s="24">
        <v>12.0</v>
      </c>
      <c r="AB33" s="110"/>
      <c r="AC33" s="110"/>
      <c r="AD33" s="24">
        <v>12.0</v>
      </c>
      <c r="AE33" s="24">
        <v>12.0</v>
      </c>
      <c r="AF33" s="453"/>
      <c r="AG33" s="24">
        <v>12.0</v>
      </c>
      <c r="AH33" s="24">
        <v>12.0</v>
      </c>
      <c r="AI33" s="110">
        <v>12.0</v>
      </c>
      <c r="AJ33" s="110">
        <v>12.0</v>
      </c>
      <c r="AK33" s="24"/>
      <c r="AL33" s="211">
        <f t="shared" si="6"/>
        <v>24</v>
      </c>
      <c r="AM33" s="57">
        <f t="shared" si="7"/>
        <v>288</v>
      </c>
      <c r="AN33" s="73" t="s">
        <v>207</v>
      </c>
    </row>
    <row r="34" ht="17.25" customHeight="1">
      <c r="A34" s="34">
        <v>25.0</v>
      </c>
      <c r="B34" s="35" t="s">
        <v>135</v>
      </c>
      <c r="C34" s="65">
        <v>1.0</v>
      </c>
      <c r="D34" s="90" t="s">
        <v>228</v>
      </c>
      <c r="E34" s="27" t="s">
        <v>111</v>
      </c>
      <c r="F34" s="118" t="s">
        <v>26</v>
      </c>
      <c r="G34" s="24">
        <v>12.0</v>
      </c>
      <c r="H34" s="454"/>
      <c r="I34" s="24">
        <v>12.0</v>
      </c>
      <c r="J34" s="24">
        <v>12.0</v>
      </c>
      <c r="K34" s="24">
        <v>12.0</v>
      </c>
      <c r="L34" s="110">
        <v>12.0</v>
      </c>
      <c r="M34" s="110">
        <v>12.0</v>
      </c>
      <c r="N34" s="24">
        <v>12.0</v>
      </c>
      <c r="O34" s="454"/>
      <c r="P34" s="24">
        <v>12.0</v>
      </c>
      <c r="Q34" s="24">
        <v>12.0</v>
      </c>
      <c r="R34" s="24">
        <v>12.0</v>
      </c>
      <c r="S34" s="110">
        <v>12.0</v>
      </c>
      <c r="T34" s="110">
        <v>12.0</v>
      </c>
      <c r="U34" s="24">
        <v>12.0</v>
      </c>
      <c r="V34" s="454"/>
      <c r="W34" s="24">
        <v>12.0</v>
      </c>
      <c r="X34" s="24">
        <v>12.0</v>
      </c>
      <c r="Y34" s="24">
        <v>12.0</v>
      </c>
      <c r="Z34" s="24">
        <v>12.0</v>
      </c>
      <c r="AA34" s="24">
        <v>12.0</v>
      </c>
      <c r="AB34" s="110"/>
      <c r="AC34" s="110"/>
      <c r="AD34" s="24">
        <v>12.0</v>
      </c>
      <c r="AE34" s="454"/>
      <c r="AF34" s="24">
        <v>12.0</v>
      </c>
      <c r="AG34" s="24">
        <v>12.0</v>
      </c>
      <c r="AH34" s="24">
        <v>12.0</v>
      </c>
      <c r="AI34" s="110">
        <v>12.0</v>
      </c>
      <c r="AJ34" s="110">
        <v>12.0</v>
      </c>
      <c r="AK34" s="24">
        <v>12.0</v>
      </c>
      <c r="AL34" s="211">
        <f t="shared" si="6"/>
        <v>25</v>
      </c>
      <c r="AM34" s="57">
        <f t="shared" si="7"/>
        <v>300</v>
      </c>
      <c r="AN34" s="73" t="s">
        <v>207</v>
      </c>
    </row>
    <row r="35" ht="20.25" customHeight="1">
      <c r="A35" s="34">
        <v>26.0</v>
      </c>
      <c r="B35" s="35" t="s">
        <v>135</v>
      </c>
      <c r="C35" s="65">
        <v>1.0</v>
      </c>
      <c r="D35" s="90" t="s">
        <v>282</v>
      </c>
      <c r="E35" s="27" t="s">
        <v>73</v>
      </c>
      <c r="F35" s="123" t="s">
        <v>26</v>
      </c>
      <c r="G35" s="448">
        <v>12.0</v>
      </c>
      <c r="H35" s="24"/>
      <c r="I35" s="24">
        <v>12.0</v>
      </c>
      <c r="J35" s="24">
        <v>12.0</v>
      </c>
      <c r="K35" s="24">
        <v>12.0</v>
      </c>
      <c r="L35" s="110">
        <v>12.0</v>
      </c>
      <c r="M35" s="110">
        <v>12.0</v>
      </c>
      <c r="N35" s="448">
        <v>12.0</v>
      </c>
      <c r="O35" s="24"/>
      <c r="P35" s="24">
        <v>12.0</v>
      </c>
      <c r="Q35" s="24">
        <v>12.0</v>
      </c>
      <c r="R35" s="24">
        <v>12.0</v>
      </c>
      <c r="S35" s="110">
        <v>12.0</v>
      </c>
      <c r="T35" s="110">
        <v>12.0</v>
      </c>
      <c r="U35" s="448">
        <v>12.0</v>
      </c>
      <c r="V35" s="24"/>
      <c r="W35" s="24">
        <v>12.0</v>
      </c>
      <c r="X35" s="24">
        <v>12.0</v>
      </c>
      <c r="Y35" s="24">
        <v>12.0</v>
      </c>
      <c r="Z35" s="24">
        <v>12.0</v>
      </c>
      <c r="AA35" s="24">
        <v>12.0</v>
      </c>
      <c r="AB35" s="110"/>
      <c r="AC35" s="110"/>
      <c r="AD35" s="448">
        <v>12.0</v>
      </c>
      <c r="AE35" s="24"/>
      <c r="AF35" s="24">
        <v>12.0</v>
      </c>
      <c r="AG35" s="24">
        <v>12.0</v>
      </c>
      <c r="AH35" s="24">
        <v>12.0</v>
      </c>
      <c r="AI35" s="110">
        <v>12.0</v>
      </c>
      <c r="AJ35" s="110">
        <v>12.0</v>
      </c>
      <c r="AK35" s="24">
        <v>12.0</v>
      </c>
      <c r="AL35" s="211">
        <f t="shared" si="6"/>
        <v>25</v>
      </c>
      <c r="AM35" s="57">
        <f t="shared" si="7"/>
        <v>300</v>
      </c>
      <c r="AN35" s="89" t="s">
        <v>207</v>
      </c>
    </row>
    <row r="36" ht="23.25" customHeight="1">
      <c r="A36" s="124">
        <v>27.0</v>
      </c>
      <c r="B36" s="128" t="s">
        <v>142</v>
      </c>
      <c r="C36" s="129">
        <v>1.0</v>
      </c>
      <c r="D36" s="130" t="s">
        <v>63</v>
      </c>
      <c r="E36" s="129" t="s">
        <v>125</v>
      </c>
      <c r="F36" s="250"/>
      <c r="G36" s="24"/>
      <c r="H36" s="454">
        <v>12.0</v>
      </c>
      <c r="I36" s="453">
        <v>12.0</v>
      </c>
      <c r="J36" s="24"/>
      <c r="K36" s="24"/>
      <c r="L36" s="110"/>
      <c r="M36" s="110"/>
      <c r="N36" s="24"/>
      <c r="O36" s="454">
        <v>12.0</v>
      </c>
      <c r="P36" s="453">
        <v>12.0</v>
      </c>
      <c r="Q36" s="24"/>
      <c r="R36" s="24"/>
      <c r="S36" s="110"/>
      <c r="T36" s="110"/>
      <c r="U36" s="24"/>
      <c r="V36" s="454">
        <v>12.0</v>
      </c>
      <c r="W36" s="453">
        <v>12.0</v>
      </c>
      <c r="X36" s="24"/>
      <c r="Y36" s="24"/>
      <c r="Z36" s="24"/>
      <c r="AA36" s="24"/>
      <c r="AB36" s="110"/>
      <c r="AC36" s="110"/>
      <c r="AD36" s="24"/>
      <c r="AE36" s="454">
        <v>12.0</v>
      </c>
      <c r="AF36" s="453">
        <v>12.0</v>
      </c>
      <c r="AG36" s="24"/>
      <c r="AH36" s="24"/>
      <c r="AI36" s="110"/>
      <c r="AJ36" s="110"/>
      <c r="AK36" s="24"/>
      <c r="AL36" s="211">
        <f t="shared" si="6"/>
        <v>8</v>
      </c>
      <c r="AM36" s="57">
        <f t="shared" si="7"/>
        <v>96</v>
      </c>
      <c r="AN36" s="73" t="s">
        <v>207</v>
      </c>
    </row>
    <row r="37" ht="19.5" customHeight="1">
      <c r="A37" s="17"/>
      <c r="B37" s="17"/>
      <c r="C37" s="17"/>
      <c r="D37" s="17"/>
      <c r="E37" s="121" t="s">
        <v>127</v>
      </c>
      <c r="F37" s="17"/>
      <c r="G37" s="24"/>
      <c r="H37" s="24"/>
      <c r="I37" s="24"/>
      <c r="J37" s="456">
        <v>12.0</v>
      </c>
      <c r="K37" s="24">
        <v>12.0</v>
      </c>
      <c r="L37" s="110">
        <v>12.0</v>
      </c>
      <c r="M37" s="110"/>
      <c r="N37" s="24"/>
      <c r="O37" s="24"/>
      <c r="P37" s="24"/>
      <c r="Q37" s="456">
        <v>12.0</v>
      </c>
      <c r="R37" s="24">
        <v>12.0</v>
      </c>
      <c r="S37" s="110">
        <v>12.0</v>
      </c>
      <c r="T37" s="110"/>
      <c r="U37" s="24"/>
      <c r="V37" s="24"/>
      <c r="W37" s="24"/>
      <c r="X37" s="456">
        <v>12.0</v>
      </c>
      <c r="Y37" s="24">
        <v>12.0</v>
      </c>
      <c r="Z37" s="24">
        <v>12.0</v>
      </c>
      <c r="AA37" s="24"/>
      <c r="AB37" s="110"/>
      <c r="AC37" s="110"/>
      <c r="AD37" s="24"/>
      <c r="AE37" s="24"/>
      <c r="AF37" s="24"/>
      <c r="AG37" s="456">
        <v>12.0</v>
      </c>
      <c r="AH37" s="24">
        <v>12.0</v>
      </c>
      <c r="AI37" s="110">
        <v>12.0</v>
      </c>
      <c r="AJ37" s="110"/>
      <c r="AK37" s="24"/>
      <c r="AL37" s="211">
        <f t="shared" si="6"/>
        <v>12</v>
      </c>
      <c r="AM37" s="57">
        <f t="shared" si="7"/>
        <v>144</v>
      </c>
      <c r="AN37" s="73" t="s">
        <v>207</v>
      </c>
    </row>
    <row r="38" ht="18.75" customHeight="1">
      <c r="A38" s="34">
        <v>28.0</v>
      </c>
      <c r="B38" s="35" t="s">
        <v>144</v>
      </c>
      <c r="C38" s="27">
        <v>1.0</v>
      </c>
      <c r="D38" s="117" t="s">
        <v>283</v>
      </c>
      <c r="E38" s="27" t="s">
        <v>133</v>
      </c>
      <c r="F38" s="123" t="s">
        <v>26</v>
      </c>
      <c r="G38" s="24">
        <v>12.0</v>
      </c>
      <c r="H38" s="24">
        <v>12.0</v>
      </c>
      <c r="I38" s="24">
        <v>12.0</v>
      </c>
      <c r="J38" s="456"/>
      <c r="K38" s="24">
        <v>12.0</v>
      </c>
      <c r="L38" s="110">
        <v>12.0</v>
      </c>
      <c r="M38" s="110">
        <v>12.0</v>
      </c>
      <c r="N38" s="24">
        <v>12.0</v>
      </c>
      <c r="O38" s="24">
        <v>12.0</v>
      </c>
      <c r="P38" s="24">
        <v>12.0</v>
      </c>
      <c r="Q38" s="456"/>
      <c r="R38" s="24">
        <v>12.0</v>
      </c>
      <c r="S38" s="110">
        <v>12.0</v>
      </c>
      <c r="T38" s="110">
        <v>12.0</v>
      </c>
      <c r="U38" s="24">
        <v>12.0</v>
      </c>
      <c r="V38" s="24">
        <v>12.0</v>
      </c>
      <c r="W38" s="24">
        <v>12.0</v>
      </c>
      <c r="X38" s="456"/>
      <c r="Y38" s="24">
        <v>12.0</v>
      </c>
      <c r="Z38" s="24">
        <v>12.0</v>
      </c>
      <c r="AA38" s="24">
        <v>12.0</v>
      </c>
      <c r="AB38" s="110"/>
      <c r="AC38" s="110"/>
      <c r="AD38" s="24">
        <v>12.0</v>
      </c>
      <c r="AE38" s="24">
        <v>12.0</v>
      </c>
      <c r="AF38" s="24">
        <v>12.0</v>
      </c>
      <c r="AG38" s="456"/>
      <c r="AH38" s="24">
        <v>12.0</v>
      </c>
      <c r="AI38" s="110">
        <v>12.0</v>
      </c>
      <c r="AJ38" s="110">
        <v>12.0</v>
      </c>
      <c r="AK38" s="24">
        <v>12.0</v>
      </c>
      <c r="AL38" s="211">
        <f t="shared" si="6"/>
        <v>25</v>
      </c>
      <c r="AM38" s="57">
        <f t="shared" si="7"/>
        <v>300</v>
      </c>
      <c r="AN38" s="73" t="s">
        <v>207</v>
      </c>
    </row>
    <row r="39" ht="19.5" customHeight="1">
      <c r="A39" s="34">
        <v>29.0</v>
      </c>
      <c r="B39" s="35" t="s">
        <v>136</v>
      </c>
      <c r="C39" s="27">
        <v>1.0</v>
      </c>
      <c r="D39" s="117" t="s">
        <v>145</v>
      </c>
      <c r="E39" s="26" t="s">
        <v>138</v>
      </c>
      <c r="F39" s="28" t="s">
        <v>26</v>
      </c>
      <c r="G39" s="24">
        <v>11.0</v>
      </c>
      <c r="H39" s="24">
        <v>11.0</v>
      </c>
      <c r="I39" s="24">
        <v>11.0</v>
      </c>
      <c r="J39" s="24">
        <v>11.0</v>
      </c>
      <c r="K39" s="24">
        <v>11.0</v>
      </c>
      <c r="L39" s="110">
        <v>11.0</v>
      </c>
      <c r="M39" s="110"/>
      <c r="N39" s="24">
        <v>11.0</v>
      </c>
      <c r="O39" s="24">
        <v>11.0</v>
      </c>
      <c r="P39" s="24">
        <v>11.0</v>
      </c>
      <c r="Q39" s="24">
        <v>11.0</v>
      </c>
      <c r="R39" s="24">
        <v>11.0</v>
      </c>
      <c r="S39" s="110">
        <v>11.0</v>
      </c>
      <c r="T39" s="110"/>
      <c r="U39" s="24">
        <v>11.0</v>
      </c>
      <c r="V39" s="24">
        <v>11.0</v>
      </c>
      <c r="W39" s="24">
        <v>11.0</v>
      </c>
      <c r="X39" s="24">
        <v>11.0</v>
      </c>
      <c r="Y39" s="24">
        <v>11.0</v>
      </c>
      <c r="Z39" s="24">
        <v>11.0</v>
      </c>
      <c r="AA39" s="24"/>
      <c r="AB39" s="110">
        <v>11.0</v>
      </c>
      <c r="AC39" s="110">
        <v>11.0</v>
      </c>
      <c r="AD39" s="24">
        <v>11.0</v>
      </c>
      <c r="AE39" s="24">
        <v>11.0</v>
      </c>
      <c r="AF39" s="24">
        <v>11.0</v>
      </c>
      <c r="AG39" s="24">
        <v>11.0</v>
      </c>
      <c r="AH39" s="24"/>
      <c r="AI39" s="110">
        <v>11.0</v>
      </c>
      <c r="AJ39" s="110">
        <v>11.0</v>
      </c>
      <c r="AK39" s="24">
        <v>11.0</v>
      </c>
      <c r="AL39" s="211">
        <f t="shared" si="6"/>
        <v>27</v>
      </c>
      <c r="AM39" s="57">
        <f t="shared" si="7"/>
        <v>297</v>
      </c>
      <c r="AN39" s="73" t="s">
        <v>207</v>
      </c>
    </row>
    <row r="40" ht="14.25" customHeight="1">
      <c r="A40" s="21"/>
      <c r="B40" s="20" t="s">
        <v>140</v>
      </c>
      <c r="C40" s="21"/>
      <c r="D40" s="20" t="s">
        <v>140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"/>
      <c r="AM40" s="45"/>
    </row>
    <row r="41" ht="14.25" customHeight="1">
      <c r="A41" s="34">
        <v>30.0</v>
      </c>
      <c r="B41" s="35" t="s">
        <v>140</v>
      </c>
      <c r="C41" s="27">
        <v>1.0</v>
      </c>
      <c r="D41" s="117" t="s">
        <v>271</v>
      </c>
      <c r="E41" s="139" t="s">
        <v>51</v>
      </c>
      <c r="F41" s="28" t="s">
        <v>85</v>
      </c>
      <c r="G41" s="24"/>
      <c r="H41" s="24"/>
      <c r="I41" s="24">
        <v>24.0</v>
      </c>
      <c r="J41" s="24"/>
      <c r="K41" s="24"/>
      <c r="L41" s="110">
        <v>24.0</v>
      </c>
      <c r="M41" s="110"/>
      <c r="N41" s="24"/>
      <c r="O41" s="24">
        <v>24.0</v>
      </c>
      <c r="P41" s="24"/>
      <c r="Q41" s="24"/>
      <c r="R41" s="24">
        <v>24.0</v>
      </c>
      <c r="S41" s="110"/>
      <c r="T41" s="110"/>
      <c r="U41" s="24">
        <v>24.0</v>
      </c>
      <c r="V41" s="24"/>
      <c r="W41" s="24"/>
      <c r="X41" s="24">
        <v>24.0</v>
      </c>
      <c r="Y41" s="24"/>
      <c r="Z41" s="24"/>
      <c r="AA41" s="24">
        <v>24.0</v>
      </c>
      <c r="AB41" s="110"/>
      <c r="AC41" s="110"/>
      <c r="AD41" s="24">
        <v>24.0</v>
      </c>
      <c r="AE41" s="24"/>
      <c r="AF41" s="24"/>
      <c r="AG41" s="24">
        <v>24.0</v>
      </c>
      <c r="AH41" s="24"/>
      <c r="AI41" s="110"/>
      <c r="AJ41" s="110">
        <v>24.0</v>
      </c>
      <c r="AK41" s="24"/>
      <c r="AL41" s="211">
        <f t="shared" ref="AL41:AL43" si="8">COUNTA(G41:AK41)</f>
        <v>10</v>
      </c>
      <c r="AM41" s="57">
        <v>240.0</v>
      </c>
    </row>
    <row r="42" ht="14.25" customHeight="1">
      <c r="A42" s="24">
        <v>31.0</v>
      </c>
      <c r="B42" s="35" t="s">
        <v>140</v>
      </c>
      <c r="C42" s="27">
        <v>1.0</v>
      </c>
      <c r="D42" s="117" t="s">
        <v>145</v>
      </c>
      <c r="E42" s="139" t="s">
        <v>51</v>
      </c>
      <c r="F42" s="28" t="s">
        <v>85</v>
      </c>
      <c r="G42" s="24"/>
      <c r="H42" s="24">
        <v>24.0</v>
      </c>
      <c r="I42" s="24"/>
      <c r="J42" s="24"/>
      <c r="K42" s="24">
        <v>24.0</v>
      </c>
      <c r="L42" s="110"/>
      <c r="M42" s="110"/>
      <c r="N42" s="24">
        <v>24.0</v>
      </c>
      <c r="O42" s="24"/>
      <c r="P42" s="24"/>
      <c r="Q42" s="24">
        <v>24.0</v>
      </c>
      <c r="R42" s="24"/>
      <c r="S42" s="110"/>
      <c r="T42" s="110">
        <v>24.0</v>
      </c>
      <c r="U42" s="24"/>
      <c r="V42" s="24"/>
      <c r="W42" s="24">
        <v>24.0</v>
      </c>
      <c r="X42" s="24"/>
      <c r="Y42" s="24"/>
      <c r="Z42" s="24">
        <v>24.0</v>
      </c>
      <c r="AA42" s="24"/>
      <c r="AB42" s="110"/>
      <c r="AC42" s="110">
        <v>24.0</v>
      </c>
      <c r="AD42" s="24"/>
      <c r="AE42" s="24"/>
      <c r="AF42" s="24">
        <v>24.0</v>
      </c>
      <c r="AG42" s="24"/>
      <c r="AH42" s="24"/>
      <c r="AI42" s="110">
        <v>24.0</v>
      </c>
      <c r="AJ42" s="110"/>
      <c r="AK42" s="24"/>
      <c r="AL42" s="211">
        <f t="shared" si="8"/>
        <v>10</v>
      </c>
      <c r="AM42" s="57">
        <v>240.0</v>
      </c>
    </row>
    <row r="43" ht="14.25" customHeight="1">
      <c r="A43" s="24">
        <v>32.0</v>
      </c>
      <c r="B43" s="35" t="s">
        <v>140</v>
      </c>
      <c r="C43" s="27">
        <v>1.0</v>
      </c>
      <c r="D43" s="117" t="s">
        <v>150</v>
      </c>
      <c r="E43" s="139" t="s">
        <v>51</v>
      </c>
      <c r="F43" s="28" t="s">
        <v>85</v>
      </c>
      <c r="G43" s="24">
        <v>24.0</v>
      </c>
      <c r="H43" s="24"/>
      <c r="I43" s="24"/>
      <c r="J43" s="24">
        <v>24.0</v>
      </c>
      <c r="K43" s="24"/>
      <c r="L43" s="110"/>
      <c r="M43" s="110">
        <v>24.0</v>
      </c>
      <c r="N43" s="24"/>
      <c r="O43" s="24"/>
      <c r="P43" s="24">
        <v>24.0</v>
      </c>
      <c r="Q43" s="24"/>
      <c r="R43" s="24"/>
      <c r="S43" s="110">
        <v>24.0</v>
      </c>
      <c r="T43" s="110"/>
      <c r="U43" s="24"/>
      <c r="V43" s="24">
        <v>24.0</v>
      </c>
      <c r="W43" s="24"/>
      <c r="X43" s="24"/>
      <c r="Y43" s="24">
        <v>24.0</v>
      </c>
      <c r="Z43" s="24"/>
      <c r="AA43" s="24"/>
      <c r="AB43" s="110">
        <v>24.0</v>
      </c>
      <c r="AC43" s="110"/>
      <c r="AD43" s="24"/>
      <c r="AE43" s="24">
        <v>24.0</v>
      </c>
      <c r="AF43" s="24"/>
      <c r="AG43" s="24"/>
      <c r="AH43" s="24">
        <v>24.0</v>
      </c>
      <c r="AI43" s="110"/>
      <c r="AJ43" s="110"/>
      <c r="AK43" s="24">
        <v>24.0</v>
      </c>
      <c r="AL43" s="211">
        <f t="shared" si="8"/>
        <v>11</v>
      </c>
      <c r="AM43" s="57">
        <v>264.0</v>
      </c>
    </row>
    <row r="44" ht="14.25" customHeight="1">
      <c r="A44" s="142"/>
      <c r="B44" s="143" t="s">
        <v>151</v>
      </c>
      <c r="C44" s="144">
        <v>33.0</v>
      </c>
      <c r="D44" s="143" t="s">
        <v>152</v>
      </c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21"/>
      <c r="AM44" s="45"/>
    </row>
    <row r="45" ht="14.25" customHeight="1">
      <c r="A45" s="142"/>
      <c r="B45" s="146" t="s">
        <v>154</v>
      </c>
      <c r="C45" s="147"/>
      <c r="D45" s="147"/>
      <c r="E45" s="147"/>
      <c r="F45" s="148"/>
      <c r="G45" s="144" t="s">
        <v>155</v>
      </c>
      <c r="H45" s="144" t="s">
        <v>155</v>
      </c>
      <c r="I45" s="144" t="s">
        <v>155</v>
      </c>
      <c r="J45" s="144" t="s">
        <v>155</v>
      </c>
      <c r="K45" s="144" t="s">
        <v>155</v>
      </c>
      <c r="L45" s="144" t="s">
        <v>155</v>
      </c>
      <c r="M45" s="144" t="s">
        <v>155</v>
      </c>
      <c r="N45" s="144" t="s">
        <v>155</v>
      </c>
      <c r="O45" s="144" t="s">
        <v>155</v>
      </c>
      <c r="P45" s="144" t="s">
        <v>155</v>
      </c>
      <c r="Q45" s="144" t="s">
        <v>155</v>
      </c>
      <c r="R45" s="144" t="s">
        <v>155</v>
      </c>
      <c r="S45" s="144" t="s">
        <v>155</v>
      </c>
      <c r="T45" s="144" t="s">
        <v>155</v>
      </c>
      <c r="U45" s="144" t="s">
        <v>155</v>
      </c>
      <c r="V45" s="144" t="s">
        <v>155</v>
      </c>
      <c r="W45" s="144" t="s">
        <v>155</v>
      </c>
      <c r="X45" s="144" t="s">
        <v>155</v>
      </c>
      <c r="Y45" s="144" t="s">
        <v>155</v>
      </c>
      <c r="Z45" s="144" t="s">
        <v>155</v>
      </c>
      <c r="AA45" s="144" t="s">
        <v>155</v>
      </c>
      <c r="AB45" s="144"/>
      <c r="AC45" s="144"/>
      <c r="AD45" s="144" t="s">
        <v>155</v>
      </c>
      <c r="AE45" s="144" t="s">
        <v>155</v>
      </c>
      <c r="AF45" s="144" t="s">
        <v>155</v>
      </c>
      <c r="AG45" s="144" t="s">
        <v>155</v>
      </c>
      <c r="AH45" s="144"/>
      <c r="AI45" s="144"/>
      <c r="AJ45" s="144"/>
      <c r="AK45" s="144"/>
      <c r="AL45" s="21"/>
      <c r="AM45" s="45"/>
    </row>
    <row r="46" ht="14.25" customHeight="1">
      <c r="A46" s="142"/>
      <c r="B46" s="146" t="s">
        <v>156</v>
      </c>
      <c r="C46" s="147"/>
      <c r="D46" s="147"/>
      <c r="E46" s="147"/>
      <c r="F46" s="148"/>
      <c r="G46" s="144">
        <f t="shared" ref="G46:AA46" si="9">COUNTA(#REF!,#REF!,#REF!,#REF!,#REF!)</f>
        <v>5</v>
      </c>
      <c r="H46" s="144">
        <f t="shared" si="9"/>
        <v>5</v>
      </c>
      <c r="I46" s="144">
        <f t="shared" si="9"/>
        <v>5</v>
      </c>
      <c r="J46" s="144">
        <f t="shared" si="9"/>
        <v>5</v>
      </c>
      <c r="K46" s="144">
        <f t="shared" si="9"/>
        <v>5</v>
      </c>
      <c r="L46" s="144">
        <f t="shared" si="9"/>
        <v>5</v>
      </c>
      <c r="M46" s="144">
        <f t="shared" si="9"/>
        <v>5</v>
      </c>
      <c r="N46" s="144">
        <f t="shared" si="9"/>
        <v>5</v>
      </c>
      <c r="O46" s="144">
        <f t="shared" si="9"/>
        <v>5</v>
      </c>
      <c r="P46" s="144">
        <f t="shared" si="9"/>
        <v>5</v>
      </c>
      <c r="Q46" s="144">
        <f t="shared" si="9"/>
        <v>5</v>
      </c>
      <c r="R46" s="144">
        <f t="shared" si="9"/>
        <v>5</v>
      </c>
      <c r="S46" s="144">
        <f t="shared" si="9"/>
        <v>5</v>
      </c>
      <c r="T46" s="144">
        <f t="shared" si="9"/>
        <v>5</v>
      </c>
      <c r="U46" s="144">
        <f t="shared" si="9"/>
        <v>5</v>
      </c>
      <c r="V46" s="144">
        <f t="shared" si="9"/>
        <v>5</v>
      </c>
      <c r="W46" s="144">
        <f t="shared" si="9"/>
        <v>5</v>
      </c>
      <c r="X46" s="144">
        <f t="shared" si="9"/>
        <v>5</v>
      </c>
      <c r="Y46" s="144">
        <f t="shared" si="9"/>
        <v>5</v>
      </c>
      <c r="Z46" s="144">
        <f t="shared" si="9"/>
        <v>5</v>
      </c>
      <c r="AA46" s="144">
        <f t="shared" si="9"/>
        <v>5</v>
      </c>
      <c r="AB46" s="144"/>
      <c r="AC46" s="144"/>
      <c r="AD46" s="144">
        <f t="shared" ref="AD46:AG46" si="10">COUNTA(#REF!,#REF!,#REF!,#REF!,#REF!)</f>
        <v>5</v>
      </c>
      <c r="AE46" s="144">
        <f t="shared" si="10"/>
        <v>5</v>
      </c>
      <c r="AF46" s="144">
        <f t="shared" si="10"/>
        <v>5</v>
      </c>
      <c r="AG46" s="144">
        <f t="shared" si="10"/>
        <v>5</v>
      </c>
      <c r="AH46" s="144"/>
      <c r="AI46" s="144"/>
      <c r="AJ46" s="144"/>
      <c r="AK46" s="144"/>
      <c r="AL46" s="21"/>
      <c r="AM46" s="45"/>
    </row>
    <row r="47" ht="14.25" customHeight="1">
      <c r="A47" s="142"/>
      <c r="B47" s="146" t="s">
        <v>157</v>
      </c>
      <c r="C47" s="147"/>
      <c r="D47" s="147"/>
      <c r="E47" s="147"/>
      <c r="F47" s="148"/>
      <c r="G47" s="269">
        <f t="shared" ref="G47:AA47" si="11">COUNTA(#REF!,#REF!)</f>
        <v>2</v>
      </c>
      <c r="H47" s="269">
        <f t="shared" si="11"/>
        <v>2</v>
      </c>
      <c r="I47" s="269">
        <f t="shared" si="11"/>
        <v>2</v>
      </c>
      <c r="J47" s="269">
        <f t="shared" si="11"/>
        <v>2</v>
      </c>
      <c r="K47" s="269">
        <f t="shared" si="11"/>
        <v>2</v>
      </c>
      <c r="L47" s="269">
        <f t="shared" si="11"/>
        <v>2</v>
      </c>
      <c r="M47" s="269">
        <f t="shared" si="11"/>
        <v>2</v>
      </c>
      <c r="N47" s="269">
        <f t="shared" si="11"/>
        <v>2</v>
      </c>
      <c r="O47" s="269">
        <f t="shared" si="11"/>
        <v>2</v>
      </c>
      <c r="P47" s="269">
        <f t="shared" si="11"/>
        <v>2</v>
      </c>
      <c r="Q47" s="269">
        <f t="shared" si="11"/>
        <v>2</v>
      </c>
      <c r="R47" s="269">
        <f t="shared" si="11"/>
        <v>2</v>
      </c>
      <c r="S47" s="269">
        <f t="shared" si="11"/>
        <v>2</v>
      </c>
      <c r="T47" s="269">
        <f t="shared" si="11"/>
        <v>2</v>
      </c>
      <c r="U47" s="269">
        <f t="shared" si="11"/>
        <v>2</v>
      </c>
      <c r="V47" s="269">
        <f t="shared" si="11"/>
        <v>2</v>
      </c>
      <c r="W47" s="269">
        <f t="shared" si="11"/>
        <v>2</v>
      </c>
      <c r="X47" s="269">
        <f t="shared" si="11"/>
        <v>2</v>
      </c>
      <c r="Y47" s="269">
        <f t="shared" si="11"/>
        <v>2</v>
      </c>
      <c r="Z47" s="269">
        <f t="shared" si="11"/>
        <v>2</v>
      </c>
      <c r="AA47" s="269">
        <f t="shared" si="11"/>
        <v>2</v>
      </c>
      <c r="AB47" s="269"/>
      <c r="AC47" s="269"/>
      <c r="AD47" s="269">
        <f t="shared" ref="AD47:AG47" si="12">COUNTA(#REF!,#REF!)</f>
        <v>2</v>
      </c>
      <c r="AE47" s="269">
        <f t="shared" si="12"/>
        <v>2</v>
      </c>
      <c r="AF47" s="269">
        <f t="shared" si="12"/>
        <v>2</v>
      </c>
      <c r="AG47" s="269">
        <f t="shared" si="12"/>
        <v>2</v>
      </c>
      <c r="AH47" s="269"/>
      <c r="AI47" s="269"/>
      <c r="AJ47" s="269"/>
      <c r="AK47" s="269"/>
      <c r="AL47" s="21"/>
      <c r="AM47" s="45"/>
    </row>
    <row r="48" ht="14.25" customHeight="1">
      <c r="A48" s="2"/>
      <c r="B48" s="3"/>
      <c r="C48" s="2"/>
      <c r="D48" s="2"/>
      <c r="E48" s="2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280"/>
      <c r="AM48" s="11"/>
    </row>
    <row r="49" ht="14.25" customHeight="1">
      <c r="A49" s="152"/>
      <c r="B49" s="153"/>
      <c r="C49" s="154"/>
      <c r="D49" s="155" t="s">
        <v>159</v>
      </c>
      <c r="E49" s="155"/>
      <c r="F49" s="156"/>
      <c r="G49" s="213">
        <f t="shared" ref="G49:AA49" si="13">COUNTA(G10,G11:G15,#REF!,G24:G25,G40,G23:G38,G29)</f>
        <v>13</v>
      </c>
      <c r="H49" s="213">
        <f t="shared" si="13"/>
        <v>11</v>
      </c>
      <c r="I49" s="213">
        <f t="shared" si="13"/>
        <v>14</v>
      </c>
      <c r="J49" s="213">
        <f t="shared" si="13"/>
        <v>15</v>
      </c>
      <c r="K49" s="213">
        <f t="shared" si="13"/>
        <v>16</v>
      </c>
      <c r="L49" s="213">
        <f t="shared" si="13"/>
        <v>12</v>
      </c>
      <c r="M49" s="213">
        <f t="shared" si="13"/>
        <v>11</v>
      </c>
      <c r="N49" s="213">
        <f t="shared" si="13"/>
        <v>14</v>
      </c>
      <c r="O49" s="213">
        <f t="shared" si="13"/>
        <v>12</v>
      </c>
      <c r="P49" s="213">
        <f t="shared" si="13"/>
        <v>14</v>
      </c>
      <c r="Q49" s="213">
        <f t="shared" si="13"/>
        <v>16</v>
      </c>
      <c r="R49" s="213">
        <f t="shared" si="13"/>
        <v>17</v>
      </c>
      <c r="S49" s="213">
        <f t="shared" si="13"/>
        <v>12</v>
      </c>
      <c r="T49" s="213">
        <f t="shared" si="13"/>
        <v>12</v>
      </c>
      <c r="U49" s="213">
        <f t="shared" si="13"/>
        <v>14</v>
      </c>
      <c r="V49" s="213">
        <f t="shared" si="13"/>
        <v>11</v>
      </c>
      <c r="W49" s="213">
        <f t="shared" si="13"/>
        <v>15</v>
      </c>
      <c r="X49" s="213">
        <f t="shared" si="13"/>
        <v>15</v>
      </c>
      <c r="Y49" s="213">
        <f t="shared" si="13"/>
        <v>15</v>
      </c>
      <c r="Z49" s="213">
        <f t="shared" si="13"/>
        <v>13</v>
      </c>
      <c r="AA49" s="213">
        <f t="shared" si="13"/>
        <v>11</v>
      </c>
      <c r="AB49" s="213"/>
      <c r="AC49" s="213"/>
      <c r="AD49" s="213">
        <f t="shared" ref="AD49:AK49" si="14">COUNTA(AD10,AD11:AD15,#REF!,AD24:AD25,AD40,AD23:AD38,AD29)</f>
        <v>14</v>
      </c>
      <c r="AE49" s="213">
        <f t="shared" si="14"/>
        <v>12</v>
      </c>
      <c r="AF49" s="213">
        <f t="shared" si="14"/>
        <v>14</v>
      </c>
      <c r="AG49" s="213">
        <f t="shared" si="14"/>
        <v>15</v>
      </c>
      <c r="AH49" s="213">
        <f t="shared" si="14"/>
        <v>16</v>
      </c>
      <c r="AI49" s="213">
        <f t="shared" si="14"/>
        <v>12</v>
      </c>
      <c r="AJ49" s="213">
        <f t="shared" si="14"/>
        <v>11</v>
      </c>
      <c r="AK49" s="213">
        <f t="shared" si="14"/>
        <v>12</v>
      </c>
      <c r="AL49" s="287">
        <f t="shared" ref="AL49:AL52" si="17">SUM(G49:AG49)</f>
        <v>338</v>
      </c>
      <c r="AM49" s="158">
        <v>250.0</v>
      </c>
    </row>
    <row r="50" ht="14.25" customHeight="1">
      <c r="A50" s="159"/>
      <c r="B50" s="160"/>
      <c r="C50" s="161"/>
      <c r="D50" s="162" t="s">
        <v>160</v>
      </c>
      <c r="E50" s="162"/>
      <c r="F50" s="163"/>
      <c r="G50" s="289">
        <f t="shared" ref="G50:AA50" si="15">COUNTA(G10,#REF!,#REF!,G15,G23:G38,G24:G40)</f>
        <v>16</v>
      </c>
      <c r="H50" s="289">
        <f t="shared" si="15"/>
        <v>14</v>
      </c>
      <c r="I50" s="289">
        <f t="shared" si="15"/>
        <v>20</v>
      </c>
      <c r="J50" s="289">
        <f t="shared" si="15"/>
        <v>20</v>
      </c>
      <c r="K50" s="289">
        <f t="shared" si="15"/>
        <v>22</v>
      </c>
      <c r="L50" s="289">
        <f t="shared" si="15"/>
        <v>21</v>
      </c>
      <c r="M50" s="289">
        <f t="shared" si="15"/>
        <v>18</v>
      </c>
      <c r="N50" s="289">
        <f t="shared" si="15"/>
        <v>18</v>
      </c>
      <c r="O50" s="289">
        <f t="shared" si="15"/>
        <v>16</v>
      </c>
      <c r="P50" s="289">
        <f t="shared" si="15"/>
        <v>20</v>
      </c>
      <c r="Q50" s="289">
        <f t="shared" si="15"/>
        <v>20</v>
      </c>
      <c r="R50" s="289">
        <f t="shared" si="15"/>
        <v>22</v>
      </c>
      <c r="S50" s="289">
        <f t="shared" si="15"/>
        <v>21</v>
      </c>
      <c r="T50" s="289">
        <f t="shared" si="15"/>
        <v>18</v>
      </c>
      <c r="U50" s="289">
        <f t="shared" si="15"/>
        <v>18</v>
      </c>
      <c r="V50" s="289">
        <f t="shared" si="15"/>
        <v>16</v>
      </c>
      <c r="W50" s="289">
        <f t="shared" si="15"/>
        <v>20</v>
      </c>
      <c r="X50" s="289">
        <f t="shared" si="15"/>
        <v>20</v>
      </c>
      <c r="Y50" s="289">
        <f t="shared" si="15"/>
        <v>22</v>
      </c>
      <c r="Z50" s="289">
        <f t="shared" si="15"/>
        <v>21</v>
      </c>
      <c r="AA50" s="289">
        <f t="shared" si="15"/>
        <v>18</v>
      </c>
      <c r="AB50" s="289"/>
      <c r="AC50" s="289"/>
      <c r="AD50" s="289">
        <f t="shared" ref="AD50:AK50" si="16">COUNTA(AD10,#REF!,#REF!,AD15,AD23:AD38,AD24:AD40)</f>
        <v>18</v>
      </c>
      <c r="AE50" s="289">
        <f t="shared" si="16"/>
        <v>16</v>
      </c>
      <c r="AF50" s="289">
        <f t="shared" si="16"/>
        <v>20</v>
      </c>
      <c r="AG50" s="289">
        <f t="shared" si="16"/>
        <v>20</v>
      </c>
      <c r="AH50" s="289">
        <f t="shared" si="16"/>
        <v>21</v>
      </c>
      <c r="AI50" s="289">
        <f t="shared" si="16"/>
        <v>21</v>
      </c>
      <c r="AJ50" s="289">
        <f t="shared" si="16"/>
        <v>19</v>
      </c>
      <c r="AK50" s="289">
        <f t="shared" si="16"/>
        <v>14</v>
      </c>
      <c r="AL50" s="294">
        <f t="shared" si="17"/>
        <v>475</v>
      </c>
      <c r="AM50" s="158"/>
    </row>
    <row r="51" ht="14.25" customHeight="1">
      <c r="A51" s="166"/>
      <c r="B51" s="167"/>
      <c r="C51" s="168"/>
      <c r="D51" s="169" t="s">
        <v>161</v>
      </c>
      <c r="E51" s="169"/>
      <c r="F51" s="170"/>
      <c r="G51" s="295">
        <f t="shared" ref="G51:AA51" si="18">COUNTA(G23:G38,G29,G40:G41)</f>
        <v>7</v>
      </c>
      <c r="H51" s="295">
        <f t="shared" si="18"/>
        <v>5</v>
      </c>
      <c r="I51" s="295">
        <f t="shared" si="18"/>
        <v>9</v>
      </c>
      <c r="J51" s="295">
        <f t="shared" si="18"/>
        <v>9</v>
      </c>
      <c r="K51" s="295">
        <f t="shared" si="18"/>
        <v>9</v>
      </c>
      <c r="L51" s="295">
        <f t="shared" si="18"/>
        <v>10</v>
      </c>
      <c r="M51" s="295">
        <f t="shared" si="18"/>
        <v>9</v>
      </c>
      <c r="N51" s="295">
        <f t="shared" si="18"/>
        <v>7</v>
      </c>
      <c r="O51" s="295">
        <f t="shared" si="18"/>
        <v>7</v>
      </c>
      <c r="P51" s="295">
        <f t="shared" si="18"/>
        <v>9</v>
      </c>
      <c r="Q51" s="295">
        <f t="shared" si="18"/>
        <v>9</v>
      </c>
      <c r="R51" s="295">
        <f t="shared" si="18"/>
        <v>11</v>
      </c>
      <c r="S51" s="295">
        <f t="shared" si="18"/>
        <v>10</v>
      </c>
      <c r="T51" s="295">
        <f t="shared" si="18"/>
        <v>9</v>
      </c>
      <c r="U51" s="295">
        <f t="shared" si="18"/>
        <v>8</v>
      </c>
      <c r="V51" s="295">
        <f t="shared" si="18"/>
        <v>6</v>
      </c>
      <c r="W51" s="295">
        <f t="shared" si="18"/>
        <v>9</v>
      </c>
      <c r="X51" s="295">
        <f t="shared" si="18"/>
        <v>9</v>
      </c>
      <c r="Y51" s="295">
        <f t="shared" si="18"/>
        <v>9</v>
      </c>
      <c r="Z51" s="295">
        <f t="shared" si="18"/>
        <v>10</v>
      </c>
      <c r="AA51" s="295">
        <f t="shared" si="18"/>
        <v>9</v>
      </c>
      <c r="AB51" s="295"/>
      <c r="AC51" s="295"/>
      <c r="AD51" s="295">
        <f t="shared" ref="AD51:AK51" si="19">COUNTA(AD23:AD38,AD29,AD40:AD41)</f>
        <v>8</v>
      </c>
      <c r="AE51" s="295">
        <f t="shared" si="19"/>
        <v>7</v>
      </c>
      <c r="AF51" s="295">
        <f t="shared" si="19"/>
        <v>8</v>
      </c>
      <c r="AG51" s="295">
        <f t="shared" si="19"/>
        <v>9</v>
      </c>
      <c r="AH51" s="295">
        <f t="shared" si="19"/>
        <v>10</v>
      </c>
      <c r="AI51" s="295">
        <f t="shared" si="19"/>
        <v>9</v>
      </c>
      <c r="AJ51" s="295">
        <f t="shared" si="19"/>
        <v>9</v>
      </c>
      <c r="AK51" s="295">
        <f t="shared" si="19"/>
        <v>6</v>
      </c>
      <c r="AL51" s="301">
        <f t="shared" si="17"/>
        <v>212</v>
      </c>
      <c r="AM51" s="173">
        <f>AM49*AL53</f>
        <v>277750</v>
      </c>
    </row>
    <row r="52" ht="14.25" customHeight="1">
      <c r="A52" s="174"/>
      <c r="B52" s="175"/>
      <c r="C52" s="176"/>
      <c r="D52" s="177" t="s">
        <v>162</v>
      </c>
      <c r="E52" s="177"/>
      <c r="F52" s="178"/>
      <c r="G52" s="302">
        <f t="shared" ref="G52:AA52" si="20">COUNTA(#REF!,#REF!,G29,#REF!)</f>
        <v>4</v>
      </c>
      <c r="H52" s="302">
        <f t="shared" si="20"/>
        <v>3</v>
      </c>
      <c r="I52" s="302">
        <f t="shared" si="20"/>
        <v>3</v>
      </c>
      <c r="J52" s="302">
        <f t="shared" si="20"/>
        <v>4</v>
      </c>
      <c r="K52" s="302">
        <f t="shared" si="20"/>
        <v>3</v>
      </c>
      <c r="L52" s="302">
        <f t="shared" si="20"/>
        <v>3</v>
      </c>
      <c r="M52" s="302">
        <f t="shared" si="20"/>
        <v>4</v>
      </c>
      <c r="N52" s="302">
        <f t="shared" si="20"/>
        <v>3</v>
      </c>
      <c r="O52" s="302">
        <f t="shared" si="20"/>
        <v>3</v>
      </c>
      <c r="P52" s="302">
        <f t="shared" si="20"/>
        <v>4</v>
      </c>
      <c r="Q52" s="302">
        <f t="shared" si="20"/>
        <v>4</v>
      </c>
      <c r="R52" s="302">
        <f t="shared" si="20"/>
        <v>4</v>
      </c>
      <c r="S52" s="302">
        <f t="shared" si="20"/>
        <v>4</v>
      </c>
      <c r="T52" s="302">
        <f t="shared" si="20"/>
        <v>4</v>
      </c>
      <c r="U52" s="302">
        <f t="shared" si="20"/>
        <v>3</v>
      </c>
      <c r="V52" s="302">
        <f t="shared" si="20"/>
        <v>3</v>
      </c>
      <c r="W52" s="302">
        <f t="shared" si="20"/>
        <v>4</v>
      </c>
      <c r="X52" s="302">
        <f t="shared" si="20"/>
        <v>3</v>
      </c>
      <c r="Y52" s="302">
        <f t="shared" si="20"/>
        <v>3</v>
      </c>
      <c r="Z52" s="302">
        <f t="shared" si="20"/>
        <v>4</v>
      </c>
      <c r="AA52" s="302">
        <f t="shared" si="20"/>
        <v>3</v>
      </c>
      <c r="AB52" s="302"/>
      <c r="AC52" s="302"/>
      <c r="AD52" s="302">
        <f t="shared" ref="AD52:AK52" si="21">COUNTA(#REF!,#REF!,AD29,#REF!)</f>
        <v>3</v>
      </c>
      <c r="AE52" s="302">
        <f t="shared" si="21"/>
        <v>4</v>
      </c>
      <c r="AF52" s="302">
        <f t="shared" si="21"/>
        <v>3</v>
      </c>
      <c r="AG52" s="302">
        <f t="shared" si="21"/>
        <v>3</v>
      </c>
      <c r="AH52" s="302">
        <f t="shared" si="21"/>
        <v>4</v>
      </c>
      <c r="AI52" s="302">
        <f t="shared" si="21"/>
        <v>3</v>
      </c>
      <c r="AJ52" s="302">
        <f t="shared" si="21"/>
        <v>3</v>
      </c>
      <c r="AK52" s="302">
        <f t="shared" si="21"/>
        <v>4</v>
      </c>
      <c r="AL52" s="302">
        <f t="shared" si="17"/>
        <v>86</v>
      </c>
      <c r="AM52" s="180"/>
    </row>
    <row r="53" ht="14.25" customHeight="1">
      <c r="A53" s="146" t="s">
        <v>163</v>
      </c>
      <c r="B53" s="147"/>
      <c r="C53" s="147"/>
      <c r="D53" s="147"/>
      <c r="E53" s="147"/>
      <c r="F53" s="148"/>
      <c r="G53" s="144">
        <f t="shared" ref="G53:AA53" si="22">SUM(G49:G52)</f>
        <v>40</v>
      </c>
      <c r="H53" s="144">
        <f t="shared" si="22"/>
        <v>33</v>
      </c>
      <c r="I53" s="144">
        <f t="shared" si="22"/>
        <v>46</v>
      </c>
      <c r="J53" s="144">
        <f t="shared" si="22"/>
        <v>48</v>
      </c>
      <c r="K53" s="144">
        <f t="shared" si="22"/>
        <v>50</v>
      </c>
      <c r="L53" s="144">
        <f t="shared" si="22"/>
        <v>46</v>
      </c>
      <c r="M53" s="144">
        <f t="shared" si="22"/>
        <v>42</v>
      </c>
      <c r="N53" s="144">
        <f t="shared" si="22"/>
        <v>42</v>
      </c>
      <c r="O53" s="144">
        <f t="shared" si="22"/>
        <v>38</v>
      </c>
      <c r="P53" s="144">
        <f t="shared" si="22"/>
        <v>47</v>
      </c>
      <c r="Q53" s="144">
        <f t="shared" si="22"/>
        <v>49</v>
      </c>
      <c r="R53" s="144">
        <f t="shared" si="22"/>
        <v>54</v>
      </c>
      <c r="S53" s="144">
        <f t="shared" si="22"/>
        <v>47</v>
      </c>
      <c r="T53" s="144">
        <f t="shared" si="22"/>
        <v>43</v>
      </c>
      <c r="U53" s="144">
        <f t="shared" si="22"/>
        <v>43</v>
      </c>
      <c r="V53" s="144">
        <f t="shared" si="22"/>
        <v>36</v>
      </c>
      <c r="W53" s="144">
        <f t="shared" si="22"/>
        <v>48</v>
      </c>
      <c r="X53" s="144">
        <f t="shared" si="22"/>
        <v>47</v>
      </c>
      <c r="Y53" s="144">
        <f t="shared" si="22"/>
        <v>49</v>
      </c>
      <c r="Z53" s="144">
        <f t="shared" si="22"/>
        <v>48</v>
      </c>
      <c r="AA53" s="144">
        <f t="shared" si="22"/>
        <v>41</v>
      </c>
      <c r="AB53" s="144"/>
      <c r="AC53" s="144"/>
      <c r="AD53" s="144">
        <f t="shared" ref="AD53:AL53" si="23">SUM(AD49:AD52)</f>
        <v>43</v>
      </c>
      <c r="AE53" s="144">
        <f t="shared" si="23"/>
        <v>39</v>
      </c>
      <c r="AF53" s="144">
        <f t="shared" si="23"/>
        <v>45</v>
      </c>
      <c r="AG53" s="144">
        <f t="shared" si="23"/>
        <v>47</v>
      </c>
      <c r="AH53" s="144">
        <f t="shared" si="23"/>
        <v>51</v>
      </c>
      <c r="AI53" s="144">
        <f t="shared" si="23"/>
        <v>45</v>
      </c>
      <c r="AJ53" s="144">
        <f t="shared" si="23"/>
        <v>42</v>
      </c>
      <c r="AK53" s="144">
        <f t="shared" si="23"/>
        <v>36</v>
      </c>
      <c r="AL53" s="144">
        <f t="shared" si="23"/>
        <v>1111</v>
      </c>
      <c r="AM53" s="181"/>
    </row>
    <row r="54" ht="14.25" customHeight="1">
      <c r="A54" s="2"/>
      <c r="B54" s="182" t="s">
        <v>164</v>
      </c>
      <c r="C54" s="182"/>
      <c r="D54" s="182"/>
      <c r="E54" s="182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4"/>
      <c r="R54" s="4"/>
      <c r="S54" s="4"/>
      <c r="T54" s="4"/>
      <c r="U54" s="5"/>
      <c r="V54" s="5"/>
      <c r="W54" s="5"/>
      <c r="X54" s="4"/>
      <c r="Y54" s="4"/>
      <c r="Z54" s="4"/>
      <c r="AA54" s="4"/>
      <c r="AB54" s="4"/>
      <c r="AC54" s="4"/>
      <c r="AD54" s="5"/>
      <c r="AE54" s="5"/>
      <c r="AF54" s="5"/>
      <c r="AG54" s="5"/>
      <c r="AH54" s="5"/>
      <c r="AI54" s="5"/>
      <c r="AJ54" s="5"/>
      <c r="AK54" s="5"/>
      <c r="AL54" s="2"/>
      <c r="AM54" s="183"/>
    </row>
    <row r="55" ht="14.25" customHeight="1">
      <c r="A55" s="2"/>
      <c r="B55" s="182" t="s">
        <v>165</v>
      </c>
      <c r="C55" s="2"/>
      <c r="D55" s="2"/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11"/>
      <c r="AM55" s="2"/>
    </row>
    <row r="56" ht="14.25" customHeight="1">
      <c r="A56" s="2"/>
      <c r="B56" s="182" t="s">
        <v>166</v>
      </c>
      <c r="C56" s="184"/>
      <c r="D56" s="184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11"/>
      <c r="AM56" s="2"/>
    </row>
    <row r="57" ht="14.25" customHeight="1">
      <c r="A57" s="2"/>
      <c r="B57" s="182"/>
      <c r="C57" s="184"/>
      <c r="D57" s="184"/>
      <c r="E57" s="4" t="s">
        <v>167</v>
      </c>
      <c r="G57" s="5"/>
      <c r="H57" s="5"/>
      <c r="I57" s="5"/>
      <c r="J57" s="5"/>
      <c r="K57" s="5" t="s">
        <v>168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11"/>
      <c r="AM57" s="2"/>
    </row>
    <row r="58" ht="14.25" customHeight="1">
      <c r="A58" s="2"/>
      <c r="B58" s="3"/>
      <c r="C58" s="2"/>
      <c r="D58" s="2"/>
      <c r="E58" s="2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11"/>
      <c r="AM58" s="11"/>
    </row>
    <row r="59" ht="14.25" customHeight="1">
      <c r="A59" s="2"/>
      <c r="B59" s="3"/>
      <c r="C59" s="2"/>
      <c r="D59" s="2"/>
      <c r="E59" s="4" t="s">
        <v>169</v>
      </c>
      <c r="G59" s="5"/>
      <c r="H59" s="5"/>
      <c r="I59" s="5"/>
      <c r="J59" s="5"/>
      <c r="K59" s="5"/>
      <c r="L59" s="5"/>
      <c r="M59" s="5"/>
      <c r="N59" s="5" t="s">
        <v>170</v>
      </c>
      <c r="O59" s="5"/>
      <c r="P59" s="5"/>
      <c r="Q59" s="5" t="s">
        <v>171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11"/>
      <c r="AM59" s="11"/>
    </row>
    <row r="60" ht="14.25" customHeight="1">
      <c r="A60" s="2"/>
      <c r="B60" s="3"/>
      <c r="C60" s="2"/>
      <c r="D60" s="2"/>
      <c r="E60" s="2"/>
      <c r="F60" s="185"/>
      <c r="G60" s="5"/>
      <c r="H60" s="5"/>
      <c r="I60" s="5"/>
      <c r="J60" s="5"/>
      <c r="K60" s="5"/>
      <c r="L60" s="5"/>
      <c r="M60" s="5"/>
      <c r="N60" s="5"/>
      <c r="O60" s="5"/>
      <c r="P60" s="5"/>
      <c r="Q60" s="4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1"/>
      <c r="AM60" s="11"/>
    </row>
    <row r="61" ht="30.75" customHeight="1">
      <c r="A61" s="2"/>
      <c r="B61" s="3"/>
      <c r="C61" s="2"/>
      <c r="D61" s="2"/>
      <c r="E61" s="185" t="s">
        <v>172</v>
      </c>
      <c r="G61" s="5"/>
      <c r="H61" s="5"/>
      <c r="I61" s="5"/>
      <c r="J61" s="5"/>
      <c r="K61" s="5"/>
      <c r="L61" s="5"/>
      <c r="M61" s="5"/>
      <c r="N61" s="5" t="s">
        <v>170</v>
      </c>
      <c r="O61" s="5"/>
      <c r="P61" s="5"/>
      <c r="Q61" s="5" t="s">
        <v>171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11"/>
      <c r="AM61" s="11"/>
    </row>
    <row r="62" ht="14.25" customHeight="1">
      <c r="A62" s="11"/>
      <c r="B62" s="3"/>
      <c r="C62" s="2"/>
      <c r="D62" s="186"/>
      <c r="E62" s="2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11"/>
      <c r="AM62" s="11"/>
    </row>
    <row r="63" ht="14.25" customHeight="1">
      <c r="F63" s="187"/>
    </row>
    <row r="64" ht="14.25" customHeight="1">
      <c r="F64" s="187"/>
    </row>
    <row r="65" ht="14.25" customHeight="1">
      <c r="F65" s="187"/>
    </row>
    <row r="66" ht="14.25" customHeight="1">
      <c r="F66" s="187"/>
    </row>
    <row r="67" ht="15.75" customHeight="1">
      <c r="F67" s="187"/>
    </row>
    <row r="68" ht="14.2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L6:AL7"/>
    <mergeCell ref="AM6:AM7"/>
    <mergeCell ref="B45:F45"/>
    <mergeCell ref="B46:F46"/>
    <mergeCell ref="B47:F47"/>
    <mergeCell ref="A53:F53"/>
    <mergeCell ref="E57:F57"/>
    <mergeCell ref="K57:R57"/>
    <mergeCell ref="E59:F59"/>
    <mergeCell ref="E61:F61"/>
    <mergeCell ref="F6:F7"/>
    <mergeCell ref="F24:F30"/>
    <mergeCell ref="A36:A37"/>
    <mergeCell ref="B36:B37"/>
    <mergeCell ref="C36:C37"/>
    <mergeCell ref="D36:D37"/>
    <mergeCell ref="F36:F3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5.14"/>
    <col customWidth="1" min="8" max="8" width="4.71"/>
    <col customWidth="1" min="9" max="9" width="4.43"/>
    <col customWidth="1" min="10" max="10" width="4.71"/>
    <col customWidth="1" min="11" max="13" width="5.29"/>
    <col customWidth="1" min="14" max="14" width="5.86"/>
    <col customWidth="1" min="15" max="15" width="5.29"/>
    <col customWidth="1" min="16" max="16" width="4.57"/>
    <col customWidth="1" min="17" max="17" width="5.29"/>
    <col customWidth="1" min="18" max="18" width="5.0"/>
    <col customWidth="1" min="19" max="19" width="5.29"/>
    <col customWidth="1" min="20" max="20" width="5.0"/>
    <col customWidth="1" min="21" max="21" width="5.29"/>
    <col customWidth="1" min="22" max="23" width="4.57"/>
    <col customWidth="1" min="24" max="24" width="4.71"/>
    <col customWidth="1" min="25" max="25" width="5.0"/>
    <col customWidth="1" min="26" max="26" width="4.86"/>
    <col customWidth="1" min="27" max="27" width="5.0"/>
    <col customWidth="1" min="28" max="28" width="5.29"/>
    <col customWidth="1" min="29" max="29" width="4.57"/>
    <col customWidth="1" min="30" max="30" width="4.71"/>
    <col customWidth="1" min="31" max="35" width="4.57"/>
    <col customWidth="1" min="36" max="36" width="9.0"/>
    <col customWidth="1" min="37" max="37" width="17.43"/>
    <col customWidth="1" min="38" max="38" width="1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7" t="s">
        <v>3</v>
      </c>
    </row>
    <row r="5" ht="14.25" customHeight="1">
      <c r="A5" s="8" t="s">
        <v>273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10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A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v>24.0</v>
      </c>
      <c r="AC6" s="15">
        <v>25.0</v>
      </c>
      <c r="AD6" s="15">
        <v>26.0</v>
      </c>
      <c r="AE6" s="15">
        <v>27.0</v>
      </c>
      <c r="AF6" s="15">
        <v>28.0</v>
      </c>
      <c r="AG6" s="15">
        <v>29.0</v>
      </c>
      <c r="AH6" s="15">
        <v>30.0</v>
      </c>
      <c r="AI6" s="15">
        <v>31.0</v>
      </c>
      <c r="AJ6" s="13" t="s">
        <v>14</v>
      </c>
      <c r="AK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251</v>
      </c>
      <c r="H7" s="446" t="s">
        <v>252</v>
      </c>
      <c r="I7" s="446" t="s">
        <v>253</v>
      </c>
      <c r="J7" s="446" t="s">
        <v>247</v>
      </c>
      <c r="K7" s="446" t="s">
        <v>248</v>
      </c>
      <c r="L7" s="446" t="s">
        <v>249</v>
      </c>
      <c r="M7" s="446" t="s">
        <v>250</v>
      </c>
      <c r="N7" s="446" t="s">
        <v>251</v>
      </c>
      <c r="O7" s="446" t="s">
        <v>252</v>
      </c>
      <c r="P7" s="446" t="s">
        <v>253</v>
      </c>
      <c r="Q7" s="446" t="s">
        <v>247</v>
      </c>
      <c r="R7" s="446" t="s">
        <v>248</v>
      </c>
      <c r="S7" s="446" t="s">
        <v>249</v>
      </c>
      <c r="T7" s="446" t="s">
        <v>250</v>
      </c>
      <c r="U7" s="446" t="s">
        <v>251</v>
      </c>
      <c r="V7" s="446" t="s">
        <v>252</v>
      </c>
      <c r="W7" s="446" t="s">
        <v>253</v>
      </c>
      <c r="X7" s="446" t="s">
        <v>247</v>
      </c>
      <c r="Y7" s="446" t="s">
        <v>248</v>
      </c>
      <c r="Z7" s="446" t="s">
        <v>249</v>
      </c>
      <c r="AA7" s="446" t="s">
        <v>250</v>
      </c>
      <c r="AB7" s="446" t="s">
        <v>251</v>
      </c>
      <c r="AC7" s="446" t="s">
        <v>252</v>
      </c>
      <c r="AD7" s="446" t="s">
        <v>253</v>
      </c>
      <c r="AE7" s="446" t="s">
        <v>247</v>
      </c>
      <c r="AF7" s="446" t="s">
        <v>248</v>
      </c>
      <c r="AG7" s="446" t="s">
        <v>249</v>
      </c>
      <c r="AH7" s="446" t="s">
        <v>250</v>
      </c>
      <c r="AI7" s="446" t="s">
        <v>251</v>
      </c>
      <c r="AJ7" s="17"/>
      <c r="AK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22"/>
      <c r="AK8" s="23"/>
    </row>
    <row r="9" ht="14.25" customHeight="1">
      <c r="A9" s="260">
        <v>1.0</v>
      </c>
      <c r="B9" s="25" t="s">
        <v>1</v>
      </c>
      <c r="C9" s="26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09" t="s">
        <v>205</v>
      </c>
      <c r="I9" s="209" t="s">
        <v>205</v>
      </c>
      <c r="J9" s="209" t="s">
        <v>205</v>
      </c>
      <c r="K9" s="209" t="s">
        <v>205</v>
      </c>
      <c r="L9" s="210"/>
      <c r="M9" s="210" t="s">
        <v>205</v>
      </c>
      <c r="N9" s="209" t="s">
        <v>205</v>
      </c>
      <c r="O9" s="209" t="s">
        <v>205</v>
      </c>
      <c r="P9" s="209" t="s">
        <v>205</v>
      </c>
      <c r="Q9" s="209" t="s">
        <v>205</v>
      </c>
      <c r="R9" s="209" t="s">
        <v>205</v>
      </c>
      <c r="S9" s="210"/>
      <c r="T9" s="210" t="s">
        <v>205</v>
      </c>
      <c r="U9" s="209" t="s">
        <v>205</v>
      </c>
      <c r="V9" s="209" t="s">
        <v>205</v>
      </c>
      <c r="W9" s="209" t="s">
        <v>205</v>
      </c>
      <c r="X9" s="209" t="s">
        <v>205</v>
      </c>
      <c r="Y9" s="209" t="s">
        <v>205</v>
      </c>
      <c r="Z9" s="210"/>
      <c r="AA9" s="210" t="s">
        <v>205</v>
      </c>
      <c r="AB9" s="209" t="s">
        <v>205</v>
      </c>
      <c r="AC9" s="209" t="s">
        <v>205</v>
      </c>
      <c r="AD9" s="209" t="s">
        <v>205</v>
      </c>
      <c r="AE9" s="24">
        <v>12.0</v>
      </c>
      <c r="AF9" s="24">
        <v>12.0</v>
      </c>
      <c r="AG9" s="110"/>
      <c r="AH9" s="110">
        <v>12.0</v>
      </c>
      <c r="AI9" s="24">
        <v>12.0</v>
      </c>
      <c r="AJ9" s="211">
        <f>COUNTA(G9:AE9)</f>
        <v>22</v>
      </c>
      <c r="AK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>
        <v>12.0</v>
      </c>
      <c r="H10" s="24">
        <v>12.0</v>
      </c>
      <c r="I10" s="24">
        <v>12.0</v>
      </c>
      <c r="J10" s="24">
        <v>12.0</v>
      </c>
      <c r="K10" s="24">
        <v>12.0</v>
      </c>
      <c r="L10" s="110"/>
      <c r="M10" s="110"/>
      <c r="N10" s="24">
        <v>12.0</v>
      </c>
      <c r="O10" s="24">
        <v>12.0</v>
      </c>
      <c r="P10" s="24">
        <v>12.0</v>
      </c>
      <c r="Q10" s="24">
        <v>12.0</v>
      </c>
      <c r="R10" s="24">
        <v>12.0</v>
      </c>
      <c r="S10" s="110"/>
      <c r="T10" s="110"/>
      <c r="U10" s="24">
        <v>12.0</v>
      </c>
      <c r="V10" s="24">
        <v>12.0</v>
      </c>
      <c r="W10" s="24">
        <v>12.0</v>
      </c>
      <c r="X10" s="24">
        <v>12.0</v>
      </c>
      <c r="Y10" s="24">
        <v>12.0</v>
      </c>
      <c r="Z10" s="110"/>
      <c r="AA10" s="110"/>
      <c r="AB10" s="24">
        <v>12.0</v>
      </c>
      <c r="AC10" s="24">
        <v>12.0</v>
      </c>
      <c r="AD10" s="24">
        <v>12.0</v>
      </c>
      <c r="AE10" s="24">
        <v>12.0</v>
      </c>
      <c r="AF10" s="24">
        <v>12.0</v>
      </c>
      <c r="AG10" s="110"/>
      <c r="AH10" s="110"/>
      <c r="AI10" s="24">
        <v>12.0</v>
      </c>
      <c r="AJ10" s="211">
        <v>21.0</v>
      </c>
      <c r="AK10" s="57">
        <f>SUM(G10:AF10)</f>
        <v>240</v>
      </c>
    </row>
    <row r="11" ht="14.25" customHeight="1">
      <c r="A11" s="34">
        <v>3.0</v>
      </c>
      <c r="B11" s="35" t="s">
        <v>274</v>
      </c>
      <c r="C11" s="27">
        <v>1.0</v>
      </c>
      <c r="D11" s="36" t="s">
        <v>180</v>
      </c>
      <c r="E11" s="27" t="s">
        <v>275</v>
      </c>
      <c r="F11" s="28" t="s">
        <v>277</v>
      </c>
      <c r="G11" s="24">
        <v>10.0</v>
      </c>
      <c r="H11" s="24">
        <v>10.0</v>
      </c>
      <c r="I11" s="24">
        <v>10.0</v>
      </c>
      <c r="J11" s="24"/>
      <c r="K11" s="24"/>
      <c r="L11" s="110"/>
      <c r="M11" s="110"/>
      <c r="N11" s="24">
        <v>10.0</v>
      </c>
      <c r="O11" s="24">
        <v>10.0</v>
      </c>
      <c r="P11" s="24">
        <v>10.0</v>
      </c>
      <c r="Q11" s="24"/>
      <c r="R11" s="24"/>
      <c r="S11" s="110"/>
      <c r="T11" s="110"/>
      <c r="U11" s="24">
        <v>10.0</v>
      </c>
      <c r="V11" s="24">
        <v>10.0</v>
      </c>
      <c r="W11" s="24">
        <v>10.0</v>
      </c>
      <c r="X11" s="24"/>
      <c r="Y11" s="24"/>
      <c r="Z11" s="110"/>
      <c r="AA11" s="110"/>
      <c r="AB11" s="24">
        <v>10.0</v>
      </c>
      <c r="AC11" s="24">
        <v>10.0</v>
      </c>
      <c r="AD11" s="24">
        <v>10.0</v>
      </c>
      <c r="AE11" s="24"/>
      <c r="AF11" s="24"/>
      <c r="AG11" s="110"/>
      <c r="AH11" s="110"/>
      <c r="AI11" s="24">
        <v>10.0</v>
      </c>
      <c r="AJ11" s="211">
        <f t="shared" ref="AJ11:AJ13" si="2">COUNTA(G11:AF11)</f>
        <v>12</v>
      </c>
      <c r="AK11" s="57">
        <f>G11+H11+I11+N11+O11+P11+U11+V11+W11+AB11+AC11+AD11+AI11</f>
        <v>130</v>
      </c>
    </row>
    <row r="12" ht="14.25" customHeight="1">
      <c r="A12" s="34">
        <v>4.0</v>
      </c>
      <c r="B12" s="35" t="s">
        <v>31</v>
      </c>
      <c r="C12" s="27">
        <v>1.0</v>
      </c>
      <c r="D12" s="36" t="s">
        <v>32</v>
      </c>
      <c r="E12" s="26" t="s">
        <v>33</v>
      </c>
      <c r="F12" s="28" t="s">
        <v>30</v>
      </c>
      <c r="G12" s="24">
        <v>9.0</v>
      </c>
      <c r="H12" s="24">
        <v>9.0</v>
      </c>
      <c r="I12" s="24">
        <v>9.0</v>
      </c>
      <c r="J12" s="24">
        <v>9.0</v>
      </c>
      <c r="K12" s="24">
        <v>9.0</v>
      </c>
      <c r="L12" s="110"/>
      <c r="M12" s="110"/>
      <c r="N12" s="24">
        <v>9.0</v>
      </c>
      <c r="O12" s="24">
        <v>9.0</v>
      </c>
      <c r="P12" s="24">
        <v>9.0</v>
      </c>
      <c r="Q12" s="24">
        <v>9.0</v>
      </c>
      <c r="R12" s="24">
        <v>9.0</v>
      </c>
      <c r="S12" s="110"/>
      <c r="T12" s="110"/>
      <c r="U12" s="24">
        <v>9.0</v>
      </c>
      <c r="V12" s="24">
        <v>9.0</v>
      </c>
      <c r="W12" s="24">
        <v>9.0</v>
      </c>
      <c r="X12" s="24">
        <v>9.0</v>
      </c>
      <c r="Y12" s="24">
        <v>9.0</v>
      </c>
      <c r="Z12" s="110"/>
      <c r="AA12" s="110"/>
      <c r="AB12" s="24">
        <v>9.0</v>
      </c>
      <c r="AC12" s="24">
        <v>9.0</v>
      </c>
      <c r="AD12" s="24">
        <v>9.0</v>
      </c>
      <c r="AE12" s="24">
        <v>9.0</v>
      </c>
      <c r="AF12" s="24">
        <v>9.0</v>
      </c>
      <c r="AG12" s="110"/>
      <c r="AH12" s="110"/>
      <c r="AI12" s="24">
        <v>9.0</v>
      </c>
      <c r="AJ12" s="211">
        <f t="shared" si="2"/>
        <v>20</v>
      </c>
      <c r="AK12" s="57">
        <f>SUM(G12:AF12)</f>
        <v>180</v>
      </c>
    </row>
    <row r="13" ht="14.25" customHeight="1">
      <c r="A13" s="34">
        <v>5.0</v>
      </c>
      <c r="B13" s="35" t="s">
        <v>34</v>
      </c>
      <c r="C13" s="27">
        <v>1.0</v>
      </c>
      <c r="D13" s="36" t="s">
        <v>35</v>
      </c>
      <c r="E13" s="27" t="s">
        <v>33</v>
      </c>
      <c r="F13" s="28" t="s">
        <v>30</v>
      </c>
      <c r="G13" s="24">
        <v>9.0</v>
      </c>
      <c r="H13" s="24">
        <v>9.0</v>
      </c>
      <c r="I13" s="24">
        <v>9.0</v>
      </c>
      <c r="J13" s="24">
        <v>9.0</v>
      </c>
      <c r="K13" s="24">
        <v>9.0</v>
      </c>
      <c r="L13" s="110"/>
      <c r="M13" s="110"/>
      <c r="N13" s="24">
        <v>9.0</v>
      </c>
      <c r="O13" s="24">
        <v>9.0</v>
      </c>
      <c r="P13" s="24">
        <v>9.0</v>
      </c>
      <c r="Q13" s="24">
        <v>9.0</v>
      </c>
      <c r="R13" s="24">
        <v>9.0</v>
      </c>
      <c r="S13" s="110"/>
      <c r="T13" s="110"/>
      <c r="U13" s="24">
        <v>9.0</v>
      </c>
      <c r="V13" s="24">
        <v>9.0</v>
      </c>
      <c r="W13" s="24">
        <v>9.0</v>
      </c>
      <c r="X13" s="24">
        <v>9.0</v>
      </c>
      <c r="Y13" s="24">
        <v>9.0</v>
      </c>
      <c r="Z13" s="110"/>
      <c r="AA13" s="110"/>
      <c r="AB13" s="24">
        <v>9.0</v>
      </c>
      <c r="AC13" s="24">
        <v>9.0</v>
      </c>
      <c r="AD13" s="24">
        <v>9.0</v>
      </c>
      <c r="AE13" s="24">
        <v>9.0</v>
      </c>
      <c r="AF13" s="24">
        <v>9.0</v>
      </c>
      <c r="AG13" s="110"/>
      <c r="AH13" s="110"/>
      <c r="AI13" s="24">
        <v>9.0</v>
      </c>
      <c r="AJ13" s="211">
        <f t="shared" si="2"/>
        <v>20</v>
      </c>
      <c r="AK13" s="57">
        <v>180.0</v>
      </c>
    </row>
    <row r="14" ht="14.25" customHeight="1">
      <c r="A14" s="34">
        <v>6.0</v>
      </c>
      <c r="B14" s="35" t="s">
        <v>36</v>
      </c>
      <c r="C14" s="27">
        <v>1.0</v>
      </c>
      <c r="D14" s="36" t="s">
        <v>278</v>
      </c>
      <c r="E14" s="27" t="s">
        <v>33</v>
      </c>
      <c r="F14" s="28" t="s">
        <v>30</v>
      </c>
      <c r="G14" s="24">
        <v>9.0</v>
      </c>
      <c r="H14" s="24">
        <v>9.0</v>
      </c>
      <c r="I14" s="24">
        <v>9.0</v>
      </c>
      <c r="J14" s="24">
        <v>9.0</v>
      </c>
      <c r="K14" s="24">
        <v>9.0</v>
      </c>
      <c r="L14" s="110"/>
      <c r="M14" s="110"/>
      <c r="N14" s="24">
        <v>9.0</v>
      </c>
      <c r="O14" s="24">
        <v>9.0</v>
      </c>
      <c r="P14" s="24">
        <v>9.0</v>
      </c>
      <c r="Q14" s="24">
        <v>9.0</v>
      </c>
      <c r="R14" s="24">
        <v>9.0</v>
      </c>
      <c r="S14" s="110"/>
      <c r="T14" s="110"/>
      <c r="U14" s="24">
        <v>9.0</v>
      </c>
      <c r="V14" s="24">
        <v>9.0</v>
      </c>
      <c r="W14" s="24">
        <v>9.0</v>
      </c>
      <c r="X14" s="24">
        <v>9.0</v>
      </c>
      <c r="Y14" s="24">
        <v>9.0</v>
      </c>
      <c r="Z14" s="110"/>
      <c r="AA14" s="110"/>
      <c r="AB14" s="24">
        <v>9.0</v>
      </c>
      <c r="AC14" s="24">
        <v>9.0</v>
      </c>
      <c r="AD14" s="24">
        <v>9.0</v>
      </c>
      <c r="AE14" s="24">
        <v>9.0</v>
      </c>
      <c r="AF14" s="24">
        <v>9.0</v>
      </c>
      <c r="AG14" s="110"/>
      <c r="AH14" s="110"/>
      <c r="AI14" s="24">
        <v>9.0</v>
      </c>
      <c r="AJ14" s="211">
        <v>20.0</v>
      </c>
      <c r="AK14" s="57">
        <v>180.0</v>
      </c>
    </row>
    <row r="15" ht="14.25" customHeight="1">
      <c r="A15" s="34">
        <v>7.0</v>
      </c>
      <c r="B15" s="25" t="s">
        <v>38</v>
      </c>
      <c r="C15" s="27">
        <v>1.0</v>
      </c>
      <c r="D15" s="37" t="s">
        <v>185</v>
      </c>
      <c r="E15" s="27" t="s">
        <v>40</v>
      </c>
      <c r="F15" s="28" t="s">
        <v>30</v>
      </c>
      <c r="G15" s="24">
        <v>12.0</v>
      </c>
      <c r="H15" s="117"/>
      <c r="I15" s="117"/>
      <c r="J15" s="24">
        <v>12.0</v>
      </c>
      <c r="K15" s="24">
        <v>12.0</v>
      </c>
      <c r="L15" s="110">
        <v>12.0</v>
      </c>
      <c r="M15" s="110">
        <v>12.0</v>
      </c>
      <c r="N15" s="24">
        <v>12.0</v>
      </c>
      <c r="O15" s="24"/>
      <c r="P15" s="24"/>
      <c r="Q15" s="24">
        <v>12.0</v>
      </c>
      <c r="R15" s="24">
        <v>12.0</v>
      </c>
      <c r="S15" s="110">
        <v>12.0</v>
      </c>
      <c r="T15" s="110">
        <v>12.0</v>
      </c>
      <c r="U15" s="24">
        <v>12.0</v>
      </c>
      <c r="V15" s="24"/>
      <c r="W15" s="24"/>
      <c r="X15" s="24">
        <v>12.0</v>
      </c>
      <c r="Y15" s="24">
        <v>12.0</v>
      </c>
      <c r="Z15" s="110">
        <v>12.0</v>
      </c>
      <c r="AA15" s="110">
        <v>12.0</v>
      </c>
      <c r="AB15" s="24">
        <v>12.0</v>
      </c>
      <c r="AC15" s="24"/>
      <c r="AD15" s="24"/>
      <c r="AE15" s="24">
        <v>12.0</v>
      </c>
      <c r="AF15" s="24">
        <v>12.0</v>
      </c>
      <c r="AG15" s="110">
        <v>12.0</v>
      </c>
      <c r="AH15" s="110">
        <v>12.0</v>
      </c>
      <c r="AI15" s="24">
        <v>12.0</v>
      </c>
      <c r="AJ15" s="211">
        <f>COUNTA(G15:AI15)</f>
        <v>21</v>
      </c>
      <c r="AK15" s="57">
        <f>SUM(G15:AI15)</f>
        <v>252</v>
      </c>
    </row>
    <row r="16" ht="14.25" customHeight="1">
      <c r="A16" s="19"/>
      <c r="B16" s="20" t="s">
        <v>41</v>
      </c>
      <c r="C16" s="21"/>
      <c r="D16" s="20" t="s">
        <v>41</v>
      </c>
      <c r="E16" s="21"/>
      <c r="F16" s="39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"/>
      <c r="AK16" s="45"/>
    </row>
    <row r="17" ht="14.25" customHeight="1">
      <c r="A17" s="24">
        <v>8.0</v>
      </c>
      <c r="B17" s="25" t="s">
        <v>181</v>
      </c>
      <c r="C17" s="26">
        <v>1.0</v>
      </c>
      <c r="D17" s="25" t="s">
        <v>280</v>
      </c>
      <c r="E17" s="26" t="s">
        <v>40</v>
      </c>
      <c r="F17" s="47" t="s">
        <v>46</v>
      </c>
      <c r="G17" s="26">
        <v>12.0</v>
      </c>
      <c r="H17" s="26">
        <v>12.0</v>
      </c>
      <c r="I17" s="26"/>
      <c r="J17" s="26">
        <v>12.0</v>
      </c>
      <c r="K17" s="26">
        <v>12.0</v>
      </c>
      <c r="L17" s="213">
        <v>12.0</v>
      </c>
      <c r="M17" s="213">
        <v>12.0</v>
      </c>
      <c r="N17" s="26">
        <v>12.0</v>
      </c>
      <c r="O17" s="26">
        <v>12.0</v>
      </c>
      <c r="P17" s="26"/>
      <c r="Q17" s="26">
        <v>12.0</v>
      </c>
      <c r="R17" s="26">
        <v>12.0</v>
      </c>
      <c r="S17" s="213">
        <v>12.0</v>
      </c>
      <c r="T17" s="213">
        <v>12.0</v>
      </c>
      <c r="U17" s="26">
        <v>12.0</v>
      </c>
      <c r="V17" s="26">
        <v>12.0</v>
      </c>
      <c r="W17" s="26"/>
      <c r="X17" s="26">
        <v>12.0</v>
      </c>
      <c r="Y17" s="26">
        <v>12.0</v>
      </c>
      <c r="Z17" s="213">
        <v>12.0</v>
      </c>
      <c r="AA17" s="213">
        <v>12.0</v>
      </c>
      <c r="AB17" s="26">
        <v>12.0</v>
      </c>
      <c r="AC17" s="26">
        <v>12.0</v>
      </c>
      <c r="AD17" s="26"/>
      <c r="AE17" s="215">
        <v>12.0</v>
      </c>
      <c r="AF17" s="215">
        <v>12.0</v>
      </c>
      <c r="AG17" s="214">
        <v>12.0</v>
      </c>
      <c r="AH17" s="214">
        <v>12.0</v>
      </c>
      <c r="AI17" s="215">
        <v>12.0</v>
      </c>
      <c r="AJ17" s="211">
        <v>26.0</v>
      </c>
      <c r="AK17" s="451">
        <v>312.0</v>
      </c>
      <c r="AL17" s="73" t="s">
        <v>207</v>
      </c>
    </row>
    <row r="18" ht="14.25" customHeight="1">
      <c r="A18" s="34">
        <v>9.0</v>
      </c>
      <c r="B18" s="35" t="s">
        <v>49</v>
      </c>
      <c r="C18" s="27">
        <v>1.0</v>
      </c>
      <c r="D18" s="67"/>
      <c r="E18" s="27" t="s">
        <v>51</v>
      </c>
      <c r="F18" s="47" t="s">
        <v>46</v>
      </c>
      <c r="G18" s="24"/>
      <c r="H18" s="24">
        <v>24.0</v>
      </c>
      <c r="I18" s="24"/>
      <c r="J18" s="24">
        <v>24.0</v>
      </c>
      <c r="K18" s="24"/>
      <c r="L18" s="110">
        <v>24.0</v>
      </c>
      <c r="M18" s="110"/>
      <c r="N18" s="24">
        <v>24.0</v>
      </c>
      <c r="O18" s="24"/>
      <c r="P18" s="24">
        <v>24.0</v>
      </c>
      <c r="Q18" s="24"/>
      <c r="R18" s="24">
        <v>24.0</v>
      </c>
      <c r="S18" s="110"/>
      <c r="T18" s="110">
        <v>24.0</v>
      </c>
      <c r="U18" s="24"/>
      <c r="V18" s="24">
        <v>24.0</v>
      </c>
      <c r="W18" s="24"/>
      <c r="X18" s="24">
        <v>24.0</v>
      </c>
      <c r="Y18" s="24"/>
      <c r="Z18" s="110">
        <v>24.0</v>
      </c>
      <c r="AA18" s="110"/>
      <c r="AB18" s="24">
        <v>24.0</v>
      </c>
      <c r="AC18" s="24"/>
      <c r="AD18" s="24">
        <v>24.0</v>
      </c>
      <c r="AE18" s="24"/>
      <c r="AF18" s="24">
        <v>24.0</v>
      </c>
      <c r="AG18" s="110"/>
      <c r="AH18" s="110">
        <v>24.0</v>
      </c>
      <c r="AI18" s="24"/>
      <c r="AJ18" s="211">
        <v>15.0</v>
      </c>
      <c r="AK18" s="452">
        <v>360.0</v>
      </c>
      <c r="AL18" s="73" t="s">
        <v>207</v>
      </c>
    </row>
    <row r="19" ht="14.25" customHeight="1">
      <c r="A19" s="34">
        <v>10.0</v>
      </c>
      <c r="B19" s="35" t="s">
        <v>49</v>
      </c>
      <c r="C19" s="27">
        <v>1.0</v>
      </c>
      <c r="D19" s="36" t="s">
        <v>54</v>
      </c>
      <c r="E19" s="27" t="s">
        <v>51</v>
      </c>
      <c r="F19" s="47" t="s">
        <v>46</v>
      </c>
      <c r="G19" s="24">
        <v>24.0</v>
      </c>
      <c r="H19" s="24"/>
      <c r="I19" s="24">
        <v>24.0</v>
      </c>
      <c r="J19" s="24"/>
      <c r="K19" s="24">
        <v>24.0</v>
      </c>
      <c r="L19" s="110"/>
      <c r="M19" s="110">
        <v>24.0</v>
      </c>
      <c r="N19" s="24"/>
      <c r="O19" s="24">
        <v>24.0</v>
      </c>
      <c r="P19" s="24"/>
      <c r="Q19" s="24">
        <v>24.0</v>
      </c>
      <c r="R19" s="24"/>
      <c r="S19" s="110">
        <v>24.0</v>
      </c>
      <c r="T19" s="110"/>
      <c r="U19" s="24">
        <v>24.0</v>
      </c>
      <c r="V19" s="24"/>
      <c r="W19" s="24">
        <v>24.0</v>
      </c>
      <c r="X19" s="24"/>
      <c r="Y19" s="24">
        <v>24.0</v>
      </c>
      <c r="Z19" s="110"/>
      <c r="AA19" s="110">
        <v>24.0</v>
      </c>
      <c r="AB19" s="24"/>
      <c r="AC19" s="24">
        <v>24.0</v>
      </c>
      <c r="AD19" s="24"/>
      <c r="AE19" s="24">
        <v>24.0</v>
      </c>
      <c r="AF19" s="24"/>
      <c r="AG19" s="110">
        <v>24.0</v>
      </c>
      <c r="AH19" s="110"/>
      <c r="AI19" s="24">
        <v>24.0</v>
      </c>
      <c r="AJ19" s="211">
        <v>16.0</v>
      </c>
      <c r="AK19" s="452">
        <v>360.0</v>
      </c>
      <c r="AL19" s="73" t="s">
        <v>207</v>
      </c>
    </row>
    <row r="20" ht="14.25" customHeight="1">
      <c r="A20" s="34">
        <v>11.0</v>
      </c>
      <c r="B20" s="35" t="s">
        <v>62</v>
      </c>
      <c r="C20" s="27">
        <v>1.0</v>
      </c>
      <c r="D20" s="67" t="s">
        <v>281</v>
      </c>
      <c r="E20" s="27" t="s">
        <v>64</v>
      </c>
      <c r="F20" s="47" t="s">
        <v>46</v>
      </c>
      <c r="G20" s="24">
        <v>12.0</v>
      </c>
      <c r="H20" s="24">
        <v>12.0</v>
      </c>
      <c r="I20" s="24">
        <v>12.0</v>
      </c>
      <c r="J20" s="24">
        <v>12.0</v>
      </c>
      <c r="K20" s="24">
        <v>12.0</v>
      </c>
      <c r="L20" s="110">
        <v>12.0</v>
      </c>
      <c r="M20" s="110"/>
      <c r="N20" s="24">
        <v>12.0</v>
      </c>
      <c r="O20" s="24">
        <v>12.0</v>
      </c>
      <c r="P20" s="24">
        <v>12.0</v>
      </c>
      <c r="Q20" s="24">
        <v>12.0</v>
      </c>
      <c r="R20" s="24">
        <v>12.0</v>
      </c>
      <c r="S20" s="110">
        <v>12.0</v>
      </c>
      <c r="T20" s="110"/>
      <c r="U20" s="24">
        <v>12.0</v>
      </c>
      <c r="V20" s="24">
        <v>12.0</v>
      </c>
      <c r="W20" s="24">
        <v>12.0</v>
      </c>
      <c r="X20" s="24">
        <v>12.0</v>
      </c>
      <c r="Y20" s="24">
        <v>12.0</v>
      </c>
      <c r="Z20" s="110">
        <v>12.0</v>
      </c>
      <c r="AA20" s="110"/>
      <c r="AB20" s="24">
        <v>12.0</v>
      </c>
      <c r="AC20" s="24">
        <v>12.0</v>
      </c>
      <c r="AD20" s="24">
        <v>12.0</v>
      </c>
      <c r="AE20" s="24">
        <v>12.0</v>
      </c>
      <c r="AF20" s="24">
        <v>12.0</v>
      </c>
      <c r="AG20" s="110">
        <v>12.0</v>
      </c>
      <c r="AH20" s="110"/>
      <c r="AI20" s="24">
        <v>12.0</v>
      </c>
      <c r="AJ20" s="211">
        <f>COUNTA(G20:AI20)</f>
        <v>25</v>
      </c>
      <c r="AK20" s="452">
        <f>SUM(G20:AI20)</f>
        <v>300</v>
      </c>
      <c r="AL20" s="73" t="s">
        <v>207</v>
      </c>
    </row>
    <row r="21" ht="14.25" customHeight="1">
      <c r="A21" s="34">
        <v>12.0</v>
      </c>
      <c r="B21" s="35" t="s">
        <v>67</v>
      </c>
      <c r="C21" s="27">
        <v>1.0</v>
      </c>
      <c r="D21" s="36" t="s">
        <v>243</v>
      </c>
      <c r="E21" s="27" t="s">
        <v>70</v>
      </c>
      <c r="F21" s="28" t="s">
        <v>30</v>
      </c>
      <c r="G21" s="24"/>
      <c r="H21" s="24"/>
      <c r="I21" s="24">
        <v>12.0</v>
      </c>
      <c r="J21" s="24">
        <v>12.0</v>
      </c>
      <c r="K21" s="24">
        <v>12.0</v>
      </c>
      <c r="L21" s="110">
        <v>12.0</v>
      </c>
      <c r="M21" s="110">
        <v>12.0</v>
      </c>
      <c r="N21" s="24"/>
      <c r="O21" s="24"/>
      <c r="P21" s="24">
        <v>12.0</v>
      </c>
      <c r="Q21" s="24">
        <v>12.0</v>
      </c>
      <c r="R21" s="24">
        <v>12.0</v>
      </c>
      <c r="S21" s="110">
        <v>12.0</v>
      </c>
      <c r="T21" s="110">
        <v>12.0</v>
      </c>
      <c r="U21" s="24"/>
      <c r="V21" s="24"/>
      <c r="W21" s="24">
        <v>12.0</v>
      </c>
      <c r="X21" s="24">
        <v>12.0</v>
      </c>
      <c r="Y21" s="24">
        <v>12.0</v>
      </c>
      <c r="Z21" s="110">
        <v>12.0</v>
      </c>
      <c r="AA21" s="110">
        <v>12.0</v>
      </c>
      <c r="AB21" s="24"/>
      <c r="AC21" s="24"/>
      <c r="AD21" s="24">
        <v>12.0</v>
      </c>
      <c r="AE21" s="24">
        <v>12.0</v>
      </c>
      <c r="AF21" s="24">
        <v>12.0</v>
      </c>
      <c r="AG21" s="110">
        <v>12.0</v>
      </c>
      <c r="AH21" s="110">
        <v>12.0</v>
      </c>
      <c r="AI21" s="24"/>
      <c r="AJ21" s="211">
        <f>COUNTA(G21:AH21)</f>
        <v>20</v>
      </c>
      <c r="AK21" s="452">
        <f>SUM(G21:AH21)</f>
        <v>240</v>
      </c>
      <c r="AL21" s="73" t="s">
        <v>207</v>
      </c>
    </row>
    <row r="22" ht="14.25" customHeight="1">
      <c r="A22" s="34">
        <v>13.0</v>
      </c>
      <c r="B22" s="35" t="s">
        <v>71</v>
      </c>
      <c r="C22" s="27">
        <v>1.0</v>
      </c>
      <c r="D22" s="36" t="s">
        <v>76</v>
      </c>
      <c r="E22" s="27" t="s">
        <v>73</v>
      </c>
      <c r="F22" s="28" t="s">
        <v>26</v>
      </c>
      <c r="G22" s="448"/>
      <c r="H22" s="24">
        <v>12.0</v>
      </c>
      <c r="I22" s="24">
        <v>12.0</v>
      </c>
      <c r="J22" s="24">
        <v>12.0</v>
      </c>
      <c r="K22" s="24">
        <v>12.0</v>
      </c>
      <c r="L22" s="110">
        <v>12.0</v>
      </c>
      <c r="M22" s="110">
        <v>12.0</v>
      </c>
      <c r="N22" s="448"/>
      <c r="O22" s="24">
        <v>12.0</v>
      </c>
      <c r="P22" s="24">
        <v>12.0</v>
      </c>
      <c r="Q22" s="24">
        <v>12.0</v>
      </c>
      <c r="R22" s="24">
        <v>12.0</v>
      </c>
      <c r="S22" s="110">
        <v>12.0</v>
      </c>
      <c r="T22" s="110">
        <v>12.0</v>
      </c>
      <c r="U22" s="448"/>
      <c r="V22" s="24">
        <v>12.0</v>
      </c>
      <c r="W22" s="24">
        <v>12.0</v>
      </c>
      <c r="X22" s="24">
        <v>12.0</v>
      </c>
      <c r="Y22" s="24">
        <v>12.0</v>
      </c>
      <c r="Z22" s="110">
        <v>12.0</v>
      </c>
      <c r="AA22" s="110">
        <v>12.0</v>
      </c>
      <c r="AB22" s="448"/>
      <c r="AC22" s="24">
        <v>12.0</v>
      </c>
      <c r="AD22" s="24">
        <v>12.0</v>
      </c>
      <c r="AE22" s="24">
        <v>12.0</v>
      </c>
      <c r="AF22" s="24">
        <v>12.0</v>
      </c>
      <c r="AG22" s="110">
        <v>12.0</v>
      </c>
      <c r="AH22" s="110">
        <v>12.0</v>
      </c>
      <c r="AI22" s="24"/>
      <c r="AJ22" s="211">
        <f>COUNTA(G22:AI22)</f>
        <v>24</v>
      </c>
      <c r="AK22" s="452">
        <f>SUM(G22:AI22)</f>
        <v>288</v>
      </c>
      <c r="AL22" s="73" t="s">
        <v>207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455"/>
    </row>
    <row r="24" ht="14.25" customHeight="1">
      <c r="A24" s="34">
        <v>14.0</v>
      </c>
      <c r="B24" s="35" t="s">
        <v>86</v>
      </c>
      <c r="C24" s="27">
        <v>1.0</v>
      </c>
      <c r="D24" s="37" t="s">
        <v>82</v>
      </c>
      <c r="E24" s="27" t="s">
        <v>102</v>
      </c>
      <c r="F24" s="250" t="s">
        <v>85</v>
      </c>
      <c r="G24" s="24"/>
      <c r="H24" s="24"/>
      <c r="I24" s="24">
        <v>24.0</v>
      </c>
      <c r="J24" s="24"/>
      <c r="K24" s="24"/>
      <c r="L24" s="110">
        <v>24.0</v>
      </c>
      <c r="M24" s="110"/>
      <c r="N24" s="24"/>
      <c r="O24" s="24">
        <v>24.0</v>
      </c>
      <c r="P24" s="24"/>
      <c r="Q24" s="24"/>
      <c r="R24" s="24">
        <v>24.0</v>
      </c>
      <c r="S24" s="110"/>
      <c r="T24" s="110"/>
      <c r="U24" s="24">
        <v>24.0</v>
      </c>
      <c r="V24" s="24"/>
      <c r="W24" s="24"/>
      <c r="X24" s="24">
        <v>24.0</v>
      </c>
      <c r="Y24" s="24"/>
      <c r="Z24" s="110">
        <v>24.0</v>
      </c>
      <c r="AA24" s="110"/>
      <c r="AB24" s="24"/>
      <c r="AC24" s="24">
        <v>24.0</v>
      </c>
      <c r="AD24" s="24"/>
      <c r="AE24" s="24"/>
      <c r="AF24" s="24">
        <v>24.0</v>
      </c>
      <c r="AG24" s="110"/>
      <c r="AH24" s="110"/>
      <c r="AI24" s="24">
        <v>24.0</v>
      </c>
      <c r="AJ24" s="211">
        <v>10.0</v>
      </c>
      <c r="AK24" s="452">
        <v>240.0</v>
      </c>
      <c r="AL24" s="73" t="s">
        <v>207</v>
      </c>
    </row>
    <row r="25" ht="14.25" customHeight="1">
      <c r="A25" s="34">
        <v>15.0</v>
      </c>
      <c r="B25" s="120" t="s">
        <v>86</v>
      </c>
      <c r="C25" s="121">
        <v>1.0</v>
      </c>
      <c r="D25" s="130"/>
      <c r="E25" s="27" t="s">
        <v>102</v>
      </c>
      <c r="F25" s="88"/>
      <c r="G25" s="24"/>
      <c r="H25" s="24">
        <v>24.0</v>
      </c>
      <c r="I25" s="24"/>
      <c r="J25" s="24"/>
      <c r="K25" s="24">
        <v>24.0</v>
      </c>
      <c r="L25" s="110"/>
      <c r="M25" s="110"/>
      <c r="N25" s="24">
        <v>24.0</v>
      </c>
      <c r="O25" s="24"/>
      <c r="P25" s="24"/>
      <c r="Q25" s="24">
        <v>24.0</v>
      </c>
      <c r="R25" s="24"/>
      <c r="S25" s="110"/>
      <c r="T25" s="110">
        <v>24.0</v>
      </c>
      <c r="U25" s="24"/>
      <c r="V25" s="24"/>
      <c r="W25" s="24">
        <v>24.0</v>
      </c>
      <c r="X25" s="24"/>
      <c r="Y25" s="24"/>
      <c r="Z25" s="110"/>
      <c r="AA25" s="110">
        <v>24.0</v>
      </c>
      <c r="AB25" s="24"/>
      <c r="AC25" s="24"/>
      <c r="AD25" s="24">
        <v>24.0</v>
      </c>
      <c r="AE25" s="24"/>
      <c r="AF25" s="24"/>
      <c r="AG25" s="110">
        <v>24.0</v>
      </c>
      <c r="AH25" s="110"/>
      <c r="AI25" s="24"/>
      <c r="AJ25" s="211">
        <v>10.0</v>
      </c>
      <c r="AK25" s="452">
        <v>240.0</v>
      </c>
      <c r="AL25" s="73" t="s">
        <v>207</v>
      </c>
    </row>
    <row r="26" ht="14.25" customHeight="1">
      <c r="A26" s="34">
        <v>16.0</v>
      </c>
      <c r="B26" s="35" t="s">
        <v>86</v>
      </c>
      <c r="C26" s="65">
        <v>1.0</v>
      </c>
      <c r="D26" s="37" t="s">
        <v>198</v>
      </c>
      <c r="E26" s="27" t="s">
        <v>102</v>
      </c>
      <c r="F26" s="88"/>
      <c r="G26" s="24">
        <v>24.0</v>
      </c>
      <c r="H26" s="24"/>
      <c r="I26" s="24"/>
      <c r="J26" s="24">
        <v>24.0</v>
      </c>
      <c r="K26" s="24"/>
      <c r="L26" s="110"/>
      <c r="M26" s="110">
        <v>24.0</v>
      </c>
      <c r="N26" s="24"/>
      <c r="O26" s="24"/>
      <c r="P26" s="24">
        <v>24.0</v>
      </c>
      <c r="Q26" s="24"/>
      <c r="R26" s="24"/>
      <c r="S26" s="110">
        <v>24.0</v>
      </c>
      <c r="T26" s="110"/>
      <c r="U26" s="24"/>
      <c r="V26" s="24">
        <v>24.0</v>
      </c>
      <c r="W26" s="24"/>
      <c r="X26" s="24"/>
      <c r="Y26" s="24">
        <v>24.0</v>
      </c>
      <c r="Z26" s="110"/>
      <c r="AA26" s="110"/>
      <c r="AB26" s="24">
        <v>24.0</v>
      </c>
      <c r="AC26" s="24"/>
      <c r="AD26" s="24"/>
      <c r="AE26" s="24">
        <v>24.0</v>
      </c>
      <c r="AF26" s="24"/>
      <c r="AG26" s="110"/>
      <c r="AH26" s="110">
        <v>24.0</v>
      </c>
      <c r="AI26" s="24"/>
      <c r="AJ26" s="211">
        <v>10.0</v>
      </c>
      <c r="AK26" s="452">
        <v>240.0</v>
      </c>
      <c r="AL26" s="73" t="s">
        <v>207</v>
      </c>
    </row>
    <row r="27" ht="14.25" customHeight="1">
      <c r="A27" s="34">
        <v>17.0</v>
      </c>
      <c r="B27" s="35" t="s">
        <v>95</v>
      </c>
      <c r="C27" s="65">
        <v>1.0</v>
      </c>
      <c r="D27" s="90" t="s">
        <v>97</v>
      </c>
      <c r="E27" s="27" t="s">
        <v>102</v>
      </c>
      <c r="F27" s="88"/>
      <c r="G27" s="24"/>
      <c r="H27" s="24"/>
      <c r="I27" s="24">
        <v>17.0</v>
      </c>
      <c r="J27" s="24">
        <v>17.0</v>
      </c>
      <c r="K27" s="24">
        <v>17.0</v>
      </c>
      <c r="L27" s="110">
        <v>17.0</v>
      </c>
      <c r="M27" s="110">
        <v>17.0</v>
      </c>
      <c r="N27" s="24"/>
      <c r="O27" s="24"/>
      <c r="P27" s="24">
        <v>24.0</v>
      </c>
      <c r="Q27" s="24"/>
      <c r="R27" s="24"/>
      <c r="S27" s="110">
        <v>24.0</v>
      </c>
      <c r="T27" s="110"/>
      <c r="U27" s="24"/>
      <c r="V27" s="24">
        <v>24.0</v>
      </c>
      <c r="W27" s="24"/>
      <c r="X27" s="24"/>
      <c r="Y27" s="24">
        <v>24.0</v>
      </c>
      <c r="Z27" s="110"/>
      <c r="AA27" s="110"/>
      <c r="AB27" s="24">
        <v>24.0</v>
      </c>
      <c r="AC27" s="24"/>
      <c r="AD27" s="24"/>
      <c r="AE27" s="24">
        <v>24.0</v>
      </c>
      <c r="AF27" s="24"/>
      <c r="AG27" s="110"/>
      <c r="AH27" s="110">
        <v>24.0</v>
      </c>
      <c r="AI27" s="24"/>
      <c r="AJ27" s="211">
        <v>12.0</v>
      </c>
      <c r="AK27" s="457">
        <f>G27+H27+I27+J27+K27+L27+M27+N27+O27+P27+Q27+R27+S27+T27+U27+V27+W27+X27+Y27+Z27+AA27+AB27+AC27+AD27+AE27+AF27+AG27+AH27+AI27</f>
        <v>253</v>
      </c>
      <c r="AL27" s="73" t="s">
        <v>207</v>
      </c>
    </row>
    <row r="28" ht="14.25" customHeight="1">
      <c r="A28" s="34">
        <v>18.0</v>
      </c>
      <c r="B28" s="35" t="s">
        <v>95</v>
      </c>
      <c r="C28" s="65">
        <v>1.0</v>
      </c>
      <c r="D28" s="90" t="s">
        <v>63</v>
      </c>
      <c r="E28" s="27" t="s">
        <v>102</v>
      </c>
      <c r="F28" s="88"/>
      <c r="G28" s="24"/>
      <c r="H28" s="24"/>
      <c r="I28" s="24">
        <v>24.0</v>
      </c>
      <c r="J28" s="24"/>
      <c r="K28" s="24"/>
      <c r="L28" s="110">
        <v>24.0</v>
      </c>
      <c r="M28" s="110"/>
      <c r="N28" s="24"/>
      <c r="O28" s="24">
        <v>24.0</v>
      </c>
      <c r="P28" s="24"/>
      <c r="Q28" s="24"/>
      <c r="R28" s="24">
        <v>24.0</v>
      </c>
      <c r="S28" s="110"/>
      <c r="T28" s="110"/>
      <c r="U28" s="24">
        <v>24.0</v>
      </c>
      <c r="V28" s="24"/>
      <c r="W28" s="24"/>
      <c r="X28" s="24">
        <v>24.0</v>
      </c>
      <c r="Y28" s="24"/>
      <c r="Z28" s="110"/>
      <c r="AA28" s="110">
        <v>24.0</v>
      </c>
      <c r="AB28" s="24"/>
      <c r="AC28" s="24"/>
      <c r="AD28" s="24">
        <v>17.0</v>
      </c>
      <c r="AE28" s="24">
        <v>17.0</v>
      </c>
      <c r="AF28" s="24">
        <v>17.0</v>
      </c>
      <c r="AG28" s="110">
        <v>17.0</v>
      </c>
      <c r="AH28" s="110">
        <v>17.0</v>
      </c>
      <c r="AI28" s="24"/>
      <c r="AJ28" s="211">
        <v>12.0</v>
      </c>
      <c r="AK28" s="457">
        <f>SUM(G28:AH28)</f>
        <v>253</v>
      </c>
      <c r="AL28" s="73" t="s">
        <v>207</v>
      </c>
    </row>
    <row r="29" ht="14.25" customHeight="1">
      <c r="A29" s="34">
        <v>19.0</v>
      </c>
      <c r="B29" s="97" t="s">
        <v>95</v>
      </c>
      <c r="C29" s="65">
        <v>1.0</v>
      </c>
      <c r="D29" s="90" t="s">
        <v>106</v>
      </c>
      <c r="E29" s="27" t="s">
        <v>269</v>
      </c>
      <c r="F29" s="88"/>
      <c r="G29" s="24">
        <v>24.0</v>
      </c>
      <c r="H29" s="24"/>
      <c r="I29" s="24"/>
      <c r="J29" s="24">
        <v>24.0</v>
      </c>
      <c r="K29" s="24"/>
      <c r="L29" s="110"/>
      <c r="M29" s="110">
        <v>24.0</v>
      </c>
      <c r="N29" s="24"/>
      <c r="O29" s="24"/>
      <c r="P29" s="24">
        <v>17.0</v>
      </c>
      <c r="Q29" s="24">
        <v>17.0</v>
      </c>
      <c r="R29" s="24">
        <v>17.0</v>
      </c>
      <c r="S29" s="110">
        <v>17.0</v>
      </c>
      <c r="T29" s="110">
        <v>17.0</v>
      </c>
      <c r="U29" s="24"/>
      <c r="V29" s="24"/>
      <c r="W29" s="24">
        <v>24.0</v>
      </c>
      <c r="X29" s="24"/>
      <c r="Y29" s="24"/>
      <c r="Z29" s="110">
        <v>24.0</v>
      </c>
      <c r="AA29" s="110"/>
      <c r="AB29" s="24"/>
      <c r="AC29" s="24">
        <v>24.0</v>
      </c>
      <c r="AD29" s="24"/>
      <c r="AE29" s="24"/>
      <c r="AF29" s="24">
        <v>24.0</v>
      </c>
      <c r="AG29" s="110"/>
      <c r="AH29" s="110"/>
      <c r="AI29" s="24">
        <v>24.0</v>
      </c>
      <c r="AJ29" s="211">
        <v>13.0</v>
      </c>
      <c r="AK29" s="458">
        <f>G29+H29+I29+J29+K29+L29+M29+N29+O29+P29+Q29+R29+S29+T29+U29+V29+W29+X29+Y29+Z29+AA29+AB29+AC29+AD29+AE29+AF29+AG29+AH29+AI29</f>
        <v>277</v>
      </c>
      <c r="AL29" s="73" t="s">
        <v>207</v>
      </c>
    </row>
    <row r="30" ht="14.25" customHeight="1">
      <c r="A30" s="34">
        <v>20.0</v>
      </c>
      <c r="B30" s="35" t="s">
        <v>95</v>
      </c>
      <c r="C30" s="65">
        <v>1.0</v>
      </c>
      <c r="D30" s="90" t="s">
        <v>279</v>
      </c>
      <c r="E30" s="27" t="s">
        <v>102</v>
      </c>
      <c r="F30" s="450"/>
      <c r="G30" s="24"/>
      <c r="H30" s="24">
        <v>24.0</v>
      </c>
      <c r="I30" s="24"/>
      <c r="J30" s="24"/>
      <c r="K30" s="24">
        <v>24.0</v>
      </c>
      <c r="L30" s="110"/>
      <c r="M30" s="110"/>
      <c r="N30" s="24">
        <v>24.0</v>
      </c>
      <c r="O30" s="24"/>
      <c r="P30" s="24"/>
      <c r="Q30" s="24">
        <v>24.0</v>
      </c>
      <c r="R30" s="24"/>
      <c r="S30" s="110"/>
      <c r="T30" s="110">
        <v>24.0</v>
      </c>
      <c r="U30" s="24"/>
      <c r="V30" s="24"/>
      <c r="W30" s="24">
        <v>17.0</v>
      </c>
      <c r="X30" s="24">
        <v>17.0</v>
      </c>
      <c r="Y30" s="24">
        <v>17.0</v>
      </c>
      <c r="Z30" s="110">
        <v>17.0</v>
      </c>
      <c r="AA30" s="110">
        <v>17.0</v>
      </c>
      <c r="AB30" s="24"/>
      <c r="AC30" s="24"/>
      <c r="AD30" s="24">
        <v>24.0</v>
      </c>
      <c r="AE30" s="24"/>
      <c r="AF30" s="24"/>
      <c r="AG30" s="110">
        <v>24.0</v>
      </c>
      <c r="AH30" s="110"/>
      <c r="AI30" s="24"/>
      <c r="AJ30" s="211">
        <v>13.0</v>
      </c>
      <c r="AK30" s="457">
        <v>277.0</v>
      </c>
      <c r="AL30" s="73" t="s">
        <v>207</v>
      </c>
    </row>
    <row r="31" ht="14.25" customHeight="1">
      <c r="A31" s="106">
        <v>21.0</v>
      </c>
      <c r="B31" s="64" t="s">
        <v>184</v>
      </c>
      <c r="C31" s="101">
        <v>1.0</v>
      </c>
      <c r="D31" s="102" t="s">
        <v>63</v>
      </c>
      <c r="E31" s="101" t="s">
        <v>105</v>
      </c>
      <c r="F31" s="103">
        <v>0.4</v>
      </c>
      <c r="G31" s="106"/>
      <c r="H31" s="106"/>
      <c r="I31" s="106">
        <v>17.0</v>
      </c>
      <c r="J31" s="106">
        <v>17.0</v>
      </c>
      <c r="K31" s="106">
        <v>17.0</v>
      </c>
      <c r="L31" s="107"/>
      <c r="M31" s="107"/>
      <c r="N31" s="106"/>
      <c r="O31" s="106">
        <v>17.0</v>
      </c>
      <c r="P31" s="106">
        <v>17.0</v>
      </c>
      <c r="Q31" s="106">
        <v>17.0</v>
      </c>
      <c r="R31" s="106"/>
      <c r="S31" s="107"/>
      <c r="T31" s="107"/>
      <c r="U31" s="106">
        <v>17.0</v>
      </c>
      <c r="V31" s="106">
        <v>17.0</v>
      </c>
      <c r="W31" s="106">
        <v>17.0</v>
      </c>
      <c r="X31" s="106"/>
      <c r="Y31" s="106"/>
      <c r="Z31" s="107"/>
      <c r="AA31" s="107">
        <v>17.0</v>
      </c>
      <c r="AB31" s="106">
        <v>17.0</v>
      </c>
      <c r="AC31" s="106">
        <v>17.0</v>
      </c>
      <c r="AD31" s="106"/>
      <c r="AE31" s="106"/>
      <c r="AF31" s="106"/>
      <c r="AG31" s="107">
        <v>17.0</v>
      </c>
      <c r="AH31" s="107">
        <v>17.0</v>
      </c>
      <c r="AI31" s="106"/>
      <c r="AJ31" s="459">
        <v>14.0</v>
      </c>
      <c r="AK31" s="460">
        <f t="shared" ref="AK31:AK32" si="3">SUM(F31:AE31)</f>
        <v>204.4</v>
      </c>
      <c r="AL31" s="73" t="s">
        <v>207</v>
      </c>
    </row>
    <row r="32" ht="14.25" customHeight="1">
      <c r="A32" s="119">
        <v>22.0</v>
      </c>
      <c r="B32" s="137" t="s">
        <v>184</v>
      </c>
      <c r="C32" s="129">
        <v>1.0</v>
      </c>
      <c r="D32" s="102" t="s">
        <v>63</v>
      </c>
      <c r="E32" s="121" t="s">
        <v>105</v>
      </c>
      <c r="F32" s="103">
        <v>0.4</v>
      </c>
      <c r="G32" s="106"/>
      <c r="H32" s="106"/>
      <c r="I32" s="106"/>
      <c r="J32" s="106"/>
      <c r="K32" s="106"/>
      <c r="L32" s="107">
        <v>17.0</v>
      </c>
      <c r="M32" s="107">
        <v>17.0</v>
      </c>
      <c r="N32" s="106">
        <v>17.0</v>
      </c>
      <c r="O32" s="106"/>
      <c r="P32" s="106"/>
      <c r="Q32" s="106"/>
      <c r="R32" s="106">
        <v>17.0</v>
      </c>
      <c r="S32" s="107">
        <v>17.0</v>
      </c>
      <c r="T32" s="107">
        <v>17.0</v>
      </c>
      <c r="U32" s="106"/>
      <c r="V32" s="106"/>
      <c r="W32" s="106"/>
      <c r="X32" s="106">
        <v>17.0</v>
      </c>
      <c r="Y32" s="106">
        <v>17.0</v>
      </c>
      <c r="Z32" s="107">
        <v>17.0</v>
      </c>
      <c r="AA32" s="107"/>
      <c r="AB32" s="106"/>
      <c r="AC32" s="106"/>
      <c r="AD32" s="106">
        <v>17.0</v>
      </c>
      <c r="AE32" s="106">
        <v>17.0</v>
      </c>
      <c r="AF32" s="106">
        <v>17.0</v>
      </c>
      <c r="AG32" s="107"/>
      <c r="AH32" s="107"/>
      <c r="AI32" s="106"/>
      <c r="AJ32" s="459">
        <f>COUNTA(F32:AE32)</f>
        <v>12</v>
      </c>
      <c r="AK32" s="460">
        <f t="shared" si="3"/>
        <v>187.4</v>
      </c>
      <c r="AL32" s="73" t="s">
        <v>207</v>
      </c>
    </row>
    <row r="33" ht="17.25" customHeight="1">
      <c r="A33" s="34">
        <v>23.0</v>
      </c>
      <c r="B33" s="36" t="s">
        <v>109</v>
      </c>
      <c r="C33" s="65">
        <v>1.0</v>
      </c>
      <c r="D33" s="117" t="s">
        <v>131</v>
      </c>
      <c r="E33" s="27" t="s">
        <v>111</v>
      </c>
      <c r="F33" s="118" t="s">
        <v>26</v>
      </c>
      <c r="G33" s="24">
        <v>12.0</v>
      </c>
      <c r="H33" s="24">
        <v>12.0</v>
      </c>
      <c r="I33" s="453"/>
      <c r="J33" s="24">
        <v>12.0</v>
      </c>
      <c r="K33" s="24">
        <v>12.0</v>
      </c>
      <c r="L33" s="110">
        <v>12.0</v>
      </c>
      <c r="M33" s="110">
        <v>12.0</v>
      </c>
      <c r="N33" s="24">
        <v>12.0</v>
      </c>
      <c r="O33" s="24">
        <v>12.0</v>
      </c>
      <c r="P33" s="453"/>
      <c r="Q33" s="24">
        <v>12.0</v>
      </c>
      <c r="R33" s="24">
        <v>12.0</v>
      </c>
      <c r="S33" s="110">
        <v>12.0</v>
      </c>
      <c r="T33" s="110">
        <v>12.0</v>
      </c>
      <c r="U33" s="24">
        <v>12.0</v>
      </c>
      <c r="V33" s="24">
        <v>12.0</v>
      </c>
      <c r="W33" s="453"/>
      <c r="X33" s="24">
        <v>12.0</v>
      </c>
      <c r="Y33" s="24">
        <v>12.0</v>
      </c>
      <c r="Z33" s="110">
        <v>12.0</v>
      </c>
      <c r="AA33" s="110">
        <v>12.0</v>
      </c>
      <c r="AB33" s="24">
        <v>12.0</v>
      </c>
      <c r="AC33" s="24">
        <v>12.0</v>
      </c>
      <c r="AD33" s="453"/>
      <c r="AE33" s="24">
        <v>12.0</v>
      </c>
      <c r="AF33" s="24">
        <v>12.0</v>
      </c>
      <c r="AG33" s="110">
        <v>12.0</v>
      </c>
      <c r="AH33" s="110">
        <v>12.0</v>
      </c>
      <c r="AI33" s="24"/>
      <c r="AJ33" s="211">
        <f>COUNTA(G33:AH33)</f>
        <v>24</v>
      </c>
      <c r="AK33" s="57">
        <f>SUM(G33:AH33)</f>
        <v>288</v>
      </c>
      <c r="AL33" s="73" t="s">
        <v>207</v>
      </c>
    </row>
    <row r="34" ht="17.25" customHeight="1">
      <c r="A34" s="34">
        <v>24.0</v>
      </c>
      <c r="B34" s="35" t="s">
        <v>135</v>
      </c>
      <c r="C34" s="65">
        <v>1.0</v>
      </c>
      <c r="D34" s="90" t="s">
        <v>284</v>
      </c>
      <c r="E34" s="27" t="s">
        <v>111</v>
      </c>
      <c r="F34" s="118" t="s">
        <v>26</v>
      </c>
      <c r="G34" s="24">
        <v>12.0</v>
      </c>
      <c r="H34" s="454"/>
      <c r="I34" s="24">
        <v>12.0</v>
      </c>
      <c r="J34" s="24">
        <v>12.0</v>
      </c>
      <c r="K34" s="24">
        <v>12.0</v>
      </c>
      <c r="L34" s="110">
        <v>12.0</v>
      </c>
      <c r="M34" s="110">
        <v>12.0</v>
      </c>
      <c r="N34" s="24">
        <v>12.0</v>
      </c>
      <c r="O34" s="454"/>
      <c r="P34" s="24">
        <v>12.0</v>
      </c>
      <c r="Q34" s="24">
        <v>12.0</v>
      </c>
      <c r="R34" s="24">
        <v>12.0</v>
      </c>
      <c r="S34" s="110">
        <v>12.0</v>
      </c>
      <c r="T34" s="110">
        <v>12.0</v>
      </c>
      <c r="U34" s="24">
        <v>12.0</v>
      </c>
      <c r="V34" s="454"/>
      <c r="W34" s="24">
        <v>12.0</v>
      </c>
      <c r="X34" s="24">
        <v>12.0</v>
      </c>
      <c r="Y34" s="24">
        <v>12.0</v>
      </c>
      <c r="Z34" s="110">
        <v>12.0</v>
      </c>
      <c r="AA34" s="110">
        <v>12.0</v>
      </c>
      <c r="AB34" s="24">
        <v>12.0</v>
      </c>
      <c r="AC34" s="454"/>
      <c r="AD34" s="24">
        <v>12.0</v>
      </c>
      <c r="AE34" s="24">
        <v>12.0</v>
      </c>
      <c r="AF34" s="24">
        <v>12.0</v>
      </c>
      <c r="AG34" s="110">
        <v>12.0</v>
      </c>
      <c r="AH34" s="110">
        <v>12.0</v>
      </c>
      <c r="AI34" s="24">
        <v>12.0</v>
      </c>
      <c r="AJ34" s="211">
        <f t="shared" ref="AJ34:AJ35" si="4">COUNTA(G34:AI34)</f>
        <v>25</v>
      </c>
      <c r="AK34" s="57">
        <f t="shared" ref="AK34:AK35" si="5">SUM(G34:AI34)</f>
        <v>300</v>
      </c>
      <c r="AL34" s="73" t="s">
        <v>207</v>
      </c>
    </row>
    <row r="35" ht="20.25" customHeight="1">
      <c r="A35" s="34">
        <v>25.0</v>
      </c>
      <c r="B35" s="120" t="s">
        <v>135</v>
      </c>
      <c r="C35" s="129">
        <v>1.0</v>
      </c>
      <c r="D35" s="130" t="s">
        <v>63</v>
      </c>
      <c r="E35" s="27" t="s">
        <v>73</v>
      </c>
      <c r="F35" s="123" t="s">
        <v>26</v>
      </c>
      <c r="G35" s="448">
        <v>12.0</v>
      </c>
      <c r="H35" s="24"/>
      <c r="I35" s="24">
        <v>12.0</v>
      </c>
      <c r="J35" s="24">
        <v>12.0</v>
      </c>
      <c r="K35" s="24">
        <v>12.0</v>
      </c>
      <c r="L35" s="110">
        <v>12.0</v>
      </c>
      <c r="M35" s="110">
        <v>12.0</v>
      </c>
      <c r="N35" s="448">
        <v>12.0</v>
      </c>
      <c r="O35" s="24"/>
      <c r="P35" s="24">
        <v>12.0</v>
      </c>
      <c r="Q35" s="24">
        <v>12.0</v>
      </c>
      <c r="R35" s="24">
        <v>12.0</v>
      </c>
      <c r="S35" s="110">
        <v>12.0</v>
      </c>
      <c r="T35" s="110">
        <v>12.0</v>
      </c>
      <c r="U35" s="448">
        <v>12.0</v>
      </c>
      <c r="V35" s="24"/>
      <c r="W35" s="24">
        <v>12.0</v>
      </c>
      <c r="X35" s="24">
        <v>12.0</v>
      </c>
      <c r="Y35" s="24">
        <v>12.0</v>
      </c>
      <c r="Z35" s="110">
        <v>12.0</v>
      </c>
      <c r="AA35" s="110">
        <v>12.0</v>
      </c>
      <c r="AB35" s="448">
        <v>12.0</v>
      </c>
      <c r="AC35" s="24"/>
      <c r="AD35" s="24">
        <v>12.0</v>
      </c>
      <c r="AE35" s="24">
        <v>12.0</v>
      </c>
      <c r="AF35" s="24">
        <v>12.0</v>
      </c>
      <c r="AG35" s="110">
        <v>12.0</v>
      </c>
      <c r="AH35" s="110">
        <v>12.0</v>
      </c>
      <c r="AI35" s="24">
        <v>12.0</v>
      </c>
      <c r="AJ35" s="211">
        <f t="shared" si="4"/>
        <v>25</v>
      </c>
      <c r="AK35" s="57">
        <f t="shared" si="5"/>
        <v>300</v>
      </c>
      <c r="AL35" s="73" t="s">
        <v>207</v>
      </c>
    </row>
    <row r="36" ht="23.25" customHeight="1">
      <c r="A36" s="124">
        <v>26.0</v>
      </c>
      <c r="B36" s="128" t="s">
        <v>142</v>
      </c>
      <c r="C36" s="129">
        <v>1.0</v>
      </c>
      <c r="D36" s="130" t="s">
        <v>63</v>
      </c>
      <c r="E36" s="129" t="s">
        <v>125</v>
      </c>
      <c r="F36" s="250"/>
      <c r="G36" s="24"/>
      <c r="H36" s="454">
        <v>12.0</v>
      </c>
      <c r="I36" s="453">
        <v>12.0</v>
      </c>
      <c r="J36" s="24"/>
      <c r="K36" s="24"/>
      <c r="L36" s="110"/>
      <c r="M36" s="110"/>
      <c r="N36" s="24"/>
      <c r="O36" s="454">
        <v>12.0</v>
      </c>
      <c r="P36" s="453">
        <v>12.0</v>
      </c>
      <c r="Q36" s="24"/>
      <c r="R36" s="24"/>
      <c r="S36" s="110"/>
      <c r="T36" s="110"/>
      <c r="U36" s="24"/>
      <c r="V36" s="454">
        <v>12.0</v>
      </c>
      <c r="W36" s="453">
        <v>12.0</v>
      </c>
      <c r="X36" s="24"/>
      <c r="Y36" s="24"/>
      <c r="Z36" s="110"/>
      <c r="AA36" s="110"/>
      <c r="AB36" s="24"/>
      <c r="AC36" s="454">
        <v>12.0</v>
      </c>
      <c r="AD36" s="453">
        <v>12.0</v>
      </c>
      <c r="AE36" s="24"/>
      <c r="AF36" s="24"/>
      <c r="AG36" s="110"/>
      <c r="AH36" s="110"/>
      <c r="AI36" s="24"/>
      <c r="AJ36" s="211">
        <f>COUNTA(G36:AE36)</f>
        <v>8</v>
      </c>
      <c r="AK36" s="57">
        <f>SUM(G36:AE36)</f>
        <v>96</v>
      </c>
      <c r="AL36" s="73" t="s">
        <v>207</v>
      </c>
    </row>
    <row r="37" ht="19.5" customHeight="1">
      <c r="A37" s="17"/>
      <c r="B37" s="17"/>
      <c r="C37" s="17"/>
      <c r="D37" s="17"/>
      <c r="E37" s="121" t="s">
        <v>127</v>
      </c>
      <c r="F37" s="17"/>
      <c r="G37" s="24"/>
      <c r="H37" s="24"/>
      <c r="I37" s="24"/>
      <c r="J37" s="456">
        <v>12.0</v>
      </c>
      <c r="K37" s="24">
        <v>12.0</v>
      </c>
      <c r="L37" s="110">
        <v>12.0</v>
      </c>
      <c r="M37" s="110"/>
      <c r="N37" s="24"/>
      <c r="O37" s="24"/>
      <c r="P37" s="24"/>
      <c r="Q37" s="456">
        <v>12.0</v>
      </c>
      <c r="R37" s="24">
        <v>12.0</v>
      </c>
      <c r="S37" s="110">
        <v>12.0</v>
      </c>
      <c r="T37" s="110"/>
      <c r="U37" s="24"/>
      <c r="V37" s="24"/>
      <c r="W37" s="24"/>
      <c r="X37" s="456">
        <v>12.0</v>
      </c>
      <c r="Y37" s="24">
        <v>12.0</v>
      </c>
      <c r="Z37" s="110">
        <v>12.0</v>
      </c>
      <c r="AA37" s="110"/>
      <c r="AB37" s="24"/>
      <c r="AC37" s="24"/>
      <c r="AD37" s="24"/>
      <c r="AE37" s="456">
        <v>12.0</v>
      </c>
      <c r="AF37" s="24">
        <v>12.0</v>
      </c>
      <c r="AG37" s="110">
        <v>12.0</v>
      </c>
      <c r="AH37" s="110"/>
      <c r="AI37" s="24"/>
      <c r="AJ37" s="211">
        <v>12.0</v>
      </c>
      <c r="AK37" s="57">
        <v>144.0</v>
      </c>
      <c r="AL37" s="73" t="s">
        <v>207</v>
      </c>
    </row>
    <row r="38" ht="18.75" customHeight="1">
      <c r="A38" s="34">
        <v>27.0</v>
      </c>
      <c r="B38" s="35" t="s">
        <v>144</v>
      </c>
      <c r="C38" s="27">
        <v>1.0</v>
      </c>
      <c r="D38" s="117" t="s">
        <v>285</v>
      </c>
      <c r="E38" s="27" t="s">
        <v>133</v>
      </c>
      <c r="F38" s="123" t="s">
        <v>26</v>
      </c>
      <c r="G38" s="24">
        <v>12.0</v>
      </c>
      <c r="H38" s="24">
        <v>12.0</v>
      </c>
      <c r="I38" s="24">
        <v>12.0</v>
      </c>
      <c r="J38" s="456"/>
      <c r="K38" s="24">
        <v>12.0</v>
      </c>
      <c r="L38" s="110">
        <v>12.0</v>
      </c>
      <c r="M38" s="110">
        <v>12.0</v>
      </c>
      <c r="N38" s="24">
        <v>12.0</v>
      </c>
      <c r="O38" s="24">
        <v>12.0</v>
      </c>
      <c r="P38" s="24">
        <v>12.0</v>
      </c>
      <c r="Q38" s="456"/>
      <c r="R38" s="24">
        <v>12.0</v>
      </c>
      <c r="S38" s="110">
        <v>12.0</v>
      </c>
      <c r="T38" s="110">
        <v>12.0</v>
      </c>
      <c r="U38" s="24">
        <v>12.0</v>
      </c>
      <c r="V38" s="24">
        <v>12.0</v>
      </c>
      <c r="W38" s="24">
        <v>12.0</v>
      </c>
      <c r="X38" s="456"/>
      <c r="Y38" s="24">
        <v>12.0</v>
      </c>
      <c r="Z38" s="110">
        <v>12.0</v>
      </c>
      <c r="AA38" s="110">
        <v>12.0</v>
      </c>
      <c r="AB38" s="24">
        <v>12.0</v>
      </c>
      <c r="AC38" s="24">
        <v>12.0</v>
      </c>
      <c r="AD38" s="24">
        <v>12.0</v>
      </c>
      <c r="AE38" s="456"/>
      <c r="AF38" s="24">
        <v>12.0</v>
      </c>
      <c r="AG38" s="110">
        <v>12.0</v>
      </c>
      <c r="AH38" s="110">
        <v>12.0</v>
      </c>
      <c r="AI38" s="24">
        <v>12.0</v>
      </c>
      <c r="AJ38" s="211">
        <f>COUNTA(G38:AH38)</f>
        <v>24</v>
      </c>
      <c r="AK38" s="57">
        <f>SUM(G38:AH38)</f>
        <v>288</v>
      </c>
      <c r="AL38" s="73" t="s">
        <v>207</v>
      </c>
    </row>
    <row r="39" ht="19.5" customHeight="1">
      <c r="A39" s="34">
        <v>28.0</v>
      </c>
      <c r="B39" s="35" t="s">
        <v>136</v>
      </c>
      <c r="C39" s="27">
        <v>1.0</v>
      </c>
      <c r="D39" s="117" t="s">
        <v>145</v>
      </c>
      <c r="E39" s="26" t="s">
        <v>138</v>
      </c>
      <c r="F39" s="28" t="s">
        <v>26</v>
      </c>
      <c r="G39" s="24">
        <v>11.0</v>
      </c>
      <c r="H39" s="24"/>
      <c r="I39" s="24">
        <v>11.0</v>
      </c>
      <c r="J39" s="24">
        <v>11.0</v>
      </c>
      <c r="K39" s="24">
        <v>11.0</v>
      </c>
      <c r="L39" s="110">
        <v>11.0</v>
      </c>
      <c r="M39" s="110">
        <v>11.0</v>
      </c>
      <c r="N39" s="24"/>
      <c r="O39" s="24">
        <v>11.0</v>
      </c>
      <c r="P39" s="24">
        <v>11.0</v>
      </c>
      <c r="Q39" s="24">
        <v>11.0</v>
      </c>
      <c r="R39" s="24">
        <v>11.0</v>
      </c>
      <c r="S39" s="110">
        <v>11.0</v>
      </c>
      <c r="T39" s="110"/>
      <c r="U39" s="24">
        <v>11.0</v>
      </c>
      <c r="V39" s="24">
        <v>11.0</v>
      </c>
      <c r="W39" s="24">
        <v>11.0</v>
      </c>
      <c r="X39" s="24">
        <v>11.0</v>
      </c>
      <c r="Y39" s="24">
        <v>11.0</v>
      </c>
      <c r="Z39" s="110">
        <v>11.0</v>
      </c>
      <c r="AA39" s="110">
        <v>11.0</v>
      </c>
      <c r="AB39" s="24">
        <v>11.0</v>
      </c>
      <c r="AC39" s="24"/>
      <c r="AD39" s="24">
        <v>11.0</v>
      </c>
      <c r="AE39" s="24">
        <v>11.0</v>
      </c>
      <c r="AF39" s="24">
        <v>11.0</v>
      </c>
      <c r="AG39" s="110">
        <v>11.0</v>
      </c>
      <c r="AH39" s="110">
        <v>11.0</v>
      </c>
      <c r="AI39" s="24"/>
      <c r="AJ39" s="461">
        <v>26.0</v>
      </c>
      <c r="AK39" s="57">
        <v>286.0</v>
      </c>
      <c r="AL39" s="73" t="s">
        <v>207</v>
      </c>
    </row>
    <row r="40" ht="14.25" customHeight="1">
      <c r="A40" s="21"/>
      <c r="B40" s="20" t="s">
        <v>140</v>
      </c>
      <c r="C40" s="21"/>
      <c r="D40" s="20" t="s">
        <v>140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"/>
      <c r="AK40" s="45"/>
    </row>
    <row r="41" ht="14.25" customHeight="1">
      <c r="A41" s="34">
        <v>29.0</v>
      </c>
      <c r="B41" s="35" t="s">
        <v>140</v>
      </c>
      <c r="C41" s="27">
        <v>1.0</v>
      </c>
      <c r="D41" s="117" t="s">
        <v>271</v>
      </c>
      <c r="E41" s="139" t="s">
        <v>51</v>
      </c>
      <c r="F41" s="28" t="s">
        <v>85</v>
      </c>
      <c r="G41" s="24"/>
      <c r="H41" s="24"/>
      <c r="I41" s="24">
        <v>24.0</v>
      </c>
      <c r="J41" s="24"/>
      <c r="K41" s="24"/>
      <c r="L41" s="110">
        <v>24.0</v>
      </c>
      <c r="M41" s="110"/>
      <c r="N41" s="24"/>
      <c r="O41" s="24">
        <v>24.0</v>
      </c>
      <c r="P41" s="24"/>
      <c r="Q41" s="24"/>
      <c r="R41" s="24">
        <v>24.0</v>
      </c>
      <c r="S41" s="110"/>
      <c r="T41" s="110"/>
      <c r="U41" s="24">
        <v>24.0</v>
      </c>
      <c r="V41" s="24"/>
      <c r="W41" s="24"/>
      <c r="X41" s="24">
        <v>24.0</v>
      </c>
      <c r="Y41" s="24"/>
      <c r="Z41" s="110"/>
      <c r="AA41" s="110">
        <v>24.0</v>
      </c>
      <c r="AB41" s="24"/>
      <c r="AC41" s="24"/>
      <c r="AD41" s="24">
        <v>24.0</v>
      </c>
      <c r="AE41" s="24"/>
      <c r="AF41" s="24"/>
      <c r="AG41" s="110">
        <v>24.0</v>
      </c>
      <c r="AH41" s="110"/>
      <c r="AI41" s="24"/>
      <c r="AJ41" s="211">
        <v>10.0</v>
      </c>
      <c r="AK41" s="57">
        <v>240.0</v>
      </c>
    </row>
    <row r="42" ht="14.25" customHeight="1">
      <c r="A42" s="24">
        <v>30.0</v>
      </c>
      <c r="B42" s="35" t="s">
        <v>140</v>
      </c>
      <c r="C42" s="27">
        <v>1.0</v>
      </c>
      <c r="D42" s="117" t="s">
        <v>145</v>
      </c>
      <c r="E42" s="139" t="s">
        <v>51</v>
      </c>
      <c r="F42" s="28" t="s">
        <v>85</v>
      </c>
      <c r="G42" s="24"/>
      <c r="H42" s="24">
        <v>24.0</v>
      </c>
      <c r="I42" s="24"/>
      <c r="J42" s="24"/>
      <c r="K42" s="24">
        <v>24.0</v>
      </c>
      <c r="L42" s="110"/>
      <c r="M42" s="110"/>
      <c r="N42" s="24">
        <v>24.0</v>
      </c>
      <c r="O42" s="24"/>
      <c r="P42" s="24"/>
      <c r="Q42" s="24">
        <v>24.0</v>
      </c>
      <c r="R42" s="24"/>
      <c r="S42" s="110"/>
      <c r="T42" s="110">
        <v>24.0</v>
      </c>
      <c r="U42" s="24"/>
      <c r="V42" s="24"/>
      <c r="W42" s="24">
        <v>24.0</v>
      </c>
      <c r="X42" s="24"/>
      <c r="Y42" s="24"/>
      <c r="Z42" s="110">
        <v>24.0</v>
      </c>
      <c r="AA42" s="110"/>
      <c r="AB42" s="24"/>
      <c r="AC42" s="24">
        <v>24.0</v>
      </c>
      <c r="AD42" s="24"/>
      <c r="AE42" s="24"/>
      <c r="AF42" s="24">
        <v>24.0</v>
      </c>
      <c r="AG42" s="110"/>
      <c r="AH42" s="110"/>
      <c r="AI42" s="24"/>
      <c r="AJ42" s="211">
        <v>10.0</v>
      </c>
      <c r="AK42" s="57">
        <v>240.0</v>
      </c>
    </row>
    <row r="43" ht="14.25" customHeight="1">
      <c r="A43" s="24">
        <v>31.0</v>
      </c>
      <c r="B43" s="35" t="s">
        <v>140</v>
      </c>
      <c r="C43" s="27">
        <v>1.0</v>
      </c>
      <c r="D43" s="117" t="s">
        <v>286</v>
      </c>
      <c r="E43" s="139" t="s">
        <v>51</v>
      </c>
      <c r="F43" s="28" t="s">
        <v>85</v>
      </c>
      <c r="G43" s="24">
        <v>24.0</v>
      </c>
      <c r="H43" s="24"/>
      <c r="I43" s="24"/>
      <c r="J43" s="24">
        <v>24.0</v>
      </c>
      <c r="K43" s="24"/>
      <c r="L43" s="110"/>
      <c r="M43" s="110">
        <v>24.0</v>
      </c>
      <c r="N43" s="24"/>
      <c r="O43" s="24"/>
      <c r="P43" s="24">
        <v>24.0</v>
      </c>
      <c r="Q43" s="24"/>
      <c r="R43" s="24"/>
      <c r="S43" s="110">
        <v>24.0</v>
      </c>
      <c r="T43" s="110"/>
      <c r="U43" s="24"/>
      <c r="V43" s="24">
        <v>24.0</v>
      </c>
      <c r="W43" s="24"/>
      <c r="X43" s="24"/>
      <c r="Y43" s="24">
        <v>24.0</v>
      </c>
      <c r="Z43" s="110"/>
      <c r="AA43" s="110"/>
      <c r="AB43" s="24">
        <v>24.0</v>
      </c>
      <c r="AC43" s="24"/>
      <c r="AD43" s="24"/>
      <c r="AE43" s="24">
        <v>24.0</v>
      </c>
      <c r="AF43" s="24"/>
      <c r="AG43" s="110"/>
      <c r="AH43" s="110">
        <v>24.0</v>
      </c>
      <c r="AI43" s="24"/>
      <c r="AJ43" s="211">
        <v>10.0</v>
      </c>
      <c r="AK43" s="57">
        <v>240.0</v>
      </c>
    </row>
    <row r="44" ht="14.25" customHeight="1">
      <c r="A44" s="142"/>
      <c r="B44" s="143" t="s">
        <v>151</v>
      </c>
      <c r="C44" s="144">
        <v>33.0</v>
      </c>
      <c r="D44" s="143" t="s">
        <v>152</v>
      </c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21"/>
      <c r="AK44" s="45"/>
    </row>
    <row r="45" ht="14.25" customHeight="1">
      <c r="A45" s="142"/>
      <c r="B45" s="146" t="s">
        <v>154</v>
      </c>
      <c r="C45" s="147"/>
      <c r="D45" s="147"/>
      <c r="E45" s="147"/>
      <c r="F45" s="148"/>
      <c r="G45" s="144" t="s">
        <v>155</v>
      </c>
      <c r="H45" s="144" t="s">
        <v>155</v>
      </c>
      <c r="I45" s="144" t="s">
        <v>155</v>
      </c>
      <c r="J45" s="144" t="s">
        <v>155</v>
      </c>
      <c r="K45" s="144" t="s">
        <v>155</v>
      </c>
      <c r="L45" s="144" t="s">
        <v>155</v>
      </c>
      <c r="M45" s="144" t="s">
        <v>155</v>
      </c>
      <c r="N45" s="144" t="s">
        <v>155</v>
      </c>
      <c r="O45" s="144" t="s">
        <v>155</v>
      </c>
      <c r="P45" s="144" t="s">
        <v>155</v>
      </c>
      <c r="Q45" s="144" t="s">
        <v>155</v>
      </c>
      <c r="R45" s="144" t="s">
        <v>155</v>
      </c>
      <c r="S45" s="144" t="s">
        <v>155</v>
      </c>
      <c r="T45" s="144" t="s">
        <v>155</v>
      </c>
      <c r="U45" s="144" t="s">
        <v>155</v>
      </c>
      <c r="V45" s="144" t="s">
        <v>155</v>
      </c>
      <c r="W45" s="144" t="s">
        <v>155</v>
      </c>
      <c r="X45" s="144" t="s">
        <v>155</v>
      </c>
      <c r="Y45" s="144" t="s">
        <v>155</v>
      </c>
      <c r="Z45" s="144" t="s">
        <v>155</v>
      </c>
      <c r="AA45" s="144" t="s">
        <v>155</v>
      </c>
      <c r="AB45" s="144" t="s">
        <v>155</v>
      </c>
      <c r="AC45" s="144" t="s">
        <v>155</v>
      </c>
      <c r="AD45" s="144" t="s">
        <v>155</v>
      </c>
      <c r="AE45" s="144" t="s">
        <v>155</v>
      </c>
      <c r="AF45" s="144"/>
      <c r="AG45" s="144"/>
      <c r="AH45" s="144"/>
      <c r="AI45" s="144"/>
      <c r="AJ45" s="21"/>
      <c r="AK45" s="45"/>
    </row>
    <row r="46" ht="14.25" customHeight="1">
      <c r="A46" s="142"/>
      <c r="B46" s="146" t="s">
        <v>156</v>
      </c>
      <c r="C46" s="147"/>
      <c r="D46" s="147"/>
      <c r="E46" s="147"/>
      <c r="F46" s="148"/>
      <c r="G46" s="144">
        <f t="shared" ref="G46:AE46" si="6">COUNTA(#REF!,#REF!,#REF!,#REF!,#REF!)</f>
        <v>5</v>
      </c>
      <c r="H46" s="144">
        <f t="shared" si="6"/>
        <v>5</v>
      </c>
      <c r="I46" s="144">
        <f t="shared" si="6"/>
        <v>5</v>
      </c>
      <c r="J46" s="144">
        <f t="shared" si="6"/>
        <v>5</v>
      </c>
      <c r="K46" s="144">
        <f t="shared" si="6"/>
        <v>5</v>
      </c>
      <c r="L46" s="144">
        <f t="shared" si="6"/>
        <v>5</v>
      </c>
      <c r="M46" s="144">
        <f t="shared" si="6"/>
        <v>5</v>
      </c>
      <c r="N46" s="144">
        <f t="shared" si="6"/>
        <v>5</v>
      </c>
      <c r="O46" s="144">
        <f t="shared" si="6"/>
        <v>5</v>
      </c>
      <c r="P46" s="144">
        <f t="shared" si="6"/>
        <v>5</v>
      </c>
      <c r="Q46" s="144">
        <f t="shared" si="6"/>
        <v>5</v>
      </c>
      <c r="R46" s="144">
        <f t="shared" si="6"/>
        <v>5</v>
      </c>
      <c r="S46" s="144">
        <f t="shared" si="6"/>
        <v>5</v>
      </c>
      <c r="T46" s="144">
        <f t="shared" si="6"/>
        <v>5</v>
      </c>
      <c r="U46" s="144">
        <f t="shared" si="6"/>
        <v>5</v>
      </c>
      <c r="V46" s="144">
        <f t="shared" si="6"/>
        <v>5</v>
      </c>
      <c r="W46" s="144">
        <f t="shared" si="6"/>
        <v>5</v>
      </c>
      <c r="X46" s="144">
        <f t="shared" si="6"/>
        <v>5</v>
      </c>
      <c r="Y46" s="144">
        <f t="shared" si="6"/>
        <v>5</v>
      </c>
      <c r="Z46" s="144">
        <f t="shared" si="6"/>
        <v>5</v>
      </c>
      <c r="AA46" s="144">
        <f t="shared" si="6"/>
        <v>5</v>
      </c>
      <c r="AB46" s="144">
        <f t="shared" si="6"/>
        <v>5</v>
      </c>
      <c r="AC46" s="144">
        <f t="shared" si="6"/>
        <v>5</v>
      </c>
      <c r="AD46" s="144">
        <f t="shared" si="6"/>
        <v>5</v>
      </c>
      <c r="AE46" s="144">
        <f t="shared" si="6"/>
        <v>5</v>
      </c>
      <c r="AF46" s="144"/>
      <c r="AG46" s="144"/>
      <c r="AH46" s="144"/>
      <c r="AI46" s="144"/>
      <c r="AJ46" s="21"/>
      <c r="AK46" s="45"/>
    </row>
    <row r="47" ht="14.25" customHeight="1">
      <c r="A47" s="142"/>
      <c r="B47" s="146" t="s">
        <v>157</v>
      </c>
      <c r="C47" s="147"/>
      <c r="D47" s="147"/>
      <c r="E47" s="147"/>
      <c r="F47" s="148"/>
      <c r="G47" s="269">
        <f t="shared" ref="G47:AE47" si="7">COUNTA(#REF!,#REF!)</f>
        <v>2</v>
      </c>
      <c r="H47" s="269">
        <f t="shared" si="7"/>
        <v>2</v>
      </c>
      <c r="I47" s="269">
        <f t="shared" si="7"/>
        <v>2</v>
      </c>
      <c r="J47" s="269">
        <f t="shared" si="7"/>
        <v>2</v>
      </c>
      <c r="K47" s="269">
        <f t="shared" si="7"/>
        <v>2</v>
      </c>
      <c r="L47" s="269">
        <f t="shared" si="7"/>
        <v>2</v>
      </c>
      <c r="M47" s="269">
        <f t="shared" si="7"/>
        <v>2</v>
      </c>
      <c r="N47" s="269">
        <f t="shared" si="7"/>
        <v>2</v>
      </c>
      <c r="O47" s="269">
        <f t="shared" si="7"/>
        <v>2</v>
      </c>
      <c r="P47" s="269">
        <f t="shared" si="7"/>
        <v>2</v>
      </c>
      <c r="Q47" s="269">
        <f t="shared" si="7"/>
        <v>2</v>
      </c>
      <c r="R47" s="269">
        <f t="shared" si="7"/>
        <v>2</v>
      </c>
      <c r="S47" s="269">
        <f t="shared" si="7"/>
        <v>2</v>
      </c>
      <c r="T47" s="269">
        <f t="shared" si="7"/>
        <v>2</v>
      </c>
      <c r="U47" s="269">
        <f t="shared" si="7"/>
        <v>2</v>
      </c>
      <c r="V47" s="269">
        <f t="shared" si="7"/>
        <v>2</v>
      </c>
      <c r="W47" s="269">
        <f t="shared" si="7"/>
        <v>2</v>
      </c>
      <c r="X47" s="269">
        <f t="shared" si="7"/>
        <v>2</v>
      </c>
      <c r="Y47" s="269">
        <f t="shared" si="7"/>
        <v>2</v>
      </c>
      <c r="Z47" s="269">
        <f t="shared" si="7"/>
        <v>2</v>
      </c>
      <c r="AA47" s="269">
        <f t="shared" si="7"/>
        <v>2</v>
      </c>
      <c r="AB47" s="269">
        <f t="shared" si="7"/>
        <v>2</v>
      </c>
      <c r="AC47" s="269">
        <f t="shared" si="7"/>
        <v>2</v>
      </c>
      <c r="AD47" s="269">
        <f t="shared" si="7"/>
        <v>2</v>
      </c>
      <c r="AE47" s="269">
        <f t="shared" si="7"/>
        <v>2</v>
      </c>
      <c r="AF47" s="269"/>
      <c r="AG47" s="269"/>
      <c r="AH47" s="269"/>
      <c r="AI47" s="269"/>
      <c r="AJ47" s="21"/>
      <c r="AK47" s="45"/>
    </row>
    <row r="48" ht="14.25" customHeight="1">
      <c r="A48" s="2"/>
      <c r="B48" s="3"/>
      <c r="C48" s="2"/>
      <c r="D48" s="2"/>
      <c r="E48" s="2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280"/>
      <c r="AK48" s="11"/>
    </row>
    <row r="49" ht="14.25" customHeight="1">
      <c r="A49" s="152"/>
      <c r="B49" s="153"/>
      <c r="C49" s="154"/>
      <c r="D49" s="155" t="s">
        <v>159</v>
      </c>
      <c r="E49" s="155"/>
      <c r="F49" s="156"/>
      <c r="G49" s="213">
        <f t="shared" ref="G49:AI49" si="8">COUNTA(G10,G12:G16,#REF!,G24:G25,G40,G23:G38,G29)</f>
        <v>13</v>
      </c>
      <c r="H49" s="213">
        <f t="shared" si="8"/>
        <v>11</v>
      </c>
      <c r="I49" s="213">
        <f t="shared" si="8"/>
        <v>14</v>
      </c>
      <c r="J49" s="213">
        <f t="shared" si="8"/>
        <v>15</v>
      </c>
      <c r="K49" s="213">
        <f t="shared" si="8"/>
        <v>16</v>
      </c>
      <c r="L49" s="213">
        <f t="shared" si="8"/>
        <v>12</v>
      </c>
      <c r="M49" s="213">
        <f t="shared" si="8"/>
        <v>11</v>
      </c>
      <c r="N49" s="213">
        <f t="shared" si="8"/>
        <v>14</v>
      </c>
      <c r="O49" s="213">
        <f t="shared" si="8"/>
        <v>12</v>
      </c>
      <c r="P49" s="213">
        <f t="shared" si="8"/>
        <v>14</v>
      </c>
      <c r="Q49" s="213">
        <f t="shared" si="8"/>
        <v>16</v>
      </c>
      <c r="R49" s="213">
        <f t="shared" si="8"/>
        <v>17</v>
      </c>
      <c r="S49" s="213">
        <f t="shared" si="8"/>
        <v>12</v>
      </c>
      <c r="T49" s="213">
        <f t="shared" si="8"/>
        <v>12</v>
      </c>
      <c r="U49" s="213">
        <f t="shared" si="8"/>
        <v>14</v>
      </c>
      <c r="V49" s="213">
        <f t="shared" si="8"/>
        <v>11</v>
      </c>
      <c r="W49" s="213">
        <f t="shared" si="8"/>
        <v>15</v>
      </c>
      <c r="X49" s="213">
        <f t="shared" si="8"/>
        <v>15</v>
      </c>
      <c r="Y49" s="213">
        <f t="shared" si="8"/>
        <v>15</v>
      </c>
      <c r="Z49" s="213">
        <f t="shared" si="8"/>
        <v>13</v>
      </c>
      <c r="AA49" s="213">
        <f t="shared" si="8"/>
        <v>11</v>
      </c>
      <c r="AB49" s="213">
        <f t="shared" si="8"/>
        <v>13</v>
      </c>
      <c r="AC49" s="213">
        <f t="shared" si="8"/>
        <v>13</v>
      </c>
      <c r="AD49" s="213">
        <f t="shared" si="8"/>
        <v>14</v>
      </c>
      <c r="AE49" s="213">
        <f t="shared" si="8"/>
        <v>14</v>
      </c>
      <c r="AF49" s="213">
        <f t="shared" si="8"/>
        <v>17</v>
      </c>
      <c r="AG49" s="213">
        <f t="shared" si="8"/>
        <v>12</v>
      </c>
      <c r="AH49" s="213">
        <f t="shared" si="8"/>
        <v>10</v>
      </c>
      <c r="AI49" s="213">
        <f t="shared" si="8"/>
        <v>13</v>
      </c>
      <c r="AJ49" s="287">
        <f t="shared" ref="AJ49:AJ52" si="10">SUM(G49:AE49)</f>
        <v>337</v>
      </c>
      <c r="AK49" s="158">
        <v>250.0</v>
      </c>
    </row>
    <row r="50" ht="14.25" customHeight="1">
      <c r="A50" s="159"/>
      <c r="B50" s="160"/>
      <c r="C50" s="161"/>
      <c r="D50" s="162" t="s">
        <v>160</v>
      </c>
      <c r="E50" s="162"/>
      <c r="F50" s="163"/>
      <c r="G50" s="289">
        <f t="shared" ref="G50:AI50" si="9">COUNTA(G10,#REF!,#REF!,G16,G23:G38,G24:G40)</f>
        <v>16</v>
      </c>
      <c r="H50" s="289">
        <f t="shared" si="9"/>
        <v>13</v>
      </c>
      <c r="I50" s="289">
        <f t="shared" si="9"/>
        <v>20</v>
      </c>
      <c r="J50" s="289">
        <f t="shared" si="9"/>
        <v>20</v>
      </c>
      <c r="K50" s="289">
        <f t="shared" si="9"/>
        <v>22</v>
      </c>
      <c r="L50" s="289">
        <f t="shared" si="9"/>
        <v>21</v>
      </c>
      <c r="M50" s="289">
        <f t="shared" si="9"/>
        <v>19</v>
      </c>
      <c r="N50" s="289">
        <f t="shared" si="9"/>
        <v>17</v>
      </c>
      <c r="O50" s="289">
        <f t="shared" si="9"/>
        <v>16</v>
      </c>
      <c r="P50" s="289">
        <f t="shared" si="9"/>
        <v>20</v>
      </c>
      <c r="Q50" s="289">
        <f t="shared" si="9"/>
        <v>20</v>
      </c>
      <c r="R50" s="289">
        <f t="shared" si="9"/>
        <v>22</v>
      </c>
      <c r="S50" s="289">
        <f t="shared" si="9"/>
        <v>21</v>
      </c>
      <c r="T50" s="289">
        <f t="shared" si="9"/>
        <v>18</v>
      </c>
      <c r="U50" s="289">
        <f t="shared" si="9"/>
        <v>18</v>
      </c>
      <c r="V50" s="289">
        <f t="shared" si="9"/>
        <v>16</v>
      </c>
      <c r="W50" s="289">
        <f t="shared" si="9"/>
        <v>20</v>
      </c>
      <c r="X50" s="289">
        <f t="shared" si="9"/>
        <v>20</v>
      </c>
      <c r="Y50" s="289">
        <f t="shared" si="9"/>
        <v>22</v>
      </c>
      <c r="Z50" s="289">
        <f t="shared" si="9"/>
        <v>21</v>
      </c>
      <c r="AA50" s="289">
        <f t="shared" si="9"/>
        <v>19</v>
      </c>
      <c r="AB50" s="289">
        <f t="shared" si="9"/>
        <v>18</v>
      </c>
      <c r="AC50" s="289">
        <f t="shared" si="9"/>
        <v>15</v>
      </c>
      <c r="AD50" s="289">
        <f t="shared" si="9"/>
        <v>20</v>
      </c>
      <c r="AE50" s="289">
        <f t="shared" si="9"/>
        <v>20</v>
      </c>
      <c r="AF50" s="289">
        <f t="shared" si="9"/>
        <v>22</v>
      </c>
      <c r="AG50" s="289">
        <f t="shared" si="9"/>
        <v>21</v>
      </c>
      <c r="AH50" s="289">
        <f t="shared" si="9"/>
        <v>19</v>
      </c>
      <c r="AI50" s="289">
        <f t="shared" si="9"/>
        <v>13</v>
      </c>
      <c r="AJ50" s="294">
        <f t="shared" si="10"/>
        <v>474</v>
      </c>
      <c r="AK50" s="158"/>
    </row>
    <row r="51" ht="14.25" customHeight="1">
      <c r="A51" s="166"/>
      <c r="B51" s="167"/>
      <c r="C51" s="168"/>
      <c r="D51" s="169" t="s">
        <v>161</v>
      </c>
      <c r="E51" s="169"/>
      <c r="F51" s="170"/>
      <c r="G51" s="295">
        <f t="shared" ref="G51:AI51" si="11">COUNTA(G23:G38,G29,G40:G41)</f>
        <v>7</v>
      </c>
      <c r="H51" s="295">
        <f t="shared" si="11"/>
        <v>5</v>
      </c>
      <c r="I51" s="295">
        <f t="shared" si="11"/>
        <v>9</v>
      </c>
      <c r="J51" s="295">
        <f t="shared" si="11"/>
        <v>9</v>
      </c>
      <c r="K51" s="295">
        <f t="shared" si="11"/>
        <v>9</v>
      </c>
      <c r="L51" s="295">
        <f t="shared" si="11"/>
        <v>10</v>
      </c>
      <c r="M51" s="295">
        <f t="shared" si="11"/>
        <v>9</v>
      </c>
      <c r="N51" s="295">
        <f t="shared" si="11"/>
        <v>7</v>
      </c>
      <c r="O51" s="295">
        <f t="shared" si="11"/>
        <v>7</v>
      </c>
      <c r="P51" s="295">
        <f t="shared" si="11"/>
        <v>9</v>
      </c>
      <c r="Q51" s="295">
        <f t="shared" si="11"/>
        <v>9</v>
      </c>
      <c r="R51" s="295">
        <f t="shared" si="11"/>
        <v>11</v>
      </c>
      <c r="S51" s="295">
        <f t="shared" si="11"/>
        <v>10</v>
      </c>
      <c r="T51" s="295">
        <f t="shared" si="11"/>
        <v>9</v>
      </c>
      <c r="U51" s="295">
        <f t="shared" si="11"/>
        <v>8</v>
      </c>
      <c r="V51" s="295">
        <f t="shared" si="11"/>
        <v>6</v>
      </c>
      <c r="W51" s="295">
        <f t="shared" si="11"/>
        <v>9</v>
      </c>
      <c r="X51" s="295">
        <f t="shared" si="11"/>
        <v>9</v>
      </c>
      <c r="Y51" s="295">
        <f t="shared" si="11"/>
        <v>9</v>
      </c>
      <c r="Z51" s="295">
        <f t="shared" si="11"/>
        <v>10</v>
      </c>
      <c r="AA51" s="295">
        <f t="shared" si="11"/>
        <v>9</v>
      </c>
      <c r="AB51" s="295">
        <f t="shared" si="11"/>
        <v>7</v>
      </c>
      <c r="AC51" s="295">
        <f t="shared" si="11"/>
        <v>7</v>
      </c>
      <c r="AD51" s="295">
        <f t="shared" si="11"/>
        <v>9</v>
      </c>
      <c r="AE51" s="295">
        <f t="shared" si="11"/>
        <v>8</v>
      </c>
      <c r="AF51" s="295">
        <f t="shared" si="11"/>
        <v>10</v>
      </c>
      <c r="AG51" s="295">
        <f t="shared" si="11"/>
        <v>10</v>
      </c>
      <c r="AH51" s="295">
        <f t="shared" si="11"/>
        <v>8</v>
      </c>
      <c r="AI51" s="295">
        <f t="shared" si="11"/>
        <v>6</v>
      </c>
      <c r="AJ51" s="301">
        <f t="shared" si="10"/>
        <v>211</v>
      </c>
      <c r="AK51" s="173">
        <f>AK49*AJ53</f>
        <v>277000</v>
      </c>
    </row>
    <row r="52" ht="14.25" customHeight="1">
      <c r="A52" s="174"/>
      <c r="B52" s="175"/>
      <c r="C52" s="176"/>
      <c r="D52" s="177" t="s">
        <v>162</v>
      </c>
      <c r="E52" s="177"/>
      <c r="F52" s="178"/>
      <c r="G52" s="302">
        <f t="shared" ref="G52:AI52" si="12">COUNTA(#REF!,#REF!,G29,#REF!)</f>
        <v>4</v>
      </c>
      <c r="H52" s="302">
        <f t="shared" si="12"/>
        <v>3</v>
      </c>
      <c r="I52" s="302">
        <f t="shared" si="12"/>
        <v>3</v>
      </c>
      <c r="J52" s="302">
        <f t="shared" si="12"/>
        <v>4</v>
      </c>
      <c r="K52" s="302">
        <f t="shared" si="12"/>
        <v>3</v>
      </c>
      <c r="L52" s="302">
        <f t="shared" si="12"/>
        <v>3</v>
      </c>
      <c r="M52" s="302">
        <f t="shared" si="12"/>
        <v>4</v>
      </c>
      <c r="N52" s="302">
        <f t="shared" si="12"/>
        <v>3</v>
      </c>
      <c r="O52" s="302">
        <f t="shared" si="12"/>
        <v>3</v>
      </c>
      <c r="P52" s="302">
        <f t="shared" si="12"/>
        <v>4</v>
      </c>
      <c r="Q52" s="302">
        <f t="shared" si="12"/>
        <v>4</v>
      </c>
      <c r="R52" s="302">
        <f t="shared" si="12"/>
        <v>4</v>
      </c>
      <c r="S52" s="302">
        <f t="shared" si="12"/>
        <v>4</v>
      </c>
      <c r="T52" s="302">
        <f t="shared" si="12"/>
        <v>4</v>
      </c>
      <c r="U52" s="302">
        <f t="shared" si="12"/>
        <v>3</v>
      </c>
      <c r="V52" s="302">
        <f t="shared" si="12"/>
        <v>3</v>
      </c>
      <c r="W52" s="302">
        <f t="shared" si="12"/>
        <v>4</v>
      </c>
      <c r="X52" s="302">
        <f t="shared" si="12"/>
        <v>3</v>
      </c>
      <c r="Y52" s="302">
        <f t="shared" si="12"/>
        <v>3</v>
      </c>
      <c r="Z52" s="302">
        <f t="shared" si="12"/>
        <v>4</v>
      </c>
      <c r="AA52" s="302">
        <f t="shared" si="12"/>
        <v>3</v>
      </c>
      <c r="AB52" s="302">
        <f t="shared" si="12"/>
        <v>3</v>
      </c>
      <c r="AC52" s="302">
        <f t="shared" si="12"/>
        <v>4</v>
      </c>
      <c r="AD52" s="302">
        <f t="shared" si="12"/>
        <v>3</v>
      </c>
      <c r="AE52" s="302">
        <f t="shared" si="12"/>
        <v>3</v>
      </c>
      <c r="AF52" s="302">
        <f t="shared" si="12"/>
        <v>4</v>
      </c>
      <c r="AG52" s="302">
        <f t="shared" si="12"/>
        <v>3</v>
      </c>
      <c r="AH52" s="302">
        <f t="shared" si="12"/>
        <v>3</v>
      </c>
      <c r="AI52" s="302">
        <f t="shared" si="12"/>
        <v>4</v>
      </c>
      <c r="AJ52" s="302">
        <f t="shared" si="10"/>
        <v>86</v>
      </c>
      <c r="AK52" s="180"/>
    </row>
    <row r="53" ht="14.25" customHeight="1">
      <c r="A53" s="146" t="s">
        <v>163</v>
      </c>
      <c r="B53" s="147"/>
      <c r="C53" s="147"/>
      <c r="D53" s="147"/>
      <c r="E53" s="147"/>
      <c r="F53" s="148"/>
      <c r="G53" s="144">
        <f t="shared" ref="G53:AJ53" si="13">SUM(G49:G52)</f>
        <v>40</v>
      </c>
      <c r="H53" s="144">
        <f t="shared" si="13"/>
        <v>32</v>
      </c>
      <c r="I53" s="144">
        <f t="shared" si="13"/>
        <v>46</v>
      </c>
      <c r="J53" s="144">
        <f t="shared" si="13"/>
        <v>48</v>
      </c>
      <c r="K53" s="144">
        <f t="shared" si="13"/>
        <v>50</v>
      </c>
      <c r="L53" s="144">
        <f t="shared" si="13"/>
        <v>46</v>
      </c>
      <c r="M53" s="144">
        <f t="shared" si="13"/>
        <v>43</v>
      </c>
      <c r="N53" s="144">
        <f t="shared" si="13"/>
        <v>41</v>
      </c>
      <c r="O53" s="144">
        <f t="shared" si="13"/>
        <v>38</v>
      </c>
      <c r="P53" s="144">
        <f t="shared" si="13"/>
        <v>47</v>
      </c>
      <c r="Q53" s="144">
        <f t="shared" si="13"/>
        <v>49</v>
      </c>
      <c r="R53" s="144">
        <f t="shared" si="13"/>
        <v>54</v>
      </c>
      <c r="S53" s="144">
        <f t="shared" si="13"/>
        <v>47</v>
      </c>
      <c r="T53" s="144">
        <f t="shared" si="13"/>
        <v>43</v>
      </c>
      <c r="U53" s="144">
        <f t="shared" si="13"/>
        <v>43</v>
      </c>
      <c r="V53" s="144">
        <f t="shared" si="13"/>
        <v>36</v>
      </c>
      <c r="W53" s="144">
        <f t="shared" si="13"/>
        <v>48</v>
      </c>
      <c r="X53" s="144">
        <f t="shared" si="13"/>
        <v>47</v>
      </c>
      <c r="Y53" s="144">
        <f t="shared" si="13"/>
        <v>49</v>
      </c>
      <c r="Z53" s="144">
        <f t="shared" si="13"/>
        <v>48</v>
      </c>
      <c r="AA53" s="144">
        <f t="shared" si="13"/>
        <v>42</v>
      </c>
      <c r="AB53" s="144">
        <f t="shared" si="13"/>
        <v>41</v>
      </c>
      <c r="AC53" s="144">
        <f t="shared" si="13"/>
        <v>39</v>
      </c>
      <c r="AD53" s="144">
        <f t="shared" si="13"/>
        <v>46</v>
      </c>
      <c r="AE53" s="144">
        <f t="shared" si="13"/>
        <v>45</v>
      </c>
      <c r="AF53" s="144">
        <f t="shared" si="13"/>
        <v>53</v>
      </c>
      <c r="AG53" s="144">
        <f t="shared" si="13"/>
        <v>46</v>
      </c>
      <c r="AH53" s="144">
        <f t="shared" si="13"/>
        <v>40</v>
      </c>
      <c r="AI53" s="144">
        <f t="shared" si="13"/>
        <v>36</v>
      </c>
      <c r="AJ53" s="144">
        <f t="shared" si="13"/>
        <v>1108</v>
      </c>
      <c r="AK53" s="181"/>
    </row>
    <row r="54" ht="14.25" customHeight="1">
      <c r="A54" s="2"/>
      <c r="B54" s="182" t="s">
        <v>164</v>
      </c>
      <c r="C54" s="182"/>
      <c r="D54" s="182"/>
      <c r="E54" s="182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4"/>
      <c r="R54" s="4"/>
      <c r="S54" s="4"/>
      <c r="T54" s="4"/>
      <c r="U54" s="5"/>
      <c r="V54" s="5"/>
      <c r="W54" s="5"/>
      <c r="X54" s="4"/>
      <c r="Y54" s="4"/>
      <c r="Z54" s="4"/>
      <c r="AA54" s="4"/>
      <c r="AB54" s="5"/>
      <c r="AC54" s="5"/>
      <c r="AD54" s="5"/>
      <c r="AE54" s="5"/>
      <c r="AF54" s="5"/>
      <c r="AG54" s="5"/>
      <c r="AH54" s="5"/>
      <c r="AI54" s="5"/>
      <c r="AJ54" s="2"/>
      <c r="AK54" s="183"/>
    </row>
    <row r="55" ht="14.25" customHeight="1">
      <c r="A55" s="2"/>
      <c r="B55" s="182" t="s">
        <v>165</v>
      </c>
      <c r="C55" s="2"/>
      <c r="D55" s="2"/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1"/>
      <c r="AK55" s="2"/>
    </row>
    <row r="56" ht="14.25" customHeight="1">
      <c r="A56" s="2"/>
      <c r="B56" s="182" t="s">
        <v>166</v>
      </c>
      <c r="C56" s="184"/>
      <c r="D56" s="184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1"/>
      <c r="AK56" s="2"/>
    </row>
    <row r="57" ht="14.25" customHeight="1">
      <c r="A57" s="2"/>
      <c r="B57" s="182"/>
      <c r="C57" s="184"/>
      <c r="D57" s="184"/>
      <c r="E57" s="4" t="s">
        <v>167</v>
      </c>
      <c r="G57" s="5"/>
      <c r="H57" s="5"/>
      <c r="I57" s="5"/>
      <c r="J57" s="5"/>
      <c r="K57" s="5" t="s">
        <v>168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1"/>
      <c r="AK57" s="2"/>
    </row>
    <row r="58" ht="14.25" customHeight="1">
      <c r="A58" s="2"/>
      <c r="B58" s="3"/>
      <c r="C58" s="2"/>
      <c r="D58" s="2"/>
      <c r="E58" s="2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1"/>
      <c r="AK58" s="11"/>
    </row>
    <row r="59" ht="14.25" customHeight="1">
      <c r="A59" s="2"/>
      <c r="B59" s="3"/>
      <c r="C59" s="2"/>
      <c r="D59" s="2"/>
      <c r="E59" s="4" t="s">
        <v>169</v>
      </c>
      <c r="G59" s="5"/>
      <c r="H59" s="5"/>
      <c r="I59" s="5"/>
      <c r="J59" s="5"/>
      <c r="K59" s="5"/>
      <c r="L59" s="5"/>
      <c r="M59" s="5"/>
      <c r="N59" s="5" t="s">
        <v>170</v>
      </c>
      <c r="O59" s="5"/>
      <c r="P59" s="5"/>
      <c r="Q59" s="5" t="s">
        <v>171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1"/>
      <c r="AK59" s="11"/>
    </row>
    <row r="60" ht="14.25" customHeight="1">
      <c r="A60" s="2"/>
      <c r="B60" s="3"/>
      <c r="C60" s="2"/>
      <c r="D60" s="2"/>
      <c r="E60" s="2"/>
      <c r="F60" s="185"/>
      <c r="G60" s="5"/>
      <c r="H60" s="5"/>
      <c r="I60" s="5"/>
      <c r="J60" s="5"/>
      <c r="K60" s="5"/>
      <c r="L60" s="5"/>
      <c r="M60" s="5"/>
      <c r="N60" s="5"/>
      <c r="O60" s="5"/>
      <c r="P60" s="5"/>
      <c r="Q60" s="4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1"/>
      <c r="AK60" s="11"/>
    </row>
    <row r="61" ht="30.75" customHeight="1">
      <c r="A61" s="2"/>
      <c r="B61" s="3"/>
      <c r="C61" s="2"/>
      <c r="D61" s="2"/>
      <c r="E61" s="185" t="s">
        <v>172</v>
      </c>
      <c r="G61" s="5"/>
      <c r="H61" s="5"/>
      <c r="I61" s="5"/>
      <c r="J61" s="5"/>
      <c r="K61" s="5"/>
      <c r="L61" s="5"/>
      <c r="M61" s="5"/>
      <c r="N61" s="5" t="s">
        <v>170</v>
      </c>
      <c r="O61" s="5"/>
      <c r="P61" s="5"/>
      <c r="Q61" s="5" t="s">
        <v>171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1"/>
      <c r="AK61" s="11"/>
    </row>
    <row r="62" ht="14.25" customHeight="1">
      <c r="A62" s="11"/>
      <c r="B62" s="3"/>
      <c r="C62" s="2"/>
      <c r="D62" s="186"/>
      <c r="E62" s="2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1"/>
      <c r="AK62" s="11"/>
    </row>
    <row r="63" ht="14.25" customHeight="1">
      <c r="F63" s="187"/>
    </row>
    <row r="64" ht="14.25" customHeight="1">
      <c r="F64" s="187"/>
    </row>
    <row r="65" ht="14.25" customHeight="1">
      <c r="F65" s="187"/>
    </row>
    <row r="66" ht="14.25" customHeight="1">
      <c r="F66" s="187"/>
    </row>
    <row r="67" ht="15.75" customHeight="1">
      <c r="F67" s="187"/>
    </row>
    <row r="68" ht="14.2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J6:AJ7"/>
    <mergeCell ref="AK6:AK7"/>
    <mergeCell ref="B45:F45"/>
    <mergeCell ref="B46:F46"/>
    <mergeCell ref="B47:F47"/>
    <mergeCell ref="A53:F53"/>
    <mergeCell ref="E57:F57"/>
    <mergeCell ref="K57:R57"/>
    <mergeCell ref="E59:F59"/>
    <mergeCell ref="E61:F61"/>
    <mergeCell ref="F6:F7"/>
    <mergeCell ref="F24:F30"/>
    <mergeCell ref="A36:A37"/>
    <mergeCell ref="B36:B37"/>
    <mergeCell ref="C36:C37"/>
    <mergeCell ref="D36:D37"/>
    <mergeCell ref="F36:F3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4.71"/>
    <col customWidth="1" min="8" max="8" width="4.57"/>
    <col customWidth="1" min="9" max="9" width="5.14"/>
    <col customWidth="1" min="10" max="10" width="4.71"/>
    <col customWidth="1" min="11" max="11" width="4.43"/>
    <col customWidth="1" min="12" max="12" width="4.71"/>
    <col customWidth="1" min="13" max="15" width="5.29"/>
    <col customWidth="1" min="16" max="16" width="5.86"/>
    <col customWidth="1" min="17" max="17" width="5.29"/>
    <col customWidth="1" min="18" max="18" width="4.57"/>
    <col customWidth="1" min="19" max="19" width="5.29"/>
    <col customWidth="1" min="20" max="20" width="5.0"/>
    <col customWidth="1" min="21" max="21" width="5.29"/>
    <col customWidth="1" min="22" max="22" width="5.0"/>
    <col customWidth="1" min="23" max="23" width="5.29"/>
    <col customWidth="1" min="24" max="25" width="4.57"/>
    <col customWidth="1" min="26" max="26" width="4.71"/>
    <col customWidth="1" min="27" max="27" width="5.0"/>
    <col customWidth="1" min="28" max="28" width="4.86"/>
    <col customWidth="1" min="29" max="29" width="5.0"/>
    <col customWidth="1" min="30" max="30" width="5.29"/>
    <col customWidth="1" min="31" max="31" width="4.57"/>
    <col customWidth="1" min="32" max="32" width="4.71"/>
    <col customWidth="1" min="33" max="36" width="4.57"/>
    <col customWidth="1" min="37" max="37" width="9.0"/>
    <col customWidth="1" min="38" max="38" width="17.43"/>
    <col customWidth="1" min="39" max="39" width="1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7" t="s">
        <v>3</v>
      </c>
    </row>
    <row r="5" ht="14.25" customHeight="1">
      <c r="A5" s="8" t="s">
        <v>287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0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v>2.0</v>
      </c>
      <c r="I6" s="15">
        <f t="shared" ref="I6:AC6" si="1">H6+1</f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v>24.0</v>
      </c>
      <c r="AE6" s="15">
        <v>25.0</v>
      </c>
      <c r="AF6" s="15">
        <v>26.0</v>
      </c>
      <c r="AG6" s="15">
        <v>27.0</v>
      </c>
      <c r="AH6" s="15">
        <v>28.0</v>
      </c>
      <c r="AI6" s="15">
        <v>29.0</v>
      </c>
      <c r="AJ6" s="15">
        <v>30.0</v>
      </c>
      <c r="AK6" s="13" t="s">
        <v>14</v>
      </c>
      <c r="AL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249</v>
      </c>
      <c r="H7" s="446" t="s">
        <v>250</v>
      </c>
      <c r="I7" s="446" t="s">
        <v>251</v>
      </c>
      <c r="J7" s="446" t="s">
        <v>252</v>
      </c>
      <c r="K7" s="446" t="s">
        <v>253</v>
      </c>
      <c r="L7" s="446" t="s">
        <v>247</v>
      </c>
      <c r="M7" s="446" t="s">
        <v>248</v>
      </c>
      <c r="N7" s="446" t="s">
        <v>249</v>
      </c>
      <c r="O7" s="446" t="s">
        <v>250</v>
      </c>
      <c r="P7" s="446" t="s">
        <v>251</v>
      </c>
      <c r="Q7" s="446" t="s">
        <v>252</v>
      </c>
      <c r="R7" s="446" t="s">
        <v>253</v>
      </c>
      <c r="S7" s="446" t="s">
        <v>247</v>
      </c>
      <c r="T7" s="446" t="s">
        <v>248</v>
      </c>
      <c r="U7" s="446" t="s">
        <v>249</v>
      </c>
      <c r="V7" s="446" t="s">
        <v>250</v>
      </c>
      <c r="W7" s="446" t="s">
        <v>251</v>
      </c>
      <c r="X7" s="446" t="s">
        <v>252</v>
      </c>
      <c r="Y7" s="446" t="s">
        <v>253</v>
      </c>
      <c r="Z7" s="446" t="s">
        <v>247</v>
      </c>
      <c r="AA7" s="446" t="s">
        <v>248</v>
      </c>
      <c r="AB7" s="446" t="s">
        <v>249</v>
      </c>
      <c r="AC7" s="446" t="s">
        <v>250</v>
      </c>
      <c r="AD7" s="446" t="s">
        <v>251</v>
      </c>
      <c r="AE7" s="446" t="s">
        <v>252</v>
      </c>
      <c r="AF7" s="446" t="s">
        <v>253</v>
      </c>
      <c r="AG7" s="446" t="s">
        <v>247</v>
      </c>
      <c r="AH7" s="446" t="s">
        <v>248</v>
      </c>
      <c r="AI7" s="446" t="s">
        <v>249</v>
      </c>
      <c r="AJ7" s="446" t="s">
        <v>250</v>
      </c>
      <c r="AK7" s="17"/>
      <c r="AL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2"/>
      <c r="AL8" s="23"/>
    </row>
    <row r="9" ht="14.25" customHeight="1">
      <c r="A9" s="260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10" t="s">
        <v>205</v>
      </c>
      <c r="H9" s="210"/>
      <c r="I9" s="209" t="s">
        <v>205</v>
      </c>
      <c r="J9" s="209" t="s">
        <v>205</v>
      </c>
      <c r="K9" s="209" t="s">
        <v>205</v>
      </c>
      <c r="L9" s="209" t="s">
        <v>205</v>
      </c>
      <c r="M9" s="209" t="s">
        <v>205</v>
      </c>
      <c r="N9" s="210" t="s">
        <v>205</v>
      </c>
      <c r="O9" s="210"/>
      <c r="P9" s="209" t="s">
        <v>205</v>
      </c>
      <c r="Q9" s="209" t="s">
        <v>205</v>
      </c>
      <c r="R9" s="209" t="s">
        <v>205</v>
      </c>
      <c r="S9" s="209" t="s">
        <v>205</v>
      </c>
      <c r="T9" s="209" t="s">
        <v>205</v>
      </c>
      <c r="U9" s="210" t="s">
        <v>205</v>
      </c>
      <c r="V9" s="210"/>
      <c r="W9" s="209" t="s">
        <v>205</v>
      </c>
      <c r="X9" s="209" t="s">
        <v>205</v>
      </c>
      <c r="Y9" s="209" t="s">
        <v>205</v>
      </c>
      <c r="Z9" s="209" t="s">
        <v>205</v>
      </c>
      <c r="AA9" s="209" t="s">
        <v>205</v>
      </c>
      <c r="AB9" s="210" t="s">
        <v>205</v>
      </c>
      <c r="AC9" s="210"/>
      <c r="AD9" s="209" t="s">
        <v>205</v>
      </c>
      <c r="AE9" s="209" t="s">
        <v>205</v>
      </c>
      <c r="AF9" s="209" t="s">
        <v>205</v>
      </c>
      <c r="AG9" s="24">
        <v>12.0</v>
      </c>
      <c r="AH9" s="24">
        <v>12.0</v>
      </c>
      <c r="AI9" s="110">
        <v>12.0</v>
      </c>
      <c r="AJ9" s="110"/>
      <c r="AK9" s="211">
        <f>COUNTA(G9:AG9)</f>
        <v>23</v>
      </c>
      <c r="AL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110"/>
      <c r="H10" s="110"/>
      <c r="I10" s="24">
        <v>12.0</v>
      </c>
      <c r="J10" s="24">
        <v>12.0</v>
      </c>
      <c r="K10" s="24">
        <v>12.0</v>
      </c>
      <c r="L10" s="24">
        <v>12.0</v>
      </c>
      <c r="M10" s="24">
        <v>12.0</v>
      </c>
      <c r="N10" s="110"/>
      <c r="O10" s="110"/>
      <c r="P10" s="24">
        <v>12.0</v>
      </c>
      <c r="Q10" s="24">
        <v>12.0</v>
      </c>
      <c r="R10" s="24">
        <v>12.0</v>
      </c>
      <c r="S10" s="24">
        <v>12.0</v>
      </c>
      <c r="T10" s="24">
        <v>12.0</v>
      </c>
      <c r="U10" s="110"/>
      <c r="V10" s="110"/>
      <c r="W10" s="24">
        <v>12.0</v>
      </c>
      <c r="X10" s="24">
        <v>12.0</v>
      </c>
      <c r="Y10" s="24">
        <v>12.0</v>
      </c>
      <c r="Z10" s="24">
        <v>12.0</v>
      </c>
      <c r="AA10" s="24">
        <v>12.0</v>
      </c>
      <c r="AB10" s="110"/>
      <c r="AC10" s="110"/>
      <c r="AD10" s="24">
        <v>12.0</v>
      </c>
      <c r="AE10" s="24">
        <v>12.0</v>
      </c>
      <c r="AF10" s="24">
        <v>12.0</v>
      </c>
      <c r="AG10" s="24">
        <v>12.0</v>
      </c>
      <c r="AH10" s="24">
        <v>12.0</v>
      </c>
      <c r="AI10" s="110"/>
      <c r="AJ10" s="110"/>
      <c r="AK10" s="211">
        <f t="shared" ref="AK10:AK12" si="2">COUNTA(G10:AH10)</f>
        <v>20</v>
      </c>
      <c r="AL10" s="57">
        <f t="shared" ref="AL10:AL11" si="3">SUM(G10:AH10)</f>
        <v>240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110"/>
      <c r="H11" s="110"/>
      <c r="I11" s="24">
        <v>9.0</v>
      </c>
      <c r="J11" s="24">
        <v>9.0</v>
      </c>
      <c r="K11" s="24">
        <v>9.0</v>
      </c>
      <c r="L11" s="24">
        <v>9.0</v>
      </c>
      <c r="M11" s="24">
        <v>9.0</v>
      </c>
      <c r="N11" s="110"/>
      <c r="O11" s="110"/>
      <c r="P11" s="24">
        <v>9.0</v>
      </c>
      <c r="Q11" s="24">
        <v>9.0</v>
      </c>
      <c r="R11" s="24">
        <v>9.0</v>
      </c>
      <c r="S11" s="24">
        <v>9.0</v>
      </c>
      <c r="T11" s="24">
        <v>9.0</v>
      </c>
      <c r="U11" s="110"/>
      <c r="V11" s="110"/>
      <c r="W11" s="24">
        <v>9.0</v>
      </c>
      <c r="X11" s="24">
        <v>9.0</v>
      </c>
      <c r="Y11" s="24">
        <v>9.0</v>
      </c>
      <c r="Z11" s="24">
        <v>9.0</v>
      </c>
      <c r="AA11" s="24">
        <v>9.0</v>
      </c>
      <c r="AB11" s="110"/>
      <c r="AC11" s="110"/>
      <c r="AD11" s="24">
        <v>9.0</v>
      </c>
      <c r="AE11" s="24">
        <v>9.0</v>
      </c>
      <c r="AF11" s="24">
        <v>9.0</v>
      </c>
      <c r="AG11" s="24">
        <v>9.0</v>
      </c>
      <c r="AH11" s="24">
        <v>9.0</v>
      </c>
      <c r="AI11" s="110"/>
      <c r="AJ11" s="110"/>
      <c r="AK11" s="211">
        <f t="shared" si="2"/>
        <v>20</v>
      </c>
      <c r="AL11" s="57">
        <f t="shared" si="3"/>
        <v>180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35</v>
      </c>
      <c r="E12" s="27" t="s">
        <v>33</v>
      </c>
      <c r="F12" s="28" t="s">
        <v>289</v>
      </c>
      <c r="G12" s="110"/>
      <c r="H12" s="110"/>
      <c r="I12" s="24">
        <v>9.0</v>
      </c>
      <c r="J12" s="24">
        <v>9.0</v>
      </c>
      <c r="K12" s="24">
        <v>9.0</v>
      </c>
      <c r="L12" s="24">
        <v>9.0</v>
      </c>
      <c r="M12" s="24">
        <v>9.0</v>
      </c>
      <c r="N12" s="110"/>
      <c r="O12" s="110"/>
      <c r="P12" s="24">
        <v>9.0</v>
      </c>
      <c r="Q12" s="24">
        <v>9.0</v>
      </c>
      <c r="R12" s="24">
        <v>9.0</v>
      </c>
      <c r="S12" s="24">
        <v>9.0</v>
      </c>
      <c r="T12" s="24">
        <v>9.0</v>
      </c>
      <c r="U12" s="110"/>
      <c r="V12" s="110"/>
      <c r="W12" s="24">
        <v>9.0</v>
      </c>
      <c r="X12" s="24">
        <v>9.0</v>
      </c>
      <c r="Y12" s="24">
        <v>9.0</v>
      </c>
      <c r="Z12" s="24">
        <v>9.0</v>
      </c>
      <c r="AA12" s="24">
        <v>9.0</v>
      </c>
      <c r="AB12" s="110"/>
      <c r="AC12" s="110"/>
      <c r="AD12" s="24">
        <v>9.0</v>
      </c>
      <c r="AE12" s="24">
        <v>9.0</v>
      </c>
      <c r="AF12" s="24">
        <v>9.0</v>
      </c>
      <c r="AG12" s="24">
        <v>9.0</v>
      </c>
      <c r="AH12" s="24">
        <v>9.0</v>
      </c>
      <c r="AI12" s="110"/>
      <c r="AJ12" s="110"/>
      <c r="AK12" s="211">
        <f t="shared" si="2"/>
        <v>20</v>
      </c>
      <c r="AL12" s="57">
        <v>180.0</v>
      </c>
    </row>
    <row r="13" ht="14.25" customHeight="1">
      <c r="A13" s="34">
        <v>7.0</v>
      </c>
      <c r="B13" s="35" t="s">
        <v>36</v>
      </c>
      <c r="C13" s="27">
        <v>1.0</v>
      </c>
      <c r="D13" s="36" t="s">
        <v>290</v>
      </c>
      <c r="E13" s="27" t="s">
        <v>33</v>
      </c>
      <c r="F13" s="28"/>
      <c r="G13" s="110"/>
      <c r="H13" s="110"/>
      <c r="I13" s="24">
        <v>9.0</v>
      </c>
      <c r="J13" s="24">
        <v>9.0</v>
      </c>
      <c r="K13" s="24">
        <v>9.0</v>
      </c>
      <c r="L13" s="24">
        <v>9.0</v>
      </c>
      <c r="M13" s="24">
        <v>9.0</v>
      </c>
      <c r="N13" s="110"/>
      <c r="O13" s="110"/>
      <c r="P13" s="24">
        <v>9.0</v>
      </c>
      <c r="Q13" s="24">
        <v>9.0</v>
      </c>
      <c r="R13" s="24">
        <v>9.0</v>
      </c>
      <c r="S13" s="24">
        <v>9.0</v>
      </c>
      <c r="T13" s="24">
        <v>9.0</v>
      </c>
      <c r="U13" s="110"/>
      <c r="V13" s="110"/>
      <c r="W13" s="24">
        <v>9.0</v>
      </c>
      <c r="X13" s="24">
        <v>9.0</v>
      </c>
      <c r="Y13" s="24">
        <v>9.0</v>
      </c>
      <c r="Z13" s="24">
        <v>9.0</v>
      </c>
      <c r="AA13" s="24">
        <v>9.0</v>
      </c>
      <c r="AB13" s="110"/>
      <c r="AC13" s="110"/>
      <c r="AD13" s="24">
        <v>9.0</v>
      </c>
      <c r="AE13" s="24">
        <v>9.0</v>
      </c>
      <c r="AF13" s="24">
        <v>9.0</v>
      </c>
      <c r="AG13" s="24">
        <v>9.0</v>
      </c>
      <c r="AH13" s="24">
        <v>9.0</v>
      </c>
      <c r="AI13" s="110"/>
      <c r="AJ13" s="110"/>
      <c r="AK13" s="211">
        <v>20.0</v>
      </c>
      <c r="AL13" s="57">
        <v>180.0</v>
      </c>
    </row>
    <row r="14" ht="14.25" customHeight="1">
      <c r="A14" s="34">
        <v>8.0</v>
      </c>
      <c r="B14" s="25" t="s">
        <v>38</v>
      </c>
      <c r="C14" s="27">
        <v>1.0</v>
      </c>
      <c r="D14" s="37" t="s">
        <v>185</v>
      </c>
      <c r="E14" s="27" t="s">
        <v>40</v>
      </c>
      <c r="F14" s="28" t="s">
        <v>30</v>
      </c>
      <c r="G14" s="110">
        <v>12.0</v>
      </c>
      <c r="H14" s="110">
        <v>12.0</v>
      </c>
      <c r="I14" s="24">
        <v>12.0</v>
      </c>
      <c r="J14" s="117"/>
      <c r="K14" s="117"/>
      <c r="L14" s="24">
        <v>12.0</v>
      </c>
      <c r="M14" s="24">
        <v>12.0</v>
      </c>
      <c r="N14" s="110">
        <v>12.0</v>
      </c>
      <c r="O14" s="110">
        <v>12.0</v>
      </c>
      <c r="P14" s="24">
        <v>12.0</v>
      </c>
      <c r="Q14" s="24"/>
      <c r="R14" s="24"/>
      <c r="S14" s="24">
        <v>12.0</v>
      </c>
      <c r="T14" s="24">
        <v>12.0</v>
      </c>
      <c r="U14" s="110">
        <v>12.0</v>
      </c>
      <c r="V14" s="110">
        <v>12.0</v>
      </c>
      <c r="W14" s="24">
        <v>12.0</v>
      </c>
      <c r="X14" s="24"/>
      <c r="Y14" s="24"/>
      <c r="Z14" s="24">
        <v>12.0</v>
      </c>
      <c r="AA14" s="24">
        <v>12.0</v>
      </c>
      <c r="AB14" s="110">
        <v>12.0</v>
      </c>
      <c r="AC14" s="110">
        <v>12.0</v>
      </c>
      <c r="AD14" s="24">
        <v>12.0</v>
      </c>
      <c r="AE14" s="24"/>
      <c r="AF14" s="24"/>
      <c r="AG14" s="24">
        <v>12.0</v>
      </c>
      <c r="AH14" s="24">
        <v>12.0</v>
      </c>
      <c r="AI14" s="110">
        <v>12.0</v>
      </c>
      <c r="AJ14" s="110">
        <v>12.0</v>
      </c>
      <c r="AK14" s="211">
        <f>COUNTA(G14:AJ14)</f>
        <v>22</v>
      </c>
      <c r="AL14" s="57">
        <f>SUM(G14:AJ14)</f>
        <v>264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"/>
      <c r="AL15" s="45"/>
    </row>
    <row r="16" ht="14.25" customHeight="1">
      <c r="A16" s="24">
        <v>9.0</v>
      </c>
      <c r="B16" s="25" t="s">
        <v>181</v>
      </c>
      <c r="C16" s="461">
        <v>1.0</v>
      </c>
      <c r="D16" s="25" t="s">
        <v>280</v>
      </c>
      <c r="E16" s="26" t="s">
        <v>40</v>
      </c>
      <c r="F16" s="47" t="s">
        <v>46</v>
      </c>
      <c r="G16" s="213">
        <v>12.0</v>
      </c>
      <c r="H16" s="213">
        <v>12.0</v>
      </c>
      <c r="I16" s="26">
        <v>12.0</v>
      </c>
      <c r="J16" s="26">
        <v>12.0</v>
      </c>
      <c r="K16" s="26"/>
      <c r="L16" s="26">
        <v>12.0</v>
      </c>
      <c r="M16" s="26">
        <v>12.0</v>
      </c>
      <c r="N16" s="213">
        <v>12.0</v>
      </c>
      <c r="O16" s="213">
        <v>12.0</v>
      </c>
      <c r="P16" s="26">
        <v>12.0</v>
      </c>
      <c r="Q16" s="26">
        <v>12.0</v>
      </c>
      <c r="R16" s="26"/>
      <c r="S16" s="26">
        <v>12.0</v>
      </c>
      <c r="T16" s="26">
        <v>12.0</v>
      </c>
      <c r="U16" s="213">
        <v>12.0</v>
      </c>
      <c r="V16" s="213">
        <v>12.0</v>
      </c>
      <c r="W16" s="26">
        <v>12.0</v>
      </c>
      <c r="X16" s="26">
        <v>12.0</v>
      </c>
      <c r="Y16" s="26"/>
      <c r="Z16" s="26">
        <v>12.0</v>
      </c>
      <c r="AA16" s="26">
        <v>12.0</v>
      </c>
      <c r="AB16" s="213">
        <v>12.0</v>
      </c>
      <c r="AC16" s="213">
        <v>12.0</v>
      </c>
      <c r="AD16" s="26">
        <v>12.0</v>
      </c>
      <c r="AE16" s="26">
        <v>12.0</v>
      </c>
      <c r="AF16" s="26"/>
      <c r="AG16" s="215">
        <v>12.0</v>
      </c>
      <c r="AH16" s="215">
        <v>12.0</v>
      </c>
      <c r="AI16" s="214">
        <v>12.0</v>
      </c>
      <c r="AJ16" s="214">
        <v>12.0</v>
      </c>
      <c r="AK16" s="211">
        <v>26.0</v>
      </c>
      <c r="AL16" s="451">
        <v>312.0</v>
      </c>
      <c r="AM16" s="73" t="s">
        <v>207</v>
      </c>
    </row>
    <row r="17" ht="14.25" customHeight="1">
      <c r="A17" s="34">
        <v>10.0</v>
      </c>
      <c r="B17" s="35" t="s">
        <v>49</v>
      </c>
      <c r="C17" s="27">
        <v>1.0</v>
      </c>
      <c r="D17" s="67" t="s">
        <v>291</v>
      </c>
      <c r="E17" s="27" t="s">
        <v>51</v>
      </c>
      <c r="F17" s="47" t="s">
        <v>46</v>
      </c>
      <c r="G17" s="110"/>
      <c r="H17" s="110">
        <v>24.0</v>
      </c>
      <c r="I17" s="24"/>
      <c r="J17" s="24">
        <v>24.0</v>
      </c>
      <c r="K17" s="24"/>
      <c r="L17" s="24">
        <v>24.0</v>
      </c>
      <c r="M17" s="24"/>
      <c r="N17" s="110">
        <v>24.0</v>
      </c>
      <c r="O17" s="110"/>
      <c r="P17" s="24">
        <v>24.0</v>
      </c>
      <c r="Q17" s="24"/>
      <c r="R17" s="24">
        <v>24.0</v>
      </c>
      <c r="S17" s="24"/>
      <c r="T17" s="24">
        <v>24.0</v>
      </c>
      <c r="U17" s="110"/>
      <c r="V17" s="110">
        <v>24.0</v>
      </c>
      <c r="W17" s="24"/>
      <c r="X17" s="24">
        <v>24.0</v>
      </c>
      <c r="Y17" s="24"/>
      <c r="Z17" s="24">
        <v>24.0</v>
      </c>
      <c r="AA17" s="24"/>
      <c r="AB17" s="110">
        <v>24.0</v>
      </c>
      <c r="AC17" s="110"/>
      <c r="AD17" s="24">
        <v>24.0</v>
      </c>
      <c r="AE17" s="24"/>
      <c r="AF17" s="24">
        <v>24.0</v>
      </c>
      <c r="AG17" s="24"/>
      <c r="AH17" s="24">
        <v>24.0</v>
      </c>
      <c r="AI17" s="110"/>
      <c r="AJ17" s="110">
        <v>24.0</v>
      </c>
      <c r="AK17" s="211">
        <v>15.0</v>
      </c>
      <c r="AL17" s="452">
        <v>360.0</v>
      </c>
      <c r="AM17" s="73" t="s">
        <v>207</v>
      </c>
    </row>
    <row r="18" ht="14.25" customHeight="1">
      <c r="A18" s="34">
        <v>11.0</v>
      </c>
      <c r="B18" s="35" t="s">
        <v>49</v>
      </c>
      <c r="C18" s="27">
        <v>1.0</v>
      </c>
      <c r="D18" s="36" t="s">
        <v>54</v>
      </c>
      <c r="E18" s="27" t="s">
        <v>51</v>
      </c>
      <c r="F18" s="47" t="s">
        <v>46</v>
      </c>
      <c r="G18" s="110">
        <v>24.0</v>
      </c>
      <c r="H18" s="110"/>
      <c r="I18" s="24">
        <v>24.0</v>
      </c>
      <c r="J18" s="24"/>
      <c r="K18" s="24">
        <v>24.0</v>
      </c>
      <c r="L18" s="24"/>
      <c r="M18" s="24">
        <v>24.0</v>
      </c>
      <c r="N18" s="110"/>
      <c r="O18" s="110">
        <v>24.0</v>
      </c>
      <c r="P18" s="24"/>
      <c r="Q18" s="24">
        <v>24.0</v>
      </c>
      <c r="R18" s="24"/>
      <c r="S18" s="24">
        <v>24.0</v>
      </c>
      <c r="T18" s="24"/>
      <c r="U18" s="110">
        <v>24.0</v>
      </c>
      <c r="V18" s="110"/>
      <c r="W18" s="24">
        <v>24.0</v>
      </c>
      <c r="X18" s="24"/>
      <c r="Y18" s="24">
        <v>24.0</v>
      </c>
      <c r="Z18" s="24"/>
      <c r="AA18" s="24">
        <v>24.0</v>
      </c>
      <c r="AB18" s="110"/>
      <c r="AC18" s="110">
        <v>24.0</v>
      </c>
      <c r="AD18" s="24"/>
      <c r="AE18" s="24">
        <v>24.0</v>
      </c>
      <c r="AF18" s="24"/>
      <c r="AG18" s="24">
        <v>24.0</v>
      </c>
      <c r="AH18" s="24"/>
      <c r="AI18" s="110">
        <v>24.0</v>
      </c>
      <c r="AJ18" s="110"/>
      <c r="AK18" s="211">
        <v>16.0</v>
      </c>
      <c r="AL18" s="452">
        <v>360.0</v>
      </c>
      <c r="AM18" s="73" t="s">
        <v>207</v>
      </c>
    </row>
    <row r="19" ht="14.25" customHeight="1">
      <c r="A19" s="34">
        <v>12.0</v>
      </c>
      <c r="B19" s="35" t="s">
        <v>62</v>
      </c>
      <c r="C19" s="27">
        <v>1.0</v>
      </c>
      <c r="D19" s="462" t="s">
        <v>63</v>
      </c>
      <c r="E19" s="27" t="s">
        <v>292</v>
      </c>
      <c r="F19" s="47" t="s">
        <v>46</v>
      </c>
      <c r="G19" s="110">
        <v>12.0</v>
      </c>
      <c r="H19" s="110">
        <v>12.0</v>
      </c>
      <c r="I19" s="24">
        <v>12.0</v>
      </c>
      <c r="J19" s="24"/>
      <c r="K19" s="24">
        <v>12.0</v>
      </c>
      <c r="L19" s="24">
        <v>12.0</v>
      </c>
      <c r="M19" s="24">
        <v>12.0</v>
      </c>
      <c r="N19" s="110">
        <v>12.0</v>
      </c>
      <c r="O19" s="110">
        <v>12.0</v>
      </c>
      <c r="P19" s="24">
        <v>12.0</v>
      </c>
      <c r="Q19" s="24">
        <v>12.0</v>
      </c>
      <c r="R19" s="24"/>
      <c r="S19" s="24">
        <v>12.0</v>
      </c>
      <c r="T19" s="24">
        <v>12.0</v>
      </c>
      <c r="U19" s="110">
        <v>12.0</v>
      </c>
      <c r="V19" s="110">
        <v>12.0</v>
      </c>
      <c r="W19" s="24">
        <v>12.0</v>
      </c>
      <c r="X19" s="24"/>
      <c r="Y19" s="24">
        <v>12.0</v>
      </c>
      <c r="Z19" s="24">
        <v>12.0</v>
      </c>
      <c r="AA19" s="24">
        <v>12.0</v>
      </c>
      <c r="AB19" s="110">
        <v>12.0</v>
      </c>
      <c r="AC19" s="110">
        <v>12.0</v>
      </c>
      <c r="AD19" s="24">
        <v>12.0</v>
      </c>
      <c r="AE19" s="24"/>
      <c r="AF19" s="24">
        <v>12.0</v>
      </c>
      <c r="AG19" s="24">
        <v>12.0</v>
      </c>
      <c r="AH19" s="24">
        <v>12.0</v>
      </c>
      <c r="AI19" s="110">
        <v>12.0</v>
      </c>
      <c r="AJ19" s="110">
        <v>12.0</v>
      </c>
      <c r="AK19" s="211">
        <f t="shared" ref="AK19:AK21" si="4">COUNTA(G19:AJ19)</f>
        <v>26</v>
      </c>
      <c r="AL19" s="452">
        <f t="shared" ref="AL19:AL21" si="5">SUM(G19:AJ19)</f>
        <v>312</v>
      </c>
      <c r="AM19" s="73" t="s">
        <v>207</v>
      </c>
    </row>
    <row r="20" ht="14.25" customHeight="1">
      <c r="A20" s="34">
        <v>13.0</v>
      </c>
      <c r="B20" s="35" t="s">
        <v>67</v>
      </c>
      <c r="C20" s="27">
        <v>1.0</v>
      </c>
      <c r="D20" s="36" t="s">
        <v>243</v>
      </c>
      <c r="E20" s="27" t="s">
        <v>70</v>
      </c>
      <c r="F20" s="28" t="s">
        <v>30</v>
      </c>
      <c r="G20" s="110">
        <v>12.0</v>
      </c>
      <c r="H20" s="110">
        <v>12.0</v>
      </c>
      <c r="I20" s="24"/>
      <c r="J20" s="24"/>
      <c r="K20" s="24">
        <v>12.0</v>
      </c>
      <c r="L20" s="24">
        <v>12.0</v>
      </c>
      <c r="M20" s="24">
        <v>12.0</v>
      </c>
      <c r="N20" s="110">
        <v>12.0</v>
      </c>
      <c r="O20" s="110">
        <v>12.0</v>
      </c>
      <c r="P20" s="24"/>
      <c r="Q20" s="24"/>
      <c r="R20" s="24">
        <v>12.0</v>
      </c>
      <c r="S20" s="24">
        <v>12.0</v>
      </c>
      <c r="T20" s="24">
        <v>12.0</v>
      </c>
      <c r="U20" s="110">
        <v>12.0</v>
      </c>
      <c r="V20" s="110">
        <v>12.0</v>
      </c>
      <c r="W20" s="24"/>
      <c r="X20" s="24"/>
      <c r="Y20" s="24">
        <v>12.0</v>
      </c>
      <c r="Z20" s="24">
        <v>12.0</v>
      </c>
      <c r="AA20" s="24">
        <v>12.0</v>
      </c>
      <c r="AB20" s="110">
        <v>12.0</v>
      </c>
      <c r="AC20" s="110">
        <v>12.0</v>
      </c>
      <c r="AD20" s="24"/>
      <c r="AE20" s="24"/>
      <c r="AF20" s="24">
        <v>12.0</v>
      </c>
      <c r="AG20" s="24">
        <v>12.0</v>
      </c>
      <c r="AH20" s="24">
        <v>12.0</v>
      </c>
      <c r="AI20" s="110">
        <v>12.0</v>
      </c>
      <c r="AJ20" s="110">
        <v>12.0</v>
      </c>
      <c r="AK20" s="211">
        <f t="shared" si="4"/>
        <v>22</v>
      </c>
      <c r="AL20" s="452">
        <f t="shared" si="5"/>
        <v>264</v>
      </c>
      <c r="AM20" s="73" t="s">
        <v>207</v>
      </c>
    </row>
    <row r="21" ht="14.25" customHeight="1">
      <c r="A21" s="34">
        <v>14.0</v>
      </c>
      <c r="B21" s="35" t="s">
        <v>71</v>
      </c>
      <c r="C21" s="27"/>
      <c r="D21" s="36" t="s">
        <v>76</v>
      </c>
      <c r="E21" s="27" t="s">
        <v>73</v>
      </c>
      <c r="F21" s="28" t="s">
        <v>26</v>
      </c>
      <c r="G21" s="110">
        <v>12.0</v>
      </c>
      <c r="H21" s="110">
        <v>12.0</v>
      </c>
      <c r="I21" s="448"/>
      <c r="J21" s="24">
        <v>12.0</v>
      </c>
      <c r="K21" s="24">
        <v>12.0</v>
      </c>
      <c r="L21" s="24">
        <v>12.0</v>
      </c>
      <c r="M21" s="24">
        <v>12.0</v>
      </c>
      <c r="N21" s="110">
        <v>12.0</v>
      </c>
      <c r="O21" s="110">
        <v>12.0</v>
      </c>
      <c r="P21" s="448"/>
      <c r="Q21" s="24">
        <v>12.0</v>
      </c>
      <c r="R21" s="24">
        <v>12.0</v>
      </c>
      <c r="S21" s="24">
        <v>12.0</v>
      </c>
      <c r="T21" s="24">
        <v>12.0</v>
      </c>
      <c r="U21" s="110">
        <v>12.0</v>
      </c>
      <c r="V21" s="110">
        <v>12.0</v>
      </c>
      <c r="W21" s="448"/>
      <c r="X21" s="24">
        <v>12.0</v>
      </c>
      <c r="Y21" s="24">
        <v>12.0</v>
      </c>
      <c r="Z21" s="24">
        <v>12.0</v>
      </c>
      <c r="AA21" s="24">
        <v>12.0</v>
      </c>
      <c r="AB21" s="110">
        <v>12.0</v>
      </c>
      <c r="AC21" s="110">
        <v>12.0</v>
      </c>
      <c r="AD21" s="448"/>
      <c r="AE21" s="24">
        <v>12.0</v>
      </c>
      <c r="AF21" s="24">
        <v>12.0</v>
      </c>
      <c r="AG21" s="24">
        <v>12.0</v>
      </c>
      <c r="AH21" s="24">
        <v>12.0</v>
      </c>
      <c r="AI21" s="110">
        <v>12.0</v>
      </c>
      <c r="AJ21" s="110">
        <v>12.0</v>
      </c>
      <c r="AK21" s="211">
        <f t="shared" si="4"/>
        <v>26</v>
      </c>
      <c r="AL21" s="452">
        <f t="shared" si="5"/>
        <v>312</v>
      </c>
      <c r="AM21" s="73" t="s">
        <v>207</v>
      </c>
    </row>
    <row r="22" ht="14.25" customHeight="1">
      <c r="A22" s="19"/>
      <c r="B22" s="20" t="s">
        <v>78</v>
      </c>
      <c r="C22" s="21"/>
      <c r="D22" s="77" t="s">
        <v>78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455"/>
    </row>
    <row r="23" ht="14.25" customHeight="1">
      <c r="A23" s="34">
        <v>15.0</v>
      </c>
      <c r="B23" s="35" t="s">
        <v>86</v>
      </c>
      <c r="C23" s="27">
        <v>1.0</v>
      </c>
      <c r="D23" s="37" t="s">
        <v>82</v>
      </c>
      <c r="E23" s="27" t="s">
        <v>102</v>
      </c>
      <c r="F23" s="250" t="s">
        <v>85</v>
      </c>
      <c r="G23" s="110">
        <v>24.0</v>
      </c>
      <c r="H23" s="110"/>
      <c r="I23" s="24"/>
      <c r="J23" s="24">
        <v>24.0</v>
      </c>
      <c r="K23" s="24"/>
      <c r="L23" s="24"/>
      <c r="M23" s="24">
        <v>24.0</v>
      </c>
      <c r="N23" s="110"/>
      <c r="O23" s="110"/>
      <c r="P23" s="24">
        <v>24.0</v>
      </c>
      <c r="Q23" s="24"/>
      <c r="R23" s="24"/>
      <c r="S23" s="24">
        <v>24.0</v>
      </c>
      <c r="T23" s="24"/>
      <c r="U23" s="110"/>
      <c r="V23" s="110">
        <v>24.0</v>
      </c>
      <c r="W23" s="24"/>
      <c r="X23" s="24"/>
      <c r="Y23" s="24">
        <v>24.0</v>
      </c>
      <c r="Z23" s="24"/>
      <c r="AA23" s="24"/>
      <c r="AB23" s="110">
        <v>24.0</v>
      </c>
      <c r="AC23" s="110"/>
      <c r="AD23" s="24"/>
      <c r="AE23" s="24">
        <v>24.0</v>
      </c>
      <c r="AF23" s="24"/>
      <c r="AG23" s="24"/>
      <c r="AH23" s="24">
        <v>24.0</v>
      </c>
      <c r="AI23" s="110"/>
      <c r="AJ23" s="110"/>
      <c r="AK23" s="211">
        <v>10.0</v>
      </c>
      <c r="AL23" s="452">
        <v>240.0</v>
      </c>
      <c r="AM23" s="73" t="s">
        <v>207</v>
      </c>
    </row>
    <row r="24" ht="14.25" customHeight="1">
      <c r="A24" s="34">
        <v>16.0</v>
      </c>
      <c r="B24" s="35" t="s">
        <v>86</v>
      </c>
      <c r="C24" s="27">
        <v>1.0</v>
      </c>
      <c r="D24" s="90" t="s">
        <v>212</v>
      </c>
      <c r="E24" s="27" t="s">
        <v>102</v>
      </c>
      <c r="F24" s="88"/>
      <c r="G24" s="110"/>
      <c r="H24" s="110">
        <v>24.0</v>
      </c>
      <c r="I24" s="24"/>
      <c r="J24" s="24"/>
      <c r="K24" s="24">
        <v>24.0</v>
      </c>
      <c r="L24" s="24"/>
      <c r="M24" s="24"/>
      <c r="N24" s="110">
        <v>24.0</v>
      </c>
      <c r="O24" s="110"/>
      <c r="P24" s="24"/>
      <c r="Q24" s="24">
        <v>24.0</v>
      </c>
      <c r="R24" s="24"/>
      <c r="S24" s="24"/>
      <c r="T24" s="24">
        <v>24.0</v>
      </c>
      <c r="U24" s="110"/>
      <c r="V24" s="110"/>
      <c r="W24" s="24">
        <v>24.0</v>
      </c>
      <c r="X24" s="24"/>
      <c r="Y24" s="24"/>
      <c r="Z24" s="24">
        <v>24.0</v>
      </c>
      <c r="AA24" s="24"/>
      <c r="AB24" s="110"/>
      <c r="AC24" s="110">
        <v>24.0</v>
      </c>
      <c r="AD24" s="24"/>
      <c r="AE24" s="24"/>
      <c r="AF24" s="24">
        <v>24.0</v>
      </c>
      <c r="AG24" s="24"/>
      <c r="AH24" s="24"/>
      <c r="AI24" s="110">
        <v>24.0</v>
      </c>
      <c r="AJ24" s="110"/>
      <c r="AK24" s="211">
        <v>10.0</v>
      </c>
      <c r="AL24" s="452">
        <v>240.0</v>
      </c>
      <c r="AM24" s="73" t="s">
        <v>207</v>
      </c>
    </row>
    <row r="25" ht="14.25" customHeight="1">
      <c r="A25" s="34">
        <v>17.0</v>
      </c>
      <c r="B25" s="35" t="s">
        <v>86</v>
      </c>
      <c r="C25" s="65">
        <v>1.0</v>
      </c>
      <c r="D25" s="37" t="s">
        <v>198</v>
      </c>
      <c r="E25" s="27" t="s">
        <v>102</v>
      </c>
      <c r="F25" s="88"/>
      <c r="G25" s="110"/>
      <c r="H25" s="110"/>
      <c r="I25" s="24">
        <v>24.0</v>
      </c>
      <c r="J25" s="24"/>
      <c r="K25" s="24"/>
      <c r="L25" s="24">
        <v>24.0</v>
      </c>
      <c r="M25" s="24"/>
      <c r="N25" s="110"/>
      <c r="O25" s="110">
        <v>24.0</v>
      </c>
      <c r="P25" s="24"/>
      <c r="Q25" s="24"/>
      <c r="R25" s="24">
        <v>24.0</v>
      </c>
      <c r="S25" s="24"/>
      <c r="T25" s="24"/>
      <c r="U25" s="110">
        <v>24.0</v>
      </c>
      <c r="V25" s="110"/>
      <c r="W25" s="24"/>
      <c r="X25" s="24">
        <v>24.0</v>
      </c>
      <c r="Y25" s="24"/>
      <c r="Z25" s="24"/>
      <c r="AA25" s="24">
        <v>24.0</v>
      </c>
      <c r="AB25" s="110"/>
      <c r="AC25" s="110"/>
      <c r="AD25" s="24">
        <v>24.0</v>
      </c>
      <c r="AE25" s="24"/>
      <c r="AF25" s="24"/>
      <c r="AG25" s="24">
        <v>24.0</v>
      </c>
      <c r="AH25" s="24"/>
      <c r="AI25" s="110"/>
      <c r="AJ25" s="110">
        <v>24.0</v>
      </c>
      <c r="AK25" s="211">
        <v>10.0</v>
      </c>
      <c r="AL25" s="452">
        <v>240.0</v>
      </c>
      <c r="AM25" s="73" t="s">
        <v>207</v>
      </c>
    </row>
    <row r="26" ht="14.25" customHeight="1">
      <c r="A26" s="34">
        <v>18.0</v>
      </c>
      <c r="B26" s="35" t="s">
        <v>95</v>
      </c>
      <c r="C26" s="65">
        <v>1.0</v>
      </c>
      <c r="D26" s="90" t="s">
        <v>97</v>
      </c>
      <c r="E26" s="27" t="s">
        <v>102</v>
      </c>
      <c r="F26" s="88"/>
      <c r="G26" s="110"/>
      <c r="H26" s="110">
        <v>24.0</v>
      </c>
      <c r="I26" s="24"/>
      <c r="J26" s="24"/>
      <c r="K26" s="24">
        <v>17.0</v>
      </c>
      <c r="L26" s="24">
        <v>17.0</v>
      </c>
      <c r="M26" s="24">
        <v>17.0</v>
      </c>
      <c r="N26" s="110">
        <v>17.0</v>
      </c>
      <c r="O26" s="110">
        <v>17.0</v>
      </c>
      <c r="P26" s="24"/>
      <c r="Q26" s="24"/>
      <c r="R26" s="24">
        <v>24.0</v>
      </c>
      <c r="S26" s="24"/>
      <c r="T26" s="24"/>
      <c r="U26" s="110">
        <v>24.0</v>
      </c>
      <c r="V26" s="110"/>
      <c r="W26" s="24"/>
      <c r="X26" s="24">
        <v>24.0</v>
      </c>
      <c r="Y26" s="24"/>
      <c r="Z26" s="24"/>
      <c r="AA26" s="24">
        <v>24.0</v>
      </c>
      <c r="AB26" s="110"/>
      <c r="AC26" s="110"/>
      <c r="AD26" s="24">
        <v>24.0</v>
      </c>
      <c r="AE26" s="24"/>
      <c r="AF26" s="24"/>
      <c r="AG26" s="24">
        <v>24.0</v>
      </c>
      <c r="AH26" s="24"/>
      <c r="AI26" s="110"/>
      <c r="AJ26" s="110">
        <v>24.0</v>
      </c>
      <c r="AK26" s="211">
        <v>13.0</v>
      </c>
      <c r="AL26" s="457">
        <v>277.0</v>
      </c>
      <c r="AM26" s="73" t="s">
        <v>207</v>
      </c>
    </row>
    <row r="27" ht="14.25" customHeight="1">
      <c r="A27" s="34">
        <v>19.0</v>
      </c>
      <c r="B27" s="35" t="s">
        <v>95</v>
      </c>
      <c r="C27" s="65">
        <v>1.0</v>
      </c>
      <c r="D27" s="90" t="s">
        <v>63</v>
      </c>
      <c r="E27" s="27" t="s">
        <v>102</v>
      </c>
      <c r="F27" s="88"/>
      <c r="G27" s="110">
        <v>17.0</v>
      </c>
      <c r="H27" s="110">
        <v>17.0</v>
      </c>
      <c r="I27" s="24"/>
      <c r="J27" s="24"/>
      <c r="K27" s="24">
        <v>24.0</v>
      </c>
      <c r="L27" s="24"/>
      <c r="M27" s="24"/>
      <c r="N27" s="110">
        <v>24.0</v>
      </c>
      <c r="O27" s="110"/>
      <c r="P27" s="24"/>
      <c r="Q27" s="24">
        <v>24.0</v>
      </c>
      <c r="R27" s="24"/>
      <c r="S27" s="24"/>
      <c r="T27" s="24">
        <v>24.0</v>
      </c>
      <c r="U27" s="110"/>
      <c r="V27" s="110"/>
      <c r="W27" s="24">
        <v>24.0</v>
      </c>
      <c r="X27" s="24"/>
      <c r="Y27" s="24"/>
      <c r="Z27" s="24">
        <v>24.0</v>
      </c>
      <c r="AA27" s="24"/>
      <c r="AB27" s="110"/>
      <c r="AC27" s="110">
        <v>24.0</v>
      </c>
      <c r="AD27" s="24"/>
      <c r="AE27" s="24"/>
      <c r="AF27" s="24">
        <v>17.0</v>
      </c>
      <c r="AG27" s="24">
        <v>17.0</v>
      </c>
      <c r="AH27" s="24">
        <v>17.0</v>
      </c>
      <c r="AI27" s="110">
        <v>17.0</v>
      </c>
      <c r="AJ27" s="110">
        <v>17.0</v>
      </c>
      <c r="AK27" s="211">
        <v>15.0</v>
      </c>
      <c r="AL27" s="457">
        <f>SUM(G27:AJ27)</f>
        <v>287</v>
      </c>
      <c r="AM27" s="73" t="s">
        <v>207</v>
      </c>
    </row>
    <row r="28" ht="14.25" customHeight="1">
      <c r="A28" s="34">
        <v>21.0</v>
      </c>
      <c r="B28" s="97" t="s">
        <v>95</v>
      </c>
      <c r="C28" s="65">
        <v>1.0</v>
      </c>
      <c r="D28" s="90" t="s">
        <v>296</v>
      </c>
      <c r="E28" s="27" t="s">
        <v>269</v>
      </c>
      <c r="F28" s="88"/>
      <c r="G28" s="110"/>
      <c r="H28" s="110"/>
      <c r="I28" s="24">
        <v>24.0</v>
      </c>
      <c r="J28" s="24"/>
      <c r="K28" s="24"/>
      <c r="L28" s="24">
        <v>24.0</v>
      </c>
      <c r="M28" s="24"/>
      <c r="N28" s="110"/>
      <c r="O28" s="110">
        <v>24.0</v>
      </c>
      <c r="P28" s="24"/>
      <c r="Q28" s="24"/>
      <c r="R28" s="24">
        <v>17.0</v>
      </c>
      <c r="S28" s="24">
        <v>17.0</v>
      </c>
      <c r="T28" s="24">
        <v>17.0</v>
      </c>
      <c r="U28" s="110">
        <v>17.0</v>
      </c>
      <c r="V28" s="110">
        <v>17.0</v>
      </c>
      <c r="W28" s="24"/>
      <c r="X28" s="24"/>
      <c r="Y28" s="24">
        <v>24.0</v>
      </c>
      <c r="Z28" s="24"/>
      <c r="AA28" s="24"/>
      <c r="AB28" s="110">
        <v>24.0</v>
      </c>
      <c r="AC28" s="110"/>
      <c r="AD28" s="24"/>
      <c r="AE28" s="24">
        <v>24.0</v>
      </c>
      <c r="AF28" s="24"/>
      <c r="AG28" s="24"/>
      <c r="AH28" s="24">
        <v>24.0</v>
      </c>
      <c r="AI28" s="110"/>
      <c r="AJ28" s="110"/>
      <c r="AK28" s="211">
        <v>12.0</v>
      </c>
      <c r="AL28" s="458">
        <v>253.0</v>
      </c>
      <c r="AM28" s="73" t="s">
        <v>207</v>
      </c>
    </row>
    <row r="29" ht="14.25" customHeight="1">
      <c r="A29" s="34">
        <v>20.0</v>
      </c>
      <c r="B29" s="35" t="s">
        <v>95</v>
      </c>
      <c r="C29" s="65">
        <v>1.0</v>
      </c>
      <c r="D29" s="90" t="s">
        <v>106</v>
      </c>
      <c r="E29" s="27" t="s">
        <v>102</v>
      </c>
      <c r="F29" s="450"/>
      <c r="G29" s="110">
        <v>24.0</v>
      </c>
      <c r="H29" s="110"/>
      <c r="I29" s="24"/>
      <c r="J29" s="24">
        <v>24.0</v>
      </c>
      <c r="K29" s="24"/>
      <c r="L29" s="24"/>
      <c r="M29" s="24">
        <v>24.0</v>
      </c>
      <c r="N29" s="110"/>
      <c r="O29" s="110"/>
      <c r="P29" s="24">
        <v>24.0</v>
      </c>
      <c r="Q29" s="24"/>
      <c r="R29" s="24"/>
      <c r="S29" s="24">
        <v>24.0</v>
      </c>
      <c r="T29" s="24"/>
      <c r="U29" s="110"/>
      <c r="V29" s="110">
        <v>24.0</v>
      </c>
      <c r="W29" s="24"/>
      <c r="X29" s="24"/>
      <c r="Y29" s="24">
        <v>17.0</v>
      </c>
      <c r="Z29" s="24">
        <v>17.0</v>
      </c>
      <c r="AA29" s="24">
        <v>17.0</v>
      </c>
      <c r="AB29" s="110">
        <v>17.0</v>
      </c>
      <c r="AC29" s="110">
        <v>17.0</v>
      </c>
      <c r="AD29" s="24"/>
      <c r="AE29" s="24"/>
      <c r="AF29" s="24">
        <v>24.0</v>
      </c>
      <c r="AG29" s="24"/>
      <c r="AH29" s="24"/>
      <c r="AI29" s="110">
        <v>24.0</v>
      </c>
      <c r="AJ29" s="110"/>
      <c r="AK29" s="211">
        <v>13.0</v>
      </c>
      <c r="AL29" s="457">
        <v>277.0</v>
      </c>
      <c r="AM29" s="73" t="s">
        <v>207</v>
      </c>
    </row>
    <row r="30" ht="14.25" customHeight="1">
      <c r="A30" s="106">
        <v>22.0</v>
      </c>
      <c r="B30" s="64" t="s">
        <v>184</v>
      </c>
      <c r="C30" s="101">
        <v>1.0</v>
      </c>
      <c r="D30" s="102"/>
      <c r="E30" s="101" t="s">
        <v>105</v>
      </c>
      <c r="F30" s="103">
        <v>0.4</v>
      </c>
      <c r="G30" s="107"/>
      <c r="H30" s="107"/>
      <c r="I30" s="106"/>
      <c r="J30" s="106"/>
      <c r="K30" s="106">
        <v>17.0</v>
      </c>
      <c r="L30" s="106">
        <v>17.0</v>
      </c>
      <c r="M30" s="106">
        <v>17.0</v>
      </c>
      <c r="N30" s="107"/>
      <c r="O30" s="107"/>
      <c r="P30" s="106"/>
      <c r="Q30" s="106">
        <v>17.0</v>
      </c>
      <c r="R30" s="106">
        <v>17.0</v>
      </c>
      <c r="S30" s="106">
        <v>17.0</v>
      </c>
      <c r="T30" s="106"/>
      <c r="U30" s="107"/>
      <c r="V30" s="107"/>
      <c r="W30" s="106">
        <v>17.0</v>
      </c>
      <c r="X30" s="106">
        <v>17.0</v>
      </c>
      <c r="Y30" s="106">
        <v>17.0</v>
      </c>
      <c r="Z30" s="106"/>
      <c r="AA30" s="106"/>
      <c r="AB30" s="107"/>
      <c r="AC30" s="107">
        <v>17.0</v>
      </c>
      <c r="AD30" s="106">
        <v>17.0</v>
      </c>
      <c r="AE30" s="106">
        <v>17.0</v>
      </c>
      <c r="AF30" s="106"/>
      <c r="AG30" s="106"/>
      <c r="AH30" s="106"/>
      <c r="AI30" s="107">
        <v>17.0</v>
      </c>
      <c r="AJ30" s="107">
        <v>17.0</v>
      </c>
      <c r="AK30" s="459">
        <v>14.0</v>
      </c>
      <c r="AL30" s="460">
        <f t="shared" ref="AL30:AL31" si="6">SUM(F30:AG30)</f>
        <v>204.4</v>
      </c>
      <c r="AM30" s="73" t="s">
        <v>207</v>
      </c>
    </row>
    <row r="31" ht="14.25" customHeight="1">
      <c r="A31" s="119">
        <v>23.0</v>
      </c>
      <c r="B31" s="137" t="s">
        <v>184</v>
      </c>
      <c r="C31" s="129">
        <v>1.0</v>
      </c>
      <c r="D31" s="102"/>
      <c r="E31" s="121" t="s">
        <v>105</v>
      </c>
      <c r="F31" s="103">
        <v>0.4</v>
      </c>
      <c r="G31" s="107">
        <v>17.0</v>
      </c>
      <c r="H31" s="107">
        <v>17.0</v>
      </c>
      <c r="I31" s="106"/>
      <c r="J31" s="106"/>
      <c r="K31" s="106"/>
      <c r="L31" s="106"/>
      <c r="M31" s="106"/>
      <c r="N31" s="107">
        <v>17.0</v>
      </c>
      <c r="O31" s="107">
        <v>17.0</v>
      </c>
      <c r="P31" s="106">
        <v>17.0</v>
      </c>
      <c r="Q31" s="106"/>
      <c r="R31" s="106"/>
      <c r="S31" s="106"/>
      <c r="T31" s="106">
        <v>17.0</v>
      </c>
      <c r="U31" s="107">
        <v>17.0</v>
      </c>
      <c r="V31" s="107">
        <v>17.0</v>
      </c>
      <c r="W31" s="106"/>
      <c r="X31" s="106"/>
      <c r="Y31" s="106"/>
      <c r="Z31" s="106">
        <v>17.0</v>
      </c>
      <c r="AA31" s="106">
        <v>17.0</v>
      </c>
      <c r="AB31" s="107">
        <v>17.0</v>
      </c>
      <c r="AC31" s="107"/>
      <c r="AD31" s="106"/>
      <c r="AE31" s="106"/>
      <c r="AF31" s="106">
        <v>17.0</v>
      </c>
      <c r="AG31" s="106">
        <v>17.0</v>
      </c>
      <c r="AH31" s="106">
        <v>17.0</v>
      </c>
      <c r="AI31" s="107"/>
      <c r="AJ31" s="107"/>
      <c r="AK31" s="459">
        <f>COUNTA(F31:AG31)</f>
        <v>14</v>
      </c>
      <c r="AL31" s="460">
        <f t="shared" si="6"/>
        <v>221.4</v>
      </c>
      <c r="AM31" s="73" t="s">
        <v>207</v>
      </c>
    </row>
    <row r="32" ht="17.25" customHeight="1">
      <c r="A32" s="34">
        <v>24.0</v>
      </c>
      <c r="B32" s="36" t="s">
        <v>109</v>
      </c>
      <c r="C32" s="65">
        <v>1.0</v>
      </c>
      <c r="D32" s="117" t="s">
        <v>131</v>
      </c>
      <c r="E32" s="27" t="s">
        <v>111</v>
      </c>
      <c r="F32" s="118" t="s">
        <v>26</v>
      </c>
      <c r="G32" s="110">
        <v>12.0</v>
      </c>
      <c r="H32" s="110">
        <v>12.0</v>
      </c>
      <c r="I32" s="24">
        <v>12.0</v>
      </c>
      <c r="J32" s="24">
        <v>12.0</v>
      </c>
      <c r="K32" s="453"/>
      <c r="L32" s="24">
        <v>12.0</v>
      </c>
      <c r="M32" s="24">
        <v>12.0</v>
      </c>
      <c r="N32" s="110">
        <v>12.0</v>
      </c>
      <c r="O32" s="110">
        <v>12.0</v>
      </c>
      <c r="P32" s="24">
        <v>12.0</v>
      </c>
      <c r="Q32" s="24">
        <v>12.0</v>
      </c>
      <c r="R32" s="453"/>
      <c r="S32" s="24">
        <v>12.0</v>
      </c>
      <c r="T32" s="24">
        <v>12.0</v>
      </c>
      <c r="U32" s="110">
        <v>12.0</v>
      </c>
      <c r="V32" s="110">
        <v>12.0</v>
      </c>
      <c r="W32" s="24">
        <v>12.0</v>
      </c>
      <c r="X32" s="24">
        <v>12.0</v>
      </c>
      <c r="Y32" s="453"/>
      <c r="Z32" s="24">
        <v>12.0</v>
      </c>
      <c r="AA32" s="24">
        <v>12.0</v>
      </c>
      <c r="AB32" s="110">
        <v>12.0</v>
      </c>
      <c r="AC32" s="110">
        <v>12.0</v>
      </c>
      <c r="AD32" s="24">
        <v>12.0</v>
      </c>
      <c r="AE32" s="24">
        <v>12.0</v>
      </c>
      <c r="AF32" s="453"/>
      <c r="AG32" s="24">
        <v>12.0</v>
      </c>
      <c r="AH32" s="24">
        <v>12.0</v>
      </c>
      <c r="AI32" s="110">
        <v>12.0</v>
      </c>
      <c r="AJ32" s="110">
        <v>12.0</v>
      </c>
      <c r="AK32" s="211">
        <f t="shared" ref="AK32:AK34" si="7">COUNTA(G32:AJ32)</f>
        <v>26</v>
      </c>
      <c r="AL32" s="57">
        <f t="shared" ref="AL32:AL34" si="8">SUM(G32:AJ32)</f>
        <v>312</v>
      </c>
      <c r="AM32" s="73" t="s">
        <v>207</v>
      </c>
    </row>
    <row r="33" ht="17.25" customHeight="1">
      <c r="A33" s="34">
        <v>25.0</v>
      </c>
      <c r="B33" s="35" t="s">
        <v>135</v>
      </c>
      <c r="C33" s="65">
        <v>1.0</v>
      </c>
      <c r="D33" s="90" t="s">
        <v>297</v>
      </c>
      <c r="E33" s="27" t="s">
        <v>111</v>
      </c>
      <c r="F33" s="118" t="s">
        <v>26</v>
      </c>
      <c r="G33" s="110">
        <v>12.0</v>
      </c>
      <c r="H33" s="110">
        <v>12.0</v>
      </c>
      <c r="I33" s="24">
        <v>12.0</v>
      </c>
      <c r="J33" s="454"/>
      <c r="K33" s="24">
        <v>12.0</v>
      </c>
      <c r="L33" s="24">
        <v>12.0</v>
      </c>
      <c r="M33" s="24">
        <v>12.0</v>
      </c>
      <c r="N33" s="110">
        <v>12.0</v>
      </c>
      <c r="O33" s="110">
        <v>12.0</v>
      </c>
      <c r="P33" s="24">
        <v>12.0</v>
      </c>
      <c r="Q33" s="454"/>
      <c r="R33" s="24">
        <v>12.0</v>
      </c>
      <c r="S33" s="24">
        <v>12.0</v>
      </c>
      <c r="T33" s="24">
        <v>12.0</v>
      </c>
      <c r="U33" s="110">
        <v>12.0</v>
      </c>
      <c r="V33" s="110">
        <v>12.0</v>
      </c>
      <c r="W33" s="24">
        <v>12.0</v>
      </c>
      <c r="X33" s="454"/>
      <c r="Y33" s="24">
        <v>12.0</v>
      </c>
      <c r="Z33" s="24">
        <v>12.0</v>
      </c>
      <c r="AA33" s="24">
        <v>12.0</v>
      </c>
      <c r="AB33" s="110">
        <v>12.0</v>
      </c>
      <c r="AC33" s="110">
        <v>12.0</v>
      </c>
      <c r="AD33" s="24">
        <v>12.0</v>
      </c>
      <c r="AE33" s="454"/>
      <c r="AF33" s="24">
        <v>12.0</v>
      </c>
      <c r="AG33" s="24">
        <v>12.0</v>
      </c>
      <c r="AH33" s="24">
        <v>12.0</v>
      </c>
      <c r="AI33" s="110">
        <v>12.0</v>
      </c>
      <c r="AJ33" s="110">
        <v>12.0</v>
      </c>
      <c r="AK33" s="211">
        <f t="shared" si="7"/>
        <v>26</v>
      </c>
      <c r="AL33" s="57">
        <f t="shared" si="8"/>
        <v>312</v>
      </c>
      <c r="AM33" s="73" t="s">
        <v>207</v>
      </c>
    </row>
    <row r="34" ht="20.25" customHeight="1">
      <c r="A34" s="34">
        <v>26.0</v>
      </c>
      <c r="B34" s="35" t="s">
        <v>135</v>
      </c>
      <c r="C34" s="65">
        <v>1.0</v>
      </c>
      <c r="D34" s="90" t="s">
        <v>298</v>
      </c>
      <c r="E34" s="27" t="s">
        <v>73</v>
      </c>
      <c r="F34" s="123" t="s">
        <v>26</v>
      </c>
      <c r="G34" s="110">
        <v>12.0</v>
      </c>
      <c r="H34" s="110">
        <v>12.0</v>
      </c>
      <c r="I34" s="448">
        <v>12.0</v>
      </c>
      <c r="J34" s="24">
        <v>12.0</v>
      </c>
      <c r="K34" s="24"/>
      <c r="L34" s="24">
        <v>12.0</v>
      </c>
      <c r="M34" s="24">
        <v>12.0</v>
      </c>
      <c r="N34" s="110">
        <v>12.0</v>
      </c>
      <c r="O34" s="110">
        <v>12.0</v>
      </c>
      <c r="P34" s="448">
        <v>12.0</v>
      </c>
      <c r="Q34" s="24">
        <v>12.0</v>
      </c>
      <c r="R34" s="24"/>
      <c r="S34" s="24">
        <v>12.0</v>
      </c>
      <c r="T34" s="24">
        <v>12.0</v>
      </c>
      <c r="U34" s="110">
        <v>12.0</v>
      </c>
      <c r="V34" s="110">
        <v>12.0</v>
      </c>
      <c r="W34" s="448">
        <v>12.0</v>
      </c>
      <c r="X34" s="24">
        <v>12.0</v>
      </c>
      <c r="Y34" s="24"/>
      <c r="Z34" s="24">
        <v>12.0</v>
      </c>
      <c r="AA34" s="24">
        <v>12.0</v>
      </c>
      <c r="AB34" s="110">
        <v>12.0</v>
      </c>
      <c r="AC34" s="110">
        <v>12.0</v>
      </c>
      <c r="AD34" s="448">
        <v>12.0</v>
      </c>
      <c r="AE34" s="24">
        <v>12.0</v>
      </c>
      <c r="AF34" s="24"/>
      <c r="AG34" s="24">
        <v>12.0</v>
      </c>
      <c r="AH34" s="24">
        <v>12.0</v>
      </c>
      <c r="AI34" s="110">
        <v>12.0</v>
      </c>
      <c r="AJ34" s="110">
        <v>12.0</v>
      </c>
      <c r="AK34" s="211">
        <f t="shared" si="7"/>
        <v>26</v>
      </c>
      <c r="AL34" s="57">
        <f t="shared" si="8"/>
        <v>312</v>
      </c>
      <c r="AM34" s="73" t="s">
        <v>207</v>
      </c>
    </row>
    <row r="35" ht="23.25" customHeight="1">
      <c r="A35" s="124">
        <v>27.0</v>
      </c>
      <c r="B35" s="128" t="s">
        <v>142</v>
      </c>
      <c r="C35" s="129">
        <v>1.0</v>
      </c>
      <c r="D35" s="130" t="s">
        <v>63</v>
      </c>
      <c r="E35" s="129" t="s">
        <v>125</v>
      </c>
      <c r="F35" s="250"/>
      <c r="G35" s="110"/>
      <c r="H35" s="110"/>
      <c r="I35" s="24"/>
      <c r="J35" s="454">
        <v>12.0</v>
      </c>
      <c r="K35" s="453">
        <v>12.0</v>
      </c>
      <c r="L35" s="24"/>
      <c r="M35" s="24"/>
      <c r="N35" s="110"/>
      <c r="O35" s="110"/>
      <c r="P35" s="24"/>
      <c r="Q35" s="454">
        <v>12.0</v>
      </c>
      <c r="R35" s="453">
        <v>12.0</v>
      </c>
      <c r="S35" s="24"/>
      <c r="T35" s="24"/>
      <c r="U35" s="110"/>
      <c r="V35" s="110"/>
      <c r="W35" s="24"/>
      <c r="X35" s="454">
        <v>12.0</v>
      </c>
      <c r="Y35" s="453">
        <v>12.0</v>
      </c>
      <c r="Z35" s="24"/>
      <c r="AA35" s="24"/>
      <c r="AB35" s="110"/>
      <c r="AC35" s="110"/>
      <c r="AD35" s="24"/>
      <c r="AE35" s="454">
        <v>12.0</v>
      </c>
      <c r="AF35" s="453">
        <v>12.0</v>
      </c>
      <c r="AG35" s="24"/>
      <c r="AH35" s="24"/>
      <c r="AI35" s="110"/>
      <c r="AJ35" s="110"/>
      <c r="AK35" s="211">
        <f>COUNTA(G35:AG35)</f>
        <v>8</v>
      </c>
      <c r="AL35" s="57">
        <f>SUM(G35:AG35)</f>
        <v>96</v>
      </c>
      <c r="AM35" s="73" t="s">
        <v>207</v>
      </c>
    </row>
    <row r="36" ht="19.5" customHeight="1">
      <c r="A36" s="17"/>
      <c r="B36" s="17"/>
      <c r="C36" s="17"/>
      <c r="D36" s="17"/>
      <c r="E36" s="121" t="s">
        <v>127</v>
      </c>
      <c r="F36" s="17"/>
      <c r="G36" s="110">
        <v>12.0</v>
      </c>
      <c r="H36" s="110">
        <v>12.0</v>
      </c>
      <c r="I36" s="24"/>
      <c r="J36" s="24"/>
      <c r="K36" s="24"/>
      <c r="L36" s="456">
        <v>12.0</v>
      </c>
      <c r="M36" s="24">
        <v>12.0</v>
      </c>
      <c r="N36" s="110">
        <v>12.0</v>
      </c>
      <c r="O36" s="110">
        <v>12.0</v>
      </c>
      <c r="P36" s="24"/>
      <c r="Q36" s="24"/>
      <c r="R36" s="24"/>
      <c r="S36" s="456">
        <v>12.0</v>
      </c>
      <c r="T36" s="24">
        <v>12.0</v>
      </c>
      <c r="U36" s="110">
        <v>12.0</v>
      </c>
      <c r="V36" s="110">
        <v>12.0</v>
      </c>
      <c r="W36" s="24"/>
      <c r="X36" s="24"/>
      <c r="Y36" s="24"/>
      <c r="Z36" s="456">
        <v>12.0</v>
      </c>
      <c r="AA36" s="24">
        <v>12.0</v>
      </c>
      <c r="AB36" s="110">
        <v>12.0</v>
      </c>
      <c r="AC36" s="110">
        <v>12.0</v>
      </c>
      <c r="AD36" s="24"/>
      <c r="AE36" s="24"/>
      <c r="AF36" s="24"/>
      <c r="AG36" s="456">
        <v>12.0</v>
      </c>
      <c r="AH36" s="24">
        <v>12.0</v>
      </c>
      <c r="AI36" s="110">
        <v>12.0</v>
      </c>
      <c r="AJ36" s="110">
        <v>12.0</v>
      </c>
      <c r="AK36" s="211">
        <v>18.0</v>
      </c>
      <c r="AL36" s="57">
        <v>216.0</v>
      </c>
      <c r="AM36" s="73" t="s">
        <v>207</v>
      </c>
    </row>
    <row r="37" ht="18.75" customHeight="1">
      <c r="A37" s="34">
        <v>28.0</v>
      </c>
      <c r="B37" s="35" t="s">
        <v>144</v>
      </c>
      <c r="C37" s="27">
        <v>1.0</v>
      </c>
      <c r="D37" s="117" t="s">
        <v>285</v>
      </c>
      <c r="E37" s="27" t="s">
        <v>133</v>
      </c>
      <c r="F37" s="123" t="s">
        <v>26</v>
      </c>
      <c r="G37" s="110">
        <v>12.0</v>
      </c>
      <c r="H37" s="110">
        <v>12.0</v>
      </c>
      <c r="I37" s="24">
        <v>12.0</v>
      </c>
      <c r="J37" s="24">
        <v>12.0</v>
      </c>
      <c r="K37" s="24">
        <v>12.0</v>
      </c>
      <c r="L37" s="456"/>
      <c r="M37" s="24">
        <v>12.0</v>
      </c>
      <c r="N37" s="110">
        <v>12.0</v>
      </c>
      <c r="O37" s="110">
        <v>12.0</v>
      </c>
      <c r="P37" s="24">
        <v>12.0</v>
      </c>
      <c r="Q37" s="24">
        <v>12.0</v>
      </c>
      <c r="R37" s="24">
        <v>12.0</v>
      </c>
      <c r="S37" s="456"/>
      <c r="T37" s="24">
        <v>12.0</v>
      </c>
      <c r="U37" s="110">
        <v>12.0</v>
      </c>
      <c r="V37" s="110">
        <v>12.0</v>
      </c>
      <c r="W37" s="24">
        <v>12.0</v>
      </c>
      <c r="X37" s="24">
        <v>12.0</v>
      </c>
      <c r="Y37" s="24">
        <v>12.0</v>
      </c>
      <c r="Z37" s="456"/>
      <c r="AA37" s="24">
        <v>12.0</v>
      </c>
      <c r="AB37" s="110">
        <v>12.0</v>
      </c>
      <c r="AC37" s="110">
        <v>12.0</v>
      </c>
      <c r="AD37" s="24">
        <v>12.0</v>
      </c>
      <c r="AE37" s="24">
        <v>12.0</v>
      </c>
      <c r="AF37" s="24">
        <v>12.0</v>
      </c>
      <c r="AG37" s="456"/>
      <c r="AH37" s="24">
        <v>12.0</v>
      </c>
      <c r="AI37" s="110">
        <v>12.0</v>
      </c>
      <c r="AJ37" s="110">
        <v>12.0</v>
      </c>
      <c r="AK37" s="211">
        <f>COUNTA(G37:AJ37)</f>
        <v>26</v>
      </c>
      <c r="AL37" s="57">
        <f>SUM(G37:AJ37)</f>
        <v>312</v>
      </c>
      <c r="AM37" s="73" t="s">
        <v>207</v>
      </c>
    </row>
    <row r="38" ht="19.5" customHeight="1">
      <c r="A38" s="34">
        <v>30.0</v>
      </c>
      <c r="B38" s="35" t="s">
        <v>136</v>
      </c>
      <c r="C38" s="27">
        <v>1.0</v>
      </c>
      <c r="D38" s="117" t="s">
        <v>145</v>
      </c>
      <c r="E38" s="26" t="s">
        <v>138</v>
      </c>
      <c r="F38" s="28" t="s">
        <v>26</v>
      </c>
      <c r="G38" s="110">
        <v>11.0</v>
      </c>
      <c r="H38" s="110">
        <v>11.0</v>
      </c>
      <c r="I38" s="24"/>
      <c r="J38" s="24">
        <v>11.0</v>
      </c>
      <c r="K38" s="24">
        <v>11.0</v>
      </c>
      <c r="L38" s="24">
        <v>11.0</v>
      </c>
      <c r="M38" s="24">
        <v>11.0</v>
      </c>
      <c r="N38" s="110">
        <v>11.0</v>
      </c>
      <c r="O38" s="110">
        <v>11.0</v>
      </c>
      <c r="P38" s="24"/>
      <c r="Q38" s="24">
        <v>11.0</v>
      </c>
      <c r="R38" s="24">
        <v>11.0</v>
      </c>
      <c r="S38" s="24">
        <v>11.0</v>
      </c>
      <c r="T38" s="24">
        <v>11.0</v>
      </c>
      <c r="U38" s="110">
        <v>11.0</v>
      </c>
      <c r="V38" s="110">
        <v>11.0</v>
      </c>
      <c r="W38" s="24"/>
      <c r="X38" s="24">
        <v>11.0</v>
      </c>
      <c r="Y38" s="24">
        <v>11.0</v>
      </c>
      <c r="Z38" s="24">
        <v>11.0</v>
      </c>
      <c r="AA38" s="24">
        <v>11.0</v>
      </c>
      <c r="AB38" s="110">
        <v>11.0</v>
      </c>
      <c r="AC38" s="110">
        <v>11.0</v>
      </c>
      <c r="AD38" s="24"/>
      <c r="AE38" s="24">
        <v>11.0</v>
      </c>
      <c r="AF38" s="24">
        <v>11.0</v>
      </c>
      <c r="AG38" s="24">
        <v>11.0</v>
      </c>
      <c r="AH38" s="24">
        <v>11.0</v>
      </c>
      <c r="AI38" s="110">
        <v>11.0</v>
      </c>
      <c r="AJ38" s="110">
        <v>11.0</v>
      </c>
      <c r="AK38" s="461">
        <v>26.0</v>
      </c>
      <c r="AL38" s="57">
        <v>286.0</v>
      </c>
      <c r="AM38" s="73" t="s">
        <v>207</v>
      </c>
    </row>
    <row r="39" ht="14.25" customHeight="1">
      <c r="A39" s="21"/>
      <c r="B39" s="20" t="s">
        <v>140</v>
      </c>
      <c r="C39" s="21"/>
      <c r="D39" s="20" t="s">
        <v>140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"/>
      <c r="AL39" s="45"/>
    </row>
    <row r="40" ht="14.25" customHeight="1">
      <c r="A40" s="34">
        <v>31.0</v>
      </c>
      <c r="B40" s="35" t="s">
        <v>140</v>
      </c>
      <c r="C40" s="27">
        <v>1.0</v>
      </c>
      <c r="D40" s="117" t="s">
        <v>63</v>
      </c>
      <c r="E40" s="139" t="s">
        <v>51</v>
      </c>
      <c r="F40" s="28" t="s">
        <v>85</v>
      </c>
      <c r="G40" s="110"/>
      <c r="H40" s="110">
        <v>24.0</v>
      </c>
      <c r="I40" s="24"/>
      <c r="J40" s="24"/>
      <c r="K40" s="24">
        <v>24.0</v>
      </c>
      <c r="L40" s="24"/>
      <c r="M40" s="24"/>
      <c r="N40" s="110">
        <v>24.0</v>
      </c>
      <c r="O40" s="110"/>
      <c r="P40" s="24"/>
      <c r="Q40" s="24">
        <v>24.0</v>
      </c>
      <c r="R40" s="24"/>
      <c r="S40" s="24"/>
      <c r="T40" s="24">
        <v>24.0</v>
      </c>
      <c r="U40" s="110"/>
      <c r="V40" s="110"/>
      <c r="W40" s="24">
        <v>24.0</v>
      </c>
      <c r="X40" s="24"/>
      <c r="Y40" s="24"/>
      <c r="Z40" s="24">
        <v>24.0</v>
      </c>
      <c r="AA40" s="24"/>
      <c r="AB40" s="110"/>
      <c r="AC40" s="110">
        <v>24.0</v>
      </c>
      <c r="AD40" s="24"/>
      <c r="AE40" s="24"/>
      <c r="AF40" s="24">
        <v>24.0</v>
      </c>
      <c r="AG40" s="24"/>
      <c r="AH40" s="24"/>
      <c r="AI40" s="110">
        <v>24.0</v>
      </c>
      <c r="AJ40" s="110"/>
      <c r="AK40" s="211">
        <v>10.0</v>
      </c>
      <c r="AL40" s="57">
        <v>240.0</v>
      </c>
    </row>
    <row r="41" ht="14.25" customHeight="1">
      <c r="A41" s="24">
        <v>32.0</v>
      </c>
      <c r="B41" s="35" t="s">
        <v>140</v>
      </c>
      <c r="C41" s="27">
        <v>1.0</v>
      </c>
      <c r="D41" s="117" t="s">
        <v>145</v>
      </c>
      <c r="E41" s="139" t="s">
        <v>51</v>
      </c>
      <c r="F41" s="28" t="s">
        <v>85</v>
      </c>
      <c r="G41" s="110">
        <v>24.0</v>
      </c>
      <c r="H41" s="110"/>
      <c r="I41" s="24"/>
      <c r="J41" s="24">
        <v>24.0</v>
      </c>
      <c r="K41" s="24"/>
      <c r="L41" s="24"/>
      <c r="M41" s="24">
        <v>24.0</v>
      </c>
      <c r="N41" s="110"/>
      <c r="O41" s="110"/>
      <c r="P41" s="24">
        <v>24.0</v>
      </c>
      <c r="Q41" s="24"/>
      <c r="R41" s="24"/>
      <c r="S41" s="24">
        <v>24.0</v>
      </c>
      <c r="T41" s="24"/>
      <c r="U41" s="110"/>
      <c r="V41" s="110">
        <v>24.0</v>
      </c>
      <c r="W41" s="24"/>
      <c r="X41" s="24"/>
      <c r="Y41" s="24">
        <v>24.0</v>
      </c>
      <c r="Z41" s="24"/>
      <c r="AA41" s="24"/>
      <c r="AB41" s="110">
        <v>24.0</v>
      </c>
      <c r="AC41" s="110"/>
      <c r="AD41" s="24"/>
      <c r="AE41" s="24">
        <v>24.0</v>
      </c>
      <c r="AF41" s="24"/>
      <c r="AG41" s="24"/>
      <c r="AH41" s="24">
        <v>24.0</v>
      </c>
      <c r="AI41" s="110"/>
      <c r="AJ41" s="110"/>
      <c r="AK41" s="211">
        <v>10.0</v>
      </c>
      <c r="AL41" s="57">
        <v>240.0</v>
      </c>
    </row>
    <row r="42" ht="14.25" customHeight="1">
      <c r="A42" s="24">
        <v>33.0</v>
      </c>
      <c r="B42" s="35" t="s">
        <v>140</v>
      </c>
      <c r="C42" s="27">
        <v>1.0</v>
      </c>
      <c r="D42" s="117" t="s">
        <v>63</v>
      </c>
      <c r="E42" s="139" t="s">
        <v>51</v>
      </c>
      <c r="F42" s="28" t="s">
        <v>85</v>
      </c>
      <c r="G42" s="110"/>
      <c r="H42" s="110"/>
      <c r="I42" s="24">
        <v>24.0</v>
      </c>
      <c r="J42" s="24"/>
      <c r="K42" s="24"/>
      <c r="L42" s="24">
        <v>24.0</v>
      </c>
      <c r="M42" s="24"/>
      <c r="N42" s="110"/>
      <c r="O42" s="110">
        <v>24.0</v>
      </c>
      <c r="P42" s="24"/>
      <c r="Q42" s="24"/>
      <c r="R42" s="24">
        <v>24.0</v>
      </c>
      <c r="S42" s="24"/>
      <c r="T42" s="24"/>
      <c r="U42" s="110">
        <v>24.0</v>
      </c>
      <c r="V42" s="110"/>
      <c r="W42" s="24"/>
      <c r="X42" s="24">
        <v>24.0</v>
      </c>
      <c r="Y42" s="24"/>
      <c r="Z42" s="24"/>
      <c r="AA42" s="24">
        <v>24.0</v>
      </c>
      <c r="AB42" s="110"/>
      <c r="AC42" s="110"/>
      <c r="AD42" s="24">
        <v>24.0</v>
      </c>
      <c r="AE42" s="24"/>
      <c r="AF42" s="24"/>
      <c r="AG42" s="24">
        <v>24.0</v>
      </c>
      <c r="AH42" s="24"/>
      <c r="AI42" s="110"/>
      <c r="AJ42" s="110">
        <v>24.0</v>
      </c>
      <c r="AK42" s="211">
        <v>10.0</v>
      </c>
      <c r="AL42" s="57">
        <v>240.0</v>
      </c>
    </row>
    <row r="43" ht="14.25" customHeight="1">
      <c r="A43" s="142"/>
      <c r="B43" s="143" t="s">
        <v>151</v>
      </c>
      <c r="C43" s="144">
        <v>33.0</v>
      </c>
      <c r="D43" s="143" t="s">
        <v>152</v>
      </c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21"/>
      <c r="AL43" s="45"/>
    </row>
    <row r="44" ht="14.25" customHeight="1">
      <c r="A44" s="142"/>
      <c r="B44" s="146" t="s">
        <v>154</v>
      </c>
      <c r="C44" s="147"/>
      <c r="D44" s="147"/>
      <c r="E44" s="147"/>
      <c r="F44" s="148"/>
      <c r="G44" s="144" t="s">
        <v>155</v>
      </c>
      <c r="H44" s="144" t="s">
        <v>155</v>
      </c>
      <c r="I44" s="144" t="s">
        <v>155</v>
      </c>
      <c r="J44" s="144" t="s">
        <v>155</v>
      </c>
      <c r="K44" s="144" t="s">
        <v>155</v>
      </c>
      <c r="L44" s="144" t="s">
        <v>155</v>
      </c>
      <c r="M44" s="144" t="s">
        <v>155</v>
      </c>
      <c r="N44" s="144" t="s">
        <v>155</v>
      </c>
      <c r="O44" s="144" t="s">
        <v>155</v>
      </c>
      <c r="P44" s="144" t="s">
        <v>155</v>
      </c>
      <c r="Q44" s="144" t="s">
        <v>155</v>
      </c>
      <c r="R44" s="144" t="s">
        <v>155</v>
      </c>
      <c r="S44" s="144" t="s">
        <v>155</v>
      </c>
      <c r="T44" s="144" t="s">
        <v>155</v>
      </c>
      <c r="U44" s="144" t="s">
        <v>155</v>
      </c>
      <c r="V44" s="144" t="s">
        <v>155</v>
      </c>
      <c r="W44" s="144" t="s">
        <v>155</v>
      </c>
      <c r="X44" s="144" t="s">
        <v>155</v>
      </c>
      <c r="Y44" s="144" t="s">
        <v>155</v>
      </c>
      <c r="Z44" s="144" t="s">
        <v>155</v>
      </c>
      <c r="AA44" s="144" t="s">
        <v>155</v>
      </c>
      <c r="AB44" s="144" t="s">
        <v>155</v>
      </c>
      <c r="AC44" s="144" t="s">
        <v>155</v>
      </c>
      <c r="AD44" s="144" t="s">
        <v>155</v>
      </c>
      <c r="AE44" s="144" t="s">
        <v>155</v>
      </c>
      <c r="AF44" s="144" t="s">
        <v>155</v>
      </c>
      <c r="AG44" s="144" t="s">
        <v>155</v>
      </c>
      <c r="AH44" s="144"/>
      <c r="AI44" s="144"/>
      <c r="AJ44" s="144"/>
      <c r="AK44" s="21"/>
      <c r="AL44" s="45"/>
    </row>
    <row r="45" ht="14.25" customHeight="1">
      <c r="A45" s="142"/>
      <c r="B45" s="146" t="s">
        <v>156</v>
      </c>
      <c r="C45" s="147"/>
      <c r="D45" s="147"/>
      <c r="E45" s="147"/>
      <c r="F45" s="148"/>
      <c r="G45" s="144">
        <f t="shared" ref="G45:AG45" si="9">COUNTA(#REF!,#REF!,#REF!,#REF!,#REF!)</f>
        <v>5</v>
      </c>
      <c r="H45" s="144">
        <f t="shared" si="9"/>
        <v>5</v>
      </c>
      <c r="I45" s="144">
        <f t="shared" si="9"/>
        <v>5</v>
      </c>
      <c r="J45" s="144">
        <f t="shared" si="9"/>
        <v>5</v>
      </c>
      <c r="K45" s="144">
        <f t="shared" si="9"/>
        <v>5</v>
      </c>
      <c r="L45" s="144">
        <f t="shared" si="9"/>
        <v>5</v>
      </c>
      <c r="M45" s="144">
        <f t="shared" si="9"/>
        <v>5</v>
      </c>
      <c r="N45" s="144">
        <f t="shared" si="9"/>
        <v>5</v>
      </c>
      <c r="O45" s="144">
        <f t="shared" si="9"/>
        <v>5</v>
      </c>
      <c r="P45" s="144">
        <f t="shared" si="9"/>
        <v>5</v>
      </c>
      <c r="Q45" s="144">
        <f t="shared" si="9"/>
        <v>5</v>
      </c>
      <c r="R45" s="144">
        <f t="shared" si="9"/>
        <v>5</v>
      </c>
      <c r="S45" s="144">
        <f t="shared" si="9"/>
        <v>5</v>
      </c>
      <c r="T45" s="144">
        <f t="shared" si="9"/>
        <v>5</v>
      </c>
      <c r="U45" s="144">
        <f t="shared" si="9"/>
        <v>5</v>
      </c>
      <c r="V45" s="144">
        <f t="shared" si="9"/>
        <v>5</v>
      </c>
      <c r="W45" s="144">
        <f t="shared" si="9"/>
        <v>5</v>
      </c>
      <c r="X45" s="144">
        <f t="shared" si="9"/>
        <v>5</v>
      </c>
      <c r="Y45" s="144">
        <f t="shared" si="9"/>
        <v>5</v>
      </c>
      <c r="Z45" s="144">
        <f t="shared" si="9"/>
        <v>5</v>
      </c>
      <c r="AA45" s="144">
        <f t="shared" si="9"/>
        <v>5</v>
      </c>
      <c r="AB45" s="144">
        <f t="shared" si="9"/>
        <v>5</v>
      </c>
      <c r="AC45" s="144">
        <f t="shared" si="9"/>
        <v>5</v>
      </c>
      <c r="AD45" s="144">
        <f t="shared" si="9"/>
        <v>5</v>
      </c>
      <c r="AE45" s="144">
        <f t="shared" si="9"/>
        <v>5</v>
      </c>
      <c r="AF45" s="144">
        <f t="shared" si="9"/>
        <v>5</v>
      </c>
      <c r="AG45" s="144">
        <f t="shared" si="9"/>
        <v>5</v>
      </c>
      <c r="AH45" s="144"/>
      <c r="AI45" s="144"/>
      <c r="AJ45" s="144"/>
      <c r="AK45" s="21"/>
      <c r="AL45" s="45"/>
    </row>
    <row r="46" ht="14.25" customHeight="1">
      <c r="A46" s="142"/>
      <c r="B46" s="146" t="s">
        <v>157</v>
      </c>
      <c r="C46" s="147"/>
      <c r="D46" s="147"/>
      <c r="E46" s="147"/>
      <c r="F46" s="148"/>
      <c r="G46" s="269">
        <f t="shared" ref="G46:AG46" si="10">COUNTA(#REF!,#REF!)</f>
        <v>2</v>
      </c>
      <c r="H46" s="269">
        <f t="shared" si="10"/>
        <v>2</v>
      </c>
      <c r="I46" s="269">
        <f t="shared" si="10"/>
        <v>2</v>
      </c>
      <c r="J46" s="269">
        <f t="shared" si="10"/>
        <v>2</v>
      </c>
      <c r="K46" s="269">
        <f t="shared" si="10"/>
        <v>2</v>
      </c>
      <c r="L46" s="269">
        <f t="shared" si="10"/>
        <v>2</v>
      </c>
      <c r="M46" s="269">
        <f t="shared" si="10"/>
        <v>2</v>
      </c>
      <c r="N46" s="269">
        <f t="shared" si="10"/>
        <v>2</v>
      </c>
      <c r="O46" s="269">
        <f t="shared" si="10"/>
        <v>2</v>
      </c>
      <c r="P46" s="269">
        <f t="shared" si="10"/>
        <v>2</v>
      </c>
      <c r="Q46" s="269">
        <f t="shared" si="10"/>
        <v>2</v>
      </c>
      <c r="R46" s="269">
        <f t="shared" si="10"/>
        <v>2</v>
      </c>
      <c r="S46" s="269">
        <f t="shared" si="10"/>
        <v>2</v>
      </c>
      <c r="T46" s="269">
        <f t="shared" si="10"/>
        <v>2</v>
      </c>
      <c r="U46" s="269">
        <f t="shared" si="10"/>
        <v>2</v>
      </c>
      <c r="V46" s="269">
        <f t="shared" si="10"/>
        <v>2</v>
      </c>
      <c r="W46" s="269">
        <f t="shared" si="10"/>
        <v>2</v>
      </c>
      <c r="X46" s="269">
        <f t="shared" si="10"/>
        <v>2</v>
      </c>
      <c r="Y46" s="269">
        <f t="shared" si="10"/>
        <v>2</v>
      </c>
      <c r="Z46" s="269">
        <f t="shared" si="10"/>
        <v>2</v>
      </c>
      <c r="AA46" s="269">
        <f t="shared" si="10"/>
        <v>2</v>
      </c>
      <c r="AB46" s="269">
        <f t="shared" si="10"/>
        <v>2</v>
      </c>
      <c r="AC46" s="269">
        <f t="shared" si="10"/>
        <v>2</v>
      </c>
      <c r="AD46" s="269">
        <f t="shared" si="10"/>
        <v>2</v>
      </c>
      <c r="AE46" s="269">
        <f t="shared" si="10"/>
        <v>2</v>
      </c>
      <c r="AF46" s="269">
        <f t="shared" si="10"/>
        <v>2</v>
      </c>
      <c r="AG46" s="269">
        <f t="shared" si="10"/>
        <v>2</v>
      </c>
      <c r="AH46" s="269"/>
      <c r="AI46" s="269"/>
      <c r="AJ46" s="269"/>
      <c r="AK46" s="21"/>
      <c r="AL46" s="45"/>
    </row>
    <row r="47" ht="14.25" customHeight="1">
      <c r="A47" s="2"/>
      <c r="B47" s="3"/>
      <c r="C47" s="2"/>
      <c r="D47" s="2"/>
      <c r="E47" s="2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280"/>
      <c r="AL47" s="11"/>
    </row>
    <row r="48" ht="14.25" customHeight="1">
      <c r="A48" s="152"/>
      <c r="B48" s="153"/>
      <c r="C48" s="154"/>
      <c r="D48" s="155" t="s">
        <v>159</v>
      </c>
      <c r="E48" s="155"/>
      <c r="F48" s="156"/>
      <c r="G48" s="213">
        <f t="shared" ref="G48:AD48" si="11">COUNTA(G10,G11:G15,#REF!,G23:G24,G39,G22:G37,G28)</f>
        <v>12</v>
      </c>
      <c r="H48" s="213">
        <f t="shared" si="11"/>
        <v>12</v>
      </c>
      <c r="I48" s="213">
        <f t="shared" si="11"/>
        <v>13</v>
      </c>
      <c r="J48" s="213">
        <f t="shared" si="11"/>
        <v>12</v>
      </c>
      <c r="K48" s="213">
        <f t="shared" si="11"/>
        <v>13</v>
      </c>
      <c r="L48" s="213">
        <f t="shared" si="11"/>
        <v>15</v>
      </c>
      <c r="M48" s="213">
        <f t="shared" si="11"/>
        <v>16</v>
      </c>
      <c r="N48" s="213">
        <f t="shared" si="11"/>
        <v>12</v>
      </c>
      <c r="O48" s="213">
        <f t="shared" si="11"/>
        <v>12</v>
      </c>
      <c r="P48" s="213">
        <f t="shared" si="11"/>
        <v>14</v>
      </c>
      <c r="Q48" s="213">
        <f t="shared" si="11"/>
        <v>13</v>
      </c>
      <c r="R48" s="213">
        <f t="shared" si="11"/>
        <v>13</v>
      </c>
      <c r="S48" s="213">
        <f t="shared" si="11"/>
        <v>16</v>
      </c>
      <c r="T48" s="213">
        <f t="shared" si="11"/>
        <v>17</v>
      </c>
      <c r="U48" s="213">
        <f t="shared" si="11"/>
        <v>12</v>
      </c>
      <c r="V48" s="213">
        <f t="shared" si="11"/>
        <v>13</v>
      </c>
      <c r="W48" s="213">
        <f t="shared" si="11"/>
        <v>14</v>
      </c>
      <c r="X48" s="213">
        <f t="shared" si="11"/>
        <v>12</v>
      </c>
      <c r="Y48" s="213">
        <f t="shared" si="11"/>
        <v>14</v>
      </c>
      <c r="Z48" s="213">
        <f t="shared" si="11"/>
        <v>15</v>
      </c>
      <c r="AA48" s="213">
        <f t="shared" si="11"/>
        <v>15</v>
      </c>
      <c r="AB48" s="213">
        <f t="shared" si="11"/>
        <v>13</v>
      </c>
      <c r="AC48" s="213">
        <f t="shared" si="11"/>
        <v>12</v>
      </c>
      <c r="AD48" s="213">
        <f t="shared" si="11"/>
        <v>13</v>
      </c>
      <c r="AE48" s="213"/>
      <c r="AF48" s="213"/>
      <c r="AG48" s="213"/>
      <c r="AH48" s="213"/>
      <c r="AI48" s="213"/>
      <c r="AJ48" s="213"/>
      <c r="AK48" s="287">
        <f t="shared" ref="AK48:AK51" si="13">SUM(G48:AG48)</f>
        <v>323</v>
      </c>
      <c r="AL48" s="158">
        <v>250.0</v>
      </c>
    </row>
    <row r="49" ht="14.25" customHeight="1">
      <c r="A49" s="159"/>
      <c r="B49" s="160"/>
      <c r="C49" s="161"/>
      <c r="D49" s="162" t="s">
        <v>160</v>
      </c>
      <c r="E49" s="162"/>
      <c r="F49" s="163"/>
      <c r="G49" s="289">
        <f t="shared" ref="G49:AD49" si="12">COUNTA(G10,#REF!,#REF!,G15,G22:G37,G23:G39)</f>
        <v>21</v>
      </c>
      <c r="H49" s="289">
        <f t="shared" si="12"/>
        <v>21</v>
      </c>
      <c r="I49" s="289">
        <f t="shared" si="12"/>
        <v>15</v>
      </c>
      <c r="J49" s="289">
        <f t="shared" si="12"/>
        <v>16</v>
      </c>
      <c r="K49" s="289">
        <f t="shared" si="12"/>
        <v>18</v>
      </c>
      <c r="L49" s="289">
        <f t="shared" si="12"/>
        <v>20</v>
      </c>
      <c r="M49" s="289">
        <f t="shared" si="12"/>
        <v>22</v>
      </c>
      <c r="N49" s="289">
        <f t="shared" si="12"/>
        <v>21</v>
      </c>
      <c r="O49" s="289">
        <f t="shared" si="12"/>
        <v>21</v>
      </c>
      <c r="P49" s="289">
        <f t="shared" si="12"/>
        <v>17</v>
      </c>
      <c r="Q49" s="289">
        <f t="shared" si="12"/>
        <v>18</v>
      </c>
      <c r="R49" s="289">
        <f t="shared" si="12"/>
        <v>18</v>
      </c>
      <c r="S49" s="289">
        <f t="shared" si="12"/>
        <v>20</v>
      </c>
      <c r="T49" s="289">
        <f t="shared" si="12"/>
        <v>22</v>
      </c>
      <c r="U49" s="289">
        <f t="shared" si="12"/>
        <v>21</v>
      </c>
      <c r="V49" s="289">
        <f t="shared" si="12"/>
        <v>21</v>
      </c>
      <c r="W49" s="289">
        <f t="shared" si="12"/>
        <v>17</v>
      </c>
      <c r="X49" s="289">
        <f t="shared" si="12"/>
        <v>18</v>
      </c>
      <c r="Y49" s="289">
        <f t="shared" si="12"/>
        <v>18</v>
      </c>
      <c r="Z49" s="289">
        <f t="shared" si="12"/>
        <v>20</v>
      </c>
      <c r="AA49" s="289">
        <f t="shared" si="12"/>
        <v>22</v>
      </c>
      <c r="AB49" s="289">
        <f t="shared" si="12"/>
        <v>21</v>
      </c>
      <c r="AC49" s="289">
        <f t="shared" si="12"/>
        <v>21</v>
      </c>
      <c r="AD49" s="289">
        <f t="shared" si="12"/>
        <v>17</v>
      </c>
      <c r="AE49" s="289"/>
      <c r="AF49" s="289"/>
      <c r="AG49" s="289"/>
      <c r="AH49" s="289"/>
      <c r="AI49" s="289"/>
      <c r="AJ49" s="289"/>
      <c r="AK49" s="294">
        <f t="shared" si="13"/>
        <v>466</v>
      </c>
      <c r="AL49" s="158"/>
    </row>
    <row r="50" ht="14.25" customHeight="1">
      <c r="A50" s="166"/>
      <c r="B50" s="167"/>
      <c r="C50" s="168"/>
      <c r="D50" s="169" t="s">
        <v>161</v>
      </c>
      <c r="E50" s="169"/>
      <c r="F50" s="170"/>
      <c r="G50" s="295">
        <f t="shared" ref="G50:AD50" si="14">COUNTA(G22:G37,G28,G39:G40)</f>
        <v>9</v>
      </c>
      <c r="H50" s="295">
        <f t="shared" si="14"/>
        <v>10</v>
      </c>
      <c r="I50" s="295">
        <f t="shared" si="14"/>
        <v>7</v>
      </c>
      <c r="J50" s="295">
        <f t="shared" si="14"/>
        <v>6</v>
      </c>
      <c r="K50" s="295">
        <f t="shared" si="14"/>
        <v>8</v>
      </c>
      <c r="L50" s="295">
        <f t="shared" si="14"/>
        <v>9</v>
      </c>
      <c r="M50" s="295">
        <f t="shared" si="14"/>
        <v>9</v>
      </c>
      <c r="N50" s="295">
        <f t="shared" si="14"/>
        <v>10</v>
      </c>
      <c r="O50" s="295">
        <f t="shared" si="14"/>
        <v>10</v>
      </c>
      <c r="P50" s="295">
        <f t="shared" si="14"/>
        <v>7</v>
      </c>
      <c r="Q50" s="295">
        <f t="shared" si="14"/>
        <v>8</v>
      </c>
      <c r="R50" s="295">
        <f t="shared" si="14"/>
        <v>8</v>
      </c>
      <c r="S50" s="295">
        <f t="shared" si="14"/>
        <v>9</v>
      </c>
      <c r="T50" s="295">
        <f t="shared" si="14"/>
        <v>11</v>
      </c>
      <c r="U50" s="295">
        <f t="shared" si="14"/>
        <v>10</v>
      </c>
      <c r="V50" s="295">
        <f t="shared" si="14"/>
        <v>10</v>
      </c>
      <c r="W50" s="295">
        <f t="shared" si="14"/>
        <v>8</v>
      </c>
      <c r="X50" s="295">
        <f t="shared" si="14"/>
        <v>7</v>
      </c>
      <c r="Y50" s="295">
        <f t="shared" si="14"/>
        <v>8</v>
      </c>
      <c r="Z50" s="295">
        <f t="shared" si="14"/>
        <v>9</v>
      </c>
      <c r="AA50" s="295">
        <f t="shared" si="14"/>
        <v>9</v>
      </c>
      <c r="AB50" s="295">
        <f t="shared" si="14"/>
        <v>10</v>
      </c>
      <c r="AC50" s="295">
        <f t="shared" si="14"/>
        <v>10</v>
      </c>
      <c r="AD50" s="295">
        <f t="shared" si="14"/>
        <v>7</v>
      </c>
      <c r="AE50" s="295"/>
      <c r="AF50" s="295"/>
      <c r="AG50" s="295"/>
      <c r="AH50" s="295"/>
      <c r="AI50" s="295"/>
      <c r="AJ50" s="295"/>
      <c r="AK50" s="301">
        <f t="shared" si="13"/>
        <v>209</v>
      </c>
      <c r="AL50" s="173">
        <f>AL48*AK52</f>
        <v>270000</v>
      </c>
    </row>
    <row r="51" ht="14.25" customHeight="1">
      <c r="A51" s="174"/>
      <c r="B51" s="175"/>
      <c r="C51" s="176"/>
      <c r="D51" s="177" t="s">
        <v>162</v>
      </c>
      <c r="E51" s="177"/>
      <c r="F51" s="178"/>
      <c r="G51" s="302">
        <f t="shared" ref="G51:AD51" si="15">COUNTA(#REF!,#REF!,G28,#REF!)</f>
        <v>3</v>
      </c>
      <c r="H51" s="302">
        <f t="shared" si="15"/>
        <v>3</v>
      </c>
      <c r="I51" s="302">
        <f t="shared" si="15"/>
        <v>4</v>
      </c>
      <c r="J51" s="302">
        <f t="shared" si="15"/>
        <v>3</v>
      </c>
      <c r="K51" s="302">
        <f t="shared" si="15"/>
        <v>3</v>
      </c>
      <c r="L51" s="302">
        <f t="shared" si="15"/>
        <v>4</v>
      </c>
      <c r="M51" s="302">
        <f t="shared" si="15"/>
        <v>3</v>
      </c>
      <c r="N51" s="302">
        <f t="shared" si="15"/>
        <v>3</v>
      </c>
      <c r="O51" s="302">
        <f t="shared" si="15"/>
        <v>4</v>
      </c>
      <c r="P51" s="302">
        <f t="shared" si="15"/>
        <v>3</v>
      </c>
      <c r="Q51" s="302">
        <f t="shared" si="15"/>
        <v>3</v>
      </c>
      <c r="R51" s="302">
        <f t="shared" si="15"/>
        <v>4</v>
      </c>
      <c r="S51" s="302">
        <f t="shared" si="15"/>
        <v>4</v>
      </c>
      <c r="T51" s="302">
        <f t="shared" si="15"/>
        <v>4</v>
      </c>
      <c r="U51" s="302">
        <f t="shared" si="15"/>
        <v>4</v>
      </c>
      <c r="V51" s="302">
        <f t="shared" si="15"/>
        <v>4</v>
      </c>
      <c r="W51" s="302">
        <f t="shared" si="15"/>
        <v>3</v>
      </c>
      <c r="X51" s="302">
        <f t="shared" si="15"/>
        <v>3</v>
      </c>
      <c r="Y51" s="302">
        <f t="shared" si="15"/>
        <v>4</v>
      </c>
      <c r="Z51" s="302">
        <f t="shared" si="15"/>
        <v>3</v>
      </c>
      <c r="AA51" s="302">
        <f t="shared" si="15"/>
        <v>3</v>
      </c>
      <c r="AB51" s="302">
        <f t="shared" si="15"/>
        <v>4</v>
      </c>
      <c r="AC51" s="302">
        <f t="shared" si="15"/>
        <v>3</v>
      </c>
      <c r="AD51" s="302">
        <f t="shared" si="15"/>
        <v>3</v>
      </c>
      <c r="AE51" s="302"/>
      <c r="AF51" s="302"/>
      <c r="AG51" s="302"/>
      <c r="AH51" s="302"/>
      <c r="AI51" s="302"/>
      <c r="AJ51" s="302"/>
      <c r="AK51" s="302">
        <f t="shared" si="13"/>
        <v>82</v>
      </c>
      <c r="AL51" s="180"/>
    </row>
    <row r="52" ht="14.25" customHeight="1">
      <c r="A52" s="146" t="s">
        <v>163</v>
      </c>
      <c r="B52" s="147"/>
      <c r="C52" s="147"/>
      <c r="D52" s="147"/>
      <c r="E52" s="147"/>
      <c r="F52" s="148"/>
      <c r="G52" s="144">
        <f t="shared" ref="G52:AD52" si="16">SUM(G48:G51)</f>
        <v>45</v>
      </c>
      <c r="H52" s="144">
        <f t="shared" si="16"/>
        <v>46</v>
      </c>
      <c r="I52" s="144">
        <f t="shared" si="16"/>
        <v>39</v>
      </c>
      <c r="J52" s="144">
        <f t="shared" si="16"/>
        <v>37</v>
      </c>
      <c r="K52" s="144">
        <f t="shared" si="16"/>
        <v>42</v>
      </c>
      <c r="L52" s="144">
        <f t="shared" si="16"/>
        <v>48</v>
      </c>
      <c r="M52" s="144">
        <f t="shared" si="16"/>
        <v>50</v>
      </c>
      <c r="N52" s="144">
        <f t="shared" si="16"/>
        <v>46</v>
      </c>
      <c r="O52" s="144">
        <f t="shared" si="16"/>
        <v>47</v>
      </c>
      <c r="P52" s="144">
        <f t="shared" si="16"/>
        <v>41</v>
      </c>
      <c r="Q52" s="144">
        <f t="shared" si="16"/>
        <v>42</v>
      </c>
      <c r="R52" s="144">
        <f t="shared" si="16"/>
        <v>43</v>
      </c>
      <c r="S52" s="144">
        <f t="shared" si="16"/>
        <v>49</v>
      </c>
      <c r="T52" s="144">
        <f t="shared" si="16"/>
        <v>54</v>
      </c>
      <c r="U52" s="144">
        <f t="shared" si="16"/>
        <v>47</v>
      </c>
      <c r="V52" s="144">
        <f t="shared" si="16"/>
        <v>48</v>
      </c>
      <c r="W52" s="144">
        <f t="shared" si="16"/>
        <v>42</v>
      </c>
      <c r="X52" s="144">
        <f t="shared" si="16"/>
        <v>40</v>
      </c>
      <c r="Y52" s="144">
        <f t="shared" si="16"/>
        <v>44</v>
      </c>
      <c r="Z52" s="144">
        <f t="shared" si="16"/>
        <v>47</v>
      </c>
      <c r="AA52" s="144">
        <f t="shared" si="16"/>
        <v>49</v>
      </c>
      <c r="AB52" s="144">
        <f t="shared" si="16"/>
        <v>48</v>
      </c>
      <c r="AC52" s="144">
        <f t="shared" si="16"/>
        <v>46</v>
      </c>
      <c r="AD52" s="144">
        <f t="shared" si="16"/>
        <v>40</v>
      </c>
      <c r="AE52" s="144"/>
      <c r="AF52" s="144"/>
      <c r="AG52" s="144"/>
      <c r="AH52" s="144"/>
      <c r="AI52" s="144"/>
      <c r="AJ52" s="144"/>
      <c r="AK52" s="144">
        <f>SUM(AK48:AK51)</f>
        <v>1080</v>
      </c>
      <c r="AL52" s="181"/>
    </row>
    <row r="53" ht="14.25" customHeight="1">
      <c r="A53" s="2"/>
      <c r="B53" s="182" t="s">
        <v>164</v>
      </c>
      <c r="C53" s="182"/>
      <c r="D53" s="182"/>
      <c r="E53" s="18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  <c r="R53" s="5"/>
      <c r="S53" s="4"/>
      <c r="T53" s="4"/>
      <c r="U53" s="4"/>
      <c r="V53" s="4"/>
      <c r="W53" s="5"/>
      <c r="X53" s="5"/>
      <c r="Y53" s="5"/>
      <c r="Z53" s="4"/>
      <c r="AA53" s="4"/>
      <c r="AB53" s="4"/>
      <c r="AC53" s="4"/>
      <c r="AD53" s="5"/>
      <c r="AE53" s="5"/>
      <c r="AF53" s="5"/>
      <c r="AG53" s="5"/>
      <c r="AH53" s="5"/>
      <c r="AI53" s="5"/>
      <c r="AJ53" s="5"/>
      <c r="AK53" s="2"/>
      <c r="AL53" s="183"/>
    </row>
    <row r="54" ht="14.25" customHeight="1">
      <c r="A54" s="2"/>
      <c r="B54" s="182" t="s">
        <v>165</v>
      </c>
      <c r="C54" s="2"/>
      <c r="D54" s="2"/>
      <c r="E54" s="2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11"/>
      <c r="AL54" s="2"/>
    </row>
    <row r="55" ht="14.25" customHeight="1">
      <c r="A55" s="2"/>
      <c r="B55" s="182" t="s">
        <v>166</v>
      </c>
      <c r="C55" s="184"/>
      <c r="D55" s="184"/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11"/>
      <c r="AL55" s="2"/>
    </row>
    <row r="56" ht="14.25" customHeight="1">
      <c r="A56" s="2"/>
      <c r="B56" s="182"/>
      <c r="C56" s="184"/>
      <c r="D56" s="184"/>
      <c r="E56" s="4" t="s">
        <v>167</v>
      </c>
      <c r="G56" s="5"/>
      <c r="H56" s="5"/>
      <c r="I56" s="5"/>
      <c r="J56" s="5"/>
      <c r="K56" s="5"/>
      <c r="L56" s="5"/>
      <c r="M56" s="5" t="s">
        <v>168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11"/>
      <c r="AL56" s="2"/>
    </row>
    <row r="57" ht="14.25" customHeight="1">
      <c r="A57" s="2"/>
      <c r="B57" s="3"/>
      <c r="C57" s="2"/>
      <c r="D57" s="2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11"/>
      <c r="AL57" s="11"/>
    </row>
    <row r="58" ht="14.25" customHeight="1">
      <c r="A58" s="2"/>
      <c r="B58" s="3"/>
      <c r="C58" s="2"/>
      <c r="D58" s="2"/>
      <c r="E58" s="4" t="s">
        <v>169</v>
      </c>
      <c r="G58" s="5"/>
      <c r="H58" s="5"/>
      <c r="I58" s="5"/>
      <c r="J58" s="5"/>
      <c r="K58" s="5"/>
      <c r="L58" s="5"/>
      <c r="M58" s="5"/>
      <c r="N58" s="5"/>
      <c r="O58" s="5"/>
      <c r="P58" s="5" t="s">
        <v>170</v>
      </c>
      <c r="Q58" s="5"/>
      <c r="R58" s="5"/>
      <c r="S58" s="5" t="s">
        <v>171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11"/>
      <c r="AL58" s="11"/>
    </row>
    <row r="59" ht="14.25" customHeight="1">
      <c r="A59" s="2"/>
      <c r="B59" s="3"/>
      <c r="C59" s="2"/>
      <c r="D59" s="2"/>
      <c r="E59" s="2"/>
      <c r="F59" s="18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11"/>
      <c r="AL59" s="11"/>
    </row>
    <row r="60" ht="30.75" customHeight="1">
      <c r="A60" s="2"/>
      <c r="B60" s="3"/>
      <c r="C60" s="2"/>
      <c r="D60" s="2"/>
      <c r="E60" s="185" t="s">
        <v>172</v>
      </c>
      <c r="G60" s="5"/>
      <c r="H60" s="5"/>
      <c r="I60" s="5"/>
      <c r="J60" s="5"/>
      <c r="K60" s="5"/>
      <c r="L60" s="5"/>
      <c r="M60" s="5"/>
      <c r="N60" s="5"/>
      <c r="O60" s="5"/>
      <c r="P60" s="5" t="s">
        <v>170</v>
      </c>
      <c r="Q60" s="5"/>
      <c r="R60" s="5"/>
      <c r="S60" s="5" t="s">
        <v>171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1"/>
      <c r="AL60" s="11"/>
    </row>
    <row r="61" ht="14.25" customHeight="1">
      <c r="A61" s="11"/>
      <c r="B61" s="3"/>
      <c r="C61" s="2"/>
      <c r="D61" s="186"/>
      <c r="E61" s="2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1"/>
      <c r="AL61" s="11"/>
    </row>
    <row r="62" ht="14.25" customHeight="1">
      <c r="F62" s="187"/>
    </row>
    <row r="63" ht="14.25" customHeight="1">
      <c r="F63" s="187"/>
    </row>
    <row r="64" ht="14.25" customHeight="1">
      <c r="F64" s="187"/>
    </row>
    <row r="65" ht="14.25" customHeight="1">
      <c r="F65" s="187"/>
    </row>
    <row r="66" ht="15.75" customHeight="1">
      <c r="F66" s="187"/>
    </row>
    <row r="67" ht="14.25" customHeight="1">
      <c r="F67" s="187"/>
    </row>
    <row r="68" ht="14.2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K6:AK7"/>
    <mergeCell ref="AL6:AL7"/>
    <mergeCell ref="B44:F44"/>
    <mergeCell ref="B45:F45"/>
    <mergeCell ref="B46:F46"/>
    <mergeCell ref="A52:F52"/>
    <mergeCell ref="E56:F56"/>
    <mergeCell ref="M56:T56"/>
    <mergeCell ref="E58:F58"/>
    <mergeCell ref="E60:F60"/>
    <mergeCell ref="F6:F7"/>
    <mergeCell ref="F23:F29"/>
    <mergeCell ref="A35:A36"/>
    <mergeCell ref="B35:B36"/>
    <mergeCell ref="C35:C36"/>
    <mergeCell ref="D35:D36"/>
    <mergeCell ref="F35:F3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4.29"/>
    <col customWidth="1" min="8" max="8" width="4.57"/>
    <col customWidth="1" min="9" max="9" width="5.0"/>
    <col customWidth="1" min="10" max="10" width="4.71"/>
    <col customWidth="1" min="11" max="11" width="4.57"/>
    <col customWidth="1" min="12" max="12" width="5.14"/>
    <col customWidth="1" min="13" max="13" width="4.71"/>
    <col customWidth="1" min="14" max="14" width="4.43"/>
    <col customWidth="1" min="15" max="15" width="4.71"/>
    <col customWidth="1" min="16" max="18" width="5.29"/>
    <col customWidth="1" min="19" max="19" width="5.86"/>
    <col customWidth="1" min="20" max="20" width="5.29"/>
    <col customWidth="1" min="21" max="21" width="4.57"/>
    <col customWidth="1" min="22" max="22" width="5.29"/>
    <col customWidth="1" min="23" max="23" width="5.0"/>
    <col customWidth="1" min="24" max="24" width="5.43"/>
    <col customWidth="1" min="25" max="25" width="5.0"/>
    <col customWidth="1" min="26" max="26" width="5.29"/>
    <col customWidth="1" min="27" max="28" width="4.57"/>
    <col customWidth="1" min="29" max="29" width="4.71"/>
    <col customWidth="1" min="30" max="30" width="5.0"/>
    <col customWidth="1" min="31" max="31" width="4.86"/>
    <col customWidth="1" min="32" max="32" width="5.0"/>
    <col customWidth="1" min="33" max="33" width="5.29"/>
    <col customWidth="1" min="34" max="34" width="4.57"/>
    <col customWidth="1" min="35" max="35" width="4.71"/>
    <col customWidth="1" min="36" max="37" width="4.57"/>
    <col customWidth="1" min="38" max="38" width="9.0"/>
    <col customWidth="1" min="39" max="39" width="17.43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>
        <v>12.0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288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F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f t="shared" si="1"/>
        <v>24</v>
      </c>
      <c r="AE6" s="15">
        <f t="shared" si="1"/>
        <v>25</v>
      </c>
      <c r="AF6" s="15">
        <f t="shared" si="1"/>
        <v>26</v>
      </c>
      <c r="AG6" s="15">
        <v>27.0</v>
      </c>
      <c r="AH6" s="15">
        <v>28.0</v>
      </c>
      <c r="AI6" s="15">
        <v>29.0</v>
      </c>
      <c r="AJ6" s="15">
        <v>30.0</v>
      </c>
      <c r="AK6" s="15">
        <v>31.0</v>
      </c>
      <c r="AL6" s="13" t="s">
        <v>14</v>
      </c>
      <c r="AM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253</v>
      </c>
      <c r="H7" s="446" t="s">
        <v>247</v>
      </c>
      <c r="I7" s="446" t="s">
        <v>248</v>
      </c>
      <c r="J7" s="446" t="s">
        <v>249</v>
      </c>
      <c r="K7" s="446" t="s">
        <v>250</v>
      </c>
      <c r="L7" s="446" t="s">
        <v>251</v>
      </c>
      <c r="M7" s="446" t="s">
        <v>252</v>
      </c>
      <c r="N7" s="446" t="s">
        <v>253</v>
      </c>
      <c r="O7" s="446" t="s">
        <v>247</v>
      </c>
      <c r="P7" s="446" t="s">
        <v>248</v>
      </c>
      <c r="Q7" s="446" t="s">
        <v>249</v>
      </c>
      <c r="R7" s="446" t="s">
        <v>250</v>
      </c>
      <c r="S7" s="446" t="s">
        <v>251</v>
      </c>
      <c r="T7" s="446" t="s">
        <v>252</v>
      </c>
      <c r="U7" s="446" t="s">
        <v>253</v>
      </c>
      <c r="V7" s="446" t="s">
        <v>247</v>
      </c>
      <c r="W7" s="446" t="s">
        <v>248</v>
      </c>
      <c r="X7" s="446" t="s">
        <v>249</v>
      </c>
      <c r="Y7" s="446" t="s">
        <v>250</v>
      </c>
      <c r="Z7" s="446" t="s">
        <v>251</v>
      </c>
      <c r="AA7" s="446" t="s">
        <v>252</v>
      </c>
      <c r="AB7" s="446" t="s">
        <v>253</v>
      </c>
      <c r="AC7" s="446" t="s">
        <v>247</v>
      </c>
      <c r="AD7" s="446" t="s">
        <v>248</v>
      </c>
      <c r="AE7" s="446" t="s">
        <v>249</v>
      </c>
      <c r="AF7" s="446" t="s">
        <v>250</v>
      </c>
      <c r="AG7" s="446" t="s">
        <v>251</v>
      </c>
      <c r="AH7" s="446" t="s">
        <v>252</v>
      </c>
      <c r="AI7" s="446" t="s">
        <v>253</v>
      </c>
      <c r="AJ7" s="446" t="s">
        <v>247</v>
      </c>
      <c r="AK7" s="446" t="s">
        <v>248</v>
      </c>
      <c r="AL7" s="17"/>
      <c r="AM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60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09" t="s">
        <v>205</v>
      </c>
      <c r="I9" s="209" t="s">
        <v>205</v>
      </c>
      <c r="J9" s="210" t="s">
        <v>205</v>
      </c>
      <c r="K9" s="210"/>
      <c r="L9" s="209" t="s">
        <v>205</v>
      </c>
      <c r="M9" s="209" t="s">
        <v>205</v>
      </c>
      <c r="N9" s="209" t="s">
        <v>205</v>
      </c>
      <c r="O9" s="209" t="s">
        <v>205</v>
      </c>
      <c r="P9" s="209" t="s">
        <v>205</v>
      </c>
      <c r="Q9" s="210" t="s">
        <v>205</v>
      </c>
      <c r="R9" s="210"/>
      <c r="S9" s="209" t="s">
        <v>205</v>
      </c>
      <c r="T9" s="209" t="s">
        <v>205</v>
      </c>
      <c r="U9" s="209" t="s">
        <v>205</v>
      </c>
      <c r="V9" s="209" t="s">
        <v>205</v>
      </c>
      <c r="W9" s="209" t="s">
        <v>205</v>
      </c>
      <c r="X9" s="210" t="s">
        <v>205</v>
      </c>
      <c r="Y9" s="210"/>
      <c r="Z9" s="209" t="s">
        <v>205</v>
      </c>
      <c r="AA9" s="209" t="s">
        <v>205</v>
      </c>
      <c r="AB9" s="209" t="s">
        <v>205</v>
      </c>
      <c r="AC9" s="209" t="s">
        <v>205</v>
      </c>
      <c r="AD9" s="209" t="s">
        <v>205</v>
      </c>
      <c r="AE9" s="210" t="s">
        <v>205</v>
      </c>
      <c r="AF9" s="210"/>
      <c r="AG9" s="209" t="s">
        <v>205</v>
      </c>
      <c r="AH9" s="209" t="s">
        <v>205</v>
      </c>
      <c r="AI9" s="209" t="s">
        <v>205</v>
      </c>
      <c r="AJ9" s="24">
        <v>12.0</v>
      </c>
      <c r="AK9" s="24">
        <v>12.0</v>
      </c>
      <c r="AL9" s="211">
        <f>COUNTA(G9:AJ9)</f>
        <v>26</v>
      </c>
      <c r="AM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>
        <v>12.0</v>
      </c>
      <c r="H10" s="24">
        <v>12.0</v>
      </c>
      <c r="I10" s="24">
        <v>12.0</v>
      </c>
      <c r="J10" s="110"/>
      <c r="K10" s="110"/>
      <c r="L10" s="24">
        <v>12.0</v>
      </c>
      <c r="M10" s="24">
        <v>12.0</v>
      </c>
      <c r="N10" s="24">
        <v>12.0</v>
      </c>
      <c r="O10" s="24">
        <v>12.0</v>
      </c>
      <c r="P10" s="24">
        <v>12.0</v>
      </c>
      <c r="Q10" s="110"/>
      <c r="R10" s="110"/>
      <c r="S10" s="24">
        <v>12.0</v>
      </c>
      <c r="T10" s="24">
        <v>12.0</v>
      </c>
      <c r="U10" s="24">
        <v>12.0</v>
      </c>
      <c r="V10" s="24">
        <v>12.0</v>
      </c>
      <c r="W10" s="24">
        <v>12.0</v>
      </c>
      <c r="X10" s="110"/>
      <c r="Y10" s="110"/>
      <c r="Z10" s="24">
        <v>12.0</v>
      </c>
      <c r="AA10" s="24">
        <v>12.0</v>
      </c>
      <c r="AB10" s="24">
        <v>12.0</v>
      </c>
      <c r="AC10" s="24">
        <v>12.0</v>
      </c>
      <c r="AD10" s="24">
        <v>12.0</v>
      </c>
      <c r="AE10" s="110"/>
      <c r="AF10" s="110"/>
      <c r="AG10" s="24">
        <v>12.0</v>
      </c>
      <c r="AH10" s="24">
        <v>12.0</v>
      </c>
      <c r="AI10" s="24">
        <v>12.0</v>
      </c>
      <c r="AJ10" s="24">
        <v>12.0</v>
      </c>
      <c r="AK10" s="24">
        <v>12.0</v>
      </c>
      <c r="AL10" s="211">
        <f t="shared" ref="AL10:AL14" si="2">COUNTA(G10:AK10)</f>
        <v>23</v>
      </c>
      <c r="AM10" s="57">
        <f t="shared" ref="AM10:AM12" si="3">SUM(G10:AK10)</f>
        <v>276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>
        <v>9.0</v>
      </c>
      <c r="H11" s="24">
        <v>9.0</v>
      </c>
      <c r="I11" s="24">
        <v>9.0</v>
      </c>
      <c r="J11" s="110"/>
      <c r="K11" s="110"/>
      <c r="L11" s="24">
        <v>9.0</v>
      </c>
      <c r="M11" s="24">
        <v>9.0</v>
      </c>
      <c r="N11" s="24">
        <v>9.0</v>
      </c>
      <c r="O11" s="24">
        <v>9.0</v>
      </c>
      <c r="P11" s="24">
        <v>9.0</v>
      </c>
      <c r="Q11" s="110"/>
      <c r="R11" s="110"/>
      <c r="S11" s="24">
        <v>9.0</v>
      </c>
      <c r="T11" s="24">
        <v>9.0</v>
      </c>
      <c r="U11" s="24">
        <v>9.0</v>
      </c>
      <c r="V11" s="24">
        <v>9.0</v>
      </c>
      <c r="W11" s="24">
        <v>9.0</v>
      </c>
      <c r="X11" s="110"/>
      <c r="Y11" s="110"/>
      <c r="Z11" s="24">
        <v>9.0</v>
      </c>
      <c r="AA11" s="24">
        <v>9.0</v>
      </c>
      <c r="AB11" s="24">
        <v>9.0</v>
      </c>
      <c r="AC11" s="24">
        <v>9.0</v>
      </c>
      <c r="AD11" s="24">
        <v>9.0</v>
      </c>
      <c r="AE11" s="110"/>
      <c r="AF11" s="110"/>
      <c r="AG11" s="24">
        <v>9.0</v>
      </c>
      <c r="AH11" s="24">
        <v>9.0</v>
      </c>
      <c r="AI11" s="24">
        <v>9.0</v>
      </c>
      <c r="AJ11" s="24">
        <v>9.0</v>
      </c>
      <c r="AK11" s="24">
        <v>9.0</v>
      </c>
      <c r="AL11" s="211">
        <f t="shared" si="2"/>
        <v>23</v>
      </c>
      <c r="AM11" s="57">
        <f t="shared" si="3"/>
        <v>207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293</v>
      </c>
      <c r="E12" s="27" t="s">
        <v>33</v>
      </c>
      <c r="F12" s="28" t="s">
        <v>30</v>
      </c>
      <c r="G12" s="24">
        <v>9.0</v>
      </c>
      <c r="H12" s="24">
        <v>9.0</v>
      </c>
      <c r="I12" s="24">
        <v>9.0</v>
      </c>
      <c r="J12" s="110"/>
      <c r="K12" s="110"/>
      <c r="L12" s="24">
        <v>9.0</v>
      </c>
      <c r="M12" s="24">
        <v>9.0</v>
      </c>
      <c r="N12" s="24">
        <v>9.0</v>
      </c>
      <c r="O12" s="24">
        <v>9.0</v>
      </c>
      <c r="P12" s="24">
        <v>9.0</v>
      </c>
      <c r="Q12" s="110"/>
      <c r="R12" s="110"/>
      <c r="S12" s="24">
        <v>9.0</v>
      </c>
      <c r="T12" s="24">
        <v>9.0</v>
      </c>
      <c r="U12" s="24">
        <v>9.0</v>
      </c>
      <c r="V12" s="24">
        <v>9.0</v>
      </c>
      <c r="W12" s="24">
        <v>9.0</v>
      </c>
      <c r="X12" s="110"/>
      <c r="Y12" s="110"/>
      <c r="Z12" s="24">
        <v>9.0</v>
      </c>
      <c r="AA12" s="24">
        <v>9.0</v>
      </c>
      <c r="AB12" s="24">
        <v>9.0</v>
      </c>
      <c r="AC12" s="24">
        <v>9.0</v>
      </c>
      <c r="AD12" s="24">
        <v>9.0</v>
      </c>
      <c r="AE12" s="110"/>
      <c r="AF12" s="110"/>
      <c r="AG12" s="24">
        <v>9.0</v>
      </c>
      <c r="AH12" s="24">
        <v>9.0</v>
      </c>
      <c r="AI12" s="24">
        <v>9.0</v>
      </c>
      <c r="AJ12" s="24">
        <v>9.0</v>
      </c>
      <c r="AK12" s="24">
        <v>9.0</v>
      </c>
      <c r="AL12" s="211">
        <f t="shared" si="2"/>
        <v>23</v>
      </c>
      <c r="AM12" s="57">
        <f t="shared" si="3"/>
        <v>207</v>
      </c>
    </row>
    <row r="13" ht="14.25" customHeight="1">
      <c r="A13" s="34">
        <v>7.0</v>
      </c>
      <c r="B13" s="35" t="s">
        <v>34</v>
      </c>
      <c r="C13" s="27">
        <v>1.0</v>
      </c>
      <c r="D13" s="36" t="s">
        <v>35</v>
      </c>
      <c r="E13" s="27" t="s">
        <v>294</v>
      </c>
      <c r="F13" s="28" t="s">
        <v>289</v>
      </c>
      <c r="G13" s="24">
        <v>9.0</v>
      </c>
      <c r="H13" s="24">
        <v>9.0</v>
      </c>
      <c r="I13" s="24">
        <v>9.0</v>
      </c>
      <c r="J13" s="110"/>
      <c r="K13" s="110"/>
      <c r="L13" s="24">
        <v>9.0</v>
      </c>
      <c r="M13" s="24">
        <v>9.0</v>
      </c>
      <c r="N13" s="24">
        <v>9.0</v>
      </c>
      <c r="O13" s="24">
        <v>9.0</v>
      </c>
      <c r="P13" s="24">
        <v>9.0</v>
      </c>
      <c r="Q13" s="110"/>
      <c r="R13" s="110"/>
      <c r="S13" s="24">
        <v>9.0</v>
      </c>
      <c r="T13" s="24">
        <v>9.0</v>
      </c>
      <c r="U13" s="24">
        <v>9.0</v>
      </c>
      <c r="V13" s="24">
        <v>9.0</v>
      </c>
      <c r="W13" s="24">
        <v>9.0</v>
      </c>
      <c r="X13" s="110"/>
      <c r="Y13" s="110"/>
      <c r="Z13" s="24">
        <v>9.0</v>
      </c>
      <c r="AA13" s="24">
        <v>9.0</v>
      </c>
      <c r="AB13" s="24">
        <v>9.0</v>
      </c>
      <c r="AC13" s="24">
        <v>9.0</v>
      </c>
      <c r="AD13" s="24">
        <v>9.0</v>
      </c>
      <c r="AE13" s="110"/>
      <c r="AF13" s="110"/>
      <c r="AG13" s="24">
        <v>9.0</v>
      </c>
      <c r="AH13" s="24">
        <v>9.0</v>
      </c>
      <c r="AI13" s="24">
        <v>9.0</v>
      </c>
      <c r="AJ13" s="24">
        <v>9.0</v>
      </c>
      <c r="AK13" s="24">
        <v>9.0</v>
      </c>
      <c r="AL13" s="211">
        <f t="shared" si="2"/>
        <v>23</v>
      </c>
      <c r="AM13" s="57"/>
    </row>
    <row r="14" ht="14.25" customHeight="1">
      <c r="A14" s="34">
        <v>8.0</v>
      </c>
      <c r="B14" s="25" t="s">
        <v>38</v>
      </c>
      <c r="C14" s="27">
        <v>1.0</v>
      </c>
      <c r="D14" s="37" t="s">
        <v>295</v>
      </c>
      <c r="E14" s="27" t="s">
        <v>40</v>
      </c>
      <c r="F14" s="28" t="s">
        <v>30</v>
      </c>
      <c r="G14" s="24">
        <v>12.0</v>
      </c>
      <c r="H14" s="24"/>
      <c r="I14" s="24">
        <v>12.0</v>
      </c>
      <c r="J14" s="110">
        <v>12.0</v>
      </c>
      <c r="K14" s="110">
        <v>12.0</v>
      </c>
      <c r="L14" s="24">
        <v>12.0</v>
      </c>
      <c r="M14" s="24"/>
      <c r="N14" s="24">
        <v>12.0</v>
      </c>
      <c r="O14" s="24">
        <v>12.0</v>
      </c>
      <c r="P14" s="24">
        <v>12.0</v>
      </c>
      <c r="Q14" s="110">
        <v>12.0</v>
      </c>
      <c r="R14" s="110">
        <v>12.0</v>
      </c>
      <c r="S14" s="24">
        <v>12.0</v>
      </c>
      <c r="T14" s="24"/>
      <c r="U14" s="24">
        <v>12.0</v>
      </c>
      <c r="V14" s="24"/>
      <c r="W14" s="24">
        <v>12.0</v>
      </c>
      <c r="X14" s="110">
        <v>12.0</v>
      </c>
      <c r="Y14" s="110">
        <v>12.0</v>
      </c>
      <c r="Z14" s="24">
        <v>12.0</v>
      </c>
      <c r="AA14" s="24">
        <v>12.0</v>
      </c>
      <c r="AB14" s="24">
        <v>12.0</v>
      </c>
      <c r="AC14" s="24"/>
      <c r="AD14" s="24">
        <v>12.0</v>
      </c>
      <c r="AE14" s="110">
        <v>12.0</v>
      </c>
      <c r="AF14" s="110">
        <v>12.0</v>
      </c>
      <c r="AG14" s="24">
        <v>12.0</v>
      </c>
      <c r="AH14" s="24"/>
      <c r="AI14" s="24">
        <v>12.0</v>
      </c>
      <c r="AJ14" s="24"/>
      <c r="AK14" s="24">
        <v>12.0</v>
      </c>
      <c r="AL14" s="211">
        <f t="shared" si="2"/>
        <v>24</v>
      </c>
      <c r="AM14" s="57">
        <f>SUM(G14:AJ14)</f>
        <v>276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2"/>
      <c r="AD15" s="212"/>
      <c r="AE15" s="212"/>
      <c r="AF15" s="212"/>
      <c r="AG15" s="212"/>
      <c r="AH15" s="212"/>
      <c r="AI15" s="212"/>
      <c r="AJ15" s="212"/>
      <c r="AK15" s="212"/>
      <c r="AL15" s="21"/>
      <c r="AM15" s="45"/>
    </row>
    <row r="16" ht="14.25" customHeight="1">
      <c r="A16" s="24">
        <v>9.0</v>
      </c>
      <c r="B16" s="25" t="s">
        <v>181</v>
      </c>
      <c r="C16" s="461">
        <v>1.0</v>
      </c>
      <c r="D16" s="25" t="s">
        <v>280</v>
      </c>
      <c r="E16" s="26" t="s">
        <v>40</v>
      </c>
      <c r="F16" s="47" t="s">
        <v>46</v>
      </c>
      <c r="G16" s="26">
        <v>12.0</v>
      </c>
      <c r="H16" s="26">
        <v>12.0</v>
      </c>
      <c r="I16" s="26">
        <v>12.0</v>
      </c>
      <c r="J16" s="213">
        <v>12.0</v>
      </c>
      <c r="K16" s="213">
        <v>12.0</v>
      </c>
      <c r="L16" s="26"/>
      <c r="M16" s="26">
        <v>12.0</v>
      </c>
      <c r="N16" s="26">
        <v>12.0</v>
      </c>
      <c r="O16" s="26">
        <v>12.0</v>
      </c>
      <c r="P16" s="26">
        <v>12.0</v>
      </c>
      <c r="Q16" s="213">
        <v>12.0</v>
      </c>
      <c r="R16" s="213">
        <v>12.0</v>
      </c>
      <c r="S16" s="26"/>
      <c r="T16" s="26">
        <v>12.0</v>
      </c>
      <c r="U16" s="26">
        <v>12.0</v>
      </c>
      <c r="V16" s="26">
        <v>12.0</v>
      </c>
      <c r="W16" s="26">
        <v>12.0</v>
      </c>
      <c r="X16" s="213">
        <v>12.0</v>
      </c>
      <c r="Y16" s="213">
        <v>12.0</v>
      </c>
      <c r="Z16" s="26"/>
      <c r="AA16" s="26">
        <v>12.0</v>
      </c>
      <c r="AB16" s="26">
        <v>12.0</v>
      </c>
      <c r="AC16" s="26">
        <v>12.0</v>
      </c>
      <c r="AD16" s="26">
        <v>12.0</v>
      </c>
      <c r="AE16" s="213">
        <v>12.0</v>
      </c>
      <c r="AF16" s="213">
        <v>12.0</v>
      </c>
      <c r="AG16" s="26"/>
      <c r="AH16" s="26">
        <v>12.0</v>
      </c>
      <c r="AI16" s="26">
        <v>12.0</v>
      </c>
      <c r="AJ16" s="215">
        <v>12.0</v>
      </c>
      <c r="AK16" s="215">
        <v>12.0</v>
      </c>
      <c r="AL16" s="211">
        <f t="shared" ref="AL16:AL18" si="4">COUNTA(G16:AJ16)</f>
        <v>26</v>
      </c>
      <c r="AM16" s="451"/>
    </row>
    <row r="17" ht="14.25" customHeight="1">
      <c r="A17" s="34">
        <v>10.0</v>
      </c>
      <c r="B17" s="35" t="s">
        <v>49</v>
      </c>
      <c r="C17" s="27">
        <v>1.0</v>
      </c>
      <c r="D17" s="67" t="s">
        <v>291</v>
      </c>
      <c r="E17" s="27" t="s">
        <v>51</v>
      </c>
      <c r="F17" s="47" t="s">
        <v>46</v>
      </c>
      <c r="G17" s="24">
        <v>24.0</v>
      </c>
      <c r="H17" s="24"/>
      <c r="I17" s="24">
        <v>24.0</v>
      </c>
      <c r="J17" s="110"/>
      <c r="K17" s="110">
        <v>24.0</v>
      </c>
      <c r="L17" s="24"/>
      <c r="M17" s="24">
        <v>24.0</v>
      </c>
      <c r="N17" s="24"/>
      <c r="O17" s="24">
        <v>24.0</v>
      </c>
      <c r="P17" s="24"/>
      <c r="Q17" s="110">
        <v>24.0</v>
      </c>
      <c r="R17" s="110"/>
      <c r="S17" s="24">
        <v>24.0</v>
      </c>
      <c r="T17" s="24"/>
      <c r="U17" s="24">
        <v>24.0</v>
      </c>
      <c r="V17" s="24"/>
      <c r="W17" s="24">
        <v>24.0</v>
      </c>
      <c r="X17" s="110"/>
      <c r="Y17" s="110">
        <v>24.0</v>
      </c>
      <c r="Z17" s="24"/>
      <c r="AA17" s="24">
        <v>24.0</v>
      </c>
      <c r="AB17" s="24"/>
      <c r="AC17" s="24">
        <v>24.0</v>
      </c>
      <c r="AD17" s="24"/>
      <c r="AE17" s="110">
        <v>24.0</v>
      </c>
      <c r="AF17" s="110"/>
      <c r="AG17" s="24">
        <v>24.0</v>
      </c>
      <c r="AH17" s="24"/>
      <c r="AI17" s="24">
        <v>24.0</v>
      </c>
      <c r="AJ17" s="24"/>
      <c r="AK17" s="24">
        <v>24.0</v>
      </c>
      <c r="AL17" s="211">
        <f t="shared" si="4"/>
        <v>15</v>
      </c>
      <c r="AM17" s="452">
        <f t="shared" ref="AM17:AM18" si="5">SUM(G17:AJ17)</f>
        <v>360</v>
      </c>
    </row>
    <row r="18" ht="14.25" customHeight="1">
      <c r="A18" s="34">
        <v>11.0</v>
      </c>
      <c r="B18" s="35" t="s">
        <v>49</v>
      </c>
      <c r="C18" s="27">
        <v>1.0</v>
      </c>
      <c r="D18" s="36" t="s">
        <v>54</v>
      </c>
      <c r="E18" s="27" t="s">
        <v>51</v>
      </c>
      <c r="F18" s="47" t="s">
        <v>46</v>
      </c>
      <c r="G18" s="24"/>
      <c r="H18" s="24">
        <v>24.0</v>
      </c>
      <c r="I18" s="24"/>
      <c r="J18" s="110">
        <v>24.0</v>
      </c>
      <c r="K18" s="110"/>
      <c r="L18" s="24">
        <v>24.0</v>
      </c>
      <c r="M18" s="24"/>
      <c r="N18" s="24">
        <v>24.0</v>
      </c>
      <c r="O18" s="24"/>
      <c r="P18" s="24">
        <v>24.0</v>
      </c>
      <c r="Q18" s="110"/>
      <c r="R18" s="110">
        <v>24.0</v>
      </c>
      <c r="S18" s="24"/>
      <c r="T18" s="24">
        <v>24.0</v>
      </c>
      <c r="U18" s="24"/>
      <c r="V18" s="24">
        <v>24.0</v>
      </c>
      <c r="W18" s="24"/>
      <c r="X18" s="110">
        <v>24.0</v>
      </c>
      <c r="Y18" s="110"/>
      <c r="Z18" s="24">
        <v>24.0</v>
      </c>
      <c r="AA18" s="24"/>
      <c r="AB18" s="24">
        <v>24.0</v>
      </c>
      <c r="AC18" s="24"/>
      <c r="AD18" s="24">
        <v>24.0</v>
      </c>
      <c r="AE18" s="110"/>
      <c r="AF18" s="110">
        <v>24.0</v>
      </c>
      <c r="AG18" s="24"/>
      <c r="AH18" s="24">
        <v>24.0</v>
      </c>
      <c r="AI18" s="24"/>
      <c r="AJ18" s="24">
        <v>24.0</v>
      </c>
      <c r="AK18" s="24"/>
      <c r="AL18" s="211">
        <f t="shared" si="4"/>
        <v>15</v>
      </c>
      <c r="AM18" s="452">
        <f t="shared" si="5"/>
        <v>360</v>
      </c>
    </row>
    <row r="19" ht="14.25" customHeight="1">
      <c r="A19" s="34">
        <v>12.0</v>
      </c>
      <c r="B19" s="35" t="s">
        <v>62</v>
      </c>
      <c r="C19" s="27">
        <v>1.0</v>
      </c>
      <c r="D19" s="462" t="s">
        <v>63</v>
      </c>
      <c r="E19" s="27" t="s">
        <v>292</v>
      </c>
      <c r="F19" s="47" t="s">
        <v>46</v>
      </c>
      <c r="G19" s="24">
        <v>12.0</v>
      </c>
      <c r="H19" s="24">
        <v>12.0</v>
      </c>
      <c r="I19" s="24">
        <v>12.0</v>
      </c>
      <c r="J19" s="110">
        <v>12.0</v>
      </c>
      <c r="K19" s="110">
        <v>12.0</v>
      </c>
      <c r="L19" s="24">
        <v>12.0</v>
      </c>
      <c r="M19" s="24"/>
      <c r="N19" s="24">
        <v>12.0</v>
      </c>
      <c r="O19" s="24">
        <v>12.0</v>
      </c>
      <c r="P19" s="24">
        <v>12.0</v>
      </c>
      <c r="Q19" s="110">
        <v>12.0</v>
      </c>
      <c r="R19" s="110">
        <v>12.0</v>
      </c>
      <c r="S19" s="24">
        <v>12.0</v>
      </c>
      <c r="T19" s="24">
        <v>12.0</v>
      </c>
      <c r="U19" s="24"/>
      <c r="V19" s="24">
        <v>12.0</v>
      </c>
      <c r="W19" s="24">
        <v>12.0</v>
      </c>
      <c r="X19" s="110">
        <v>12.0</v>
      </c>
      <c r="Y19" s="110">
        <v>12.0</v>
      </c>
      <c r="Z19" s="24">
        <v>12.0</v>
      </c>
      <c r="AA19" s="24"/>
      <c r="AB19" s="24">
        <v>12.0</v>
      </c>
      <c r="AC19" s="24">
        <v>12.0</v>
      </c>
      <c r="AD19" s="24">
        <v>12.0</v>
      </c>
      <c r="AE19" s="110">
        <v>12.0</v>
      </c>
      <c r="AF19" s="110">
        <v>12.0</v>
      </c>
      <c r="AG19" s="24">
        <v>12.0</v>
      </c>
      <c r="AH19" s="24"/>
      <c r="AI19" s="24">
        <v>12.0</v>
      </c>
      <c r="AJ19" s="24">
        <v>12.0</v>
      </c>
      <c r="AK19" s="24">
        <v>12.0</v>
      </c>
      <c r="AL19" s="211">
        <f t="shared" ref="AL19:AL21" si="6">COUNTA(G19:AK19)</f>
        <v>27</v>
      </c>
      <c r="AM19" s="452">
        <f t="shared" ref="AM19:AM21" si="7">SUM(G19:AK19)</f>
        <v>324</v>
      </c>
    </row>
    <row r="20" ht="14.25" customHeight="1">
      <c r="A20" s="34">
        <v>13.0</v>
      </c>
      <c r="B20" s="35" t="s">
        <v>67</v>
      </c>
      <c r="C20" s="27">
        <v>1.0</v>
      </c>
      <c r="D20" s="36" t="s">
        <v>243</v>
      </c>
      <c r="E20" s="27" t="s">
        <v>70</v>
      </c>
      <c r="F20" s="28" t="s">
        <v>30</v>
      </c>
      <c r="G20" s="24">
        <v>12.0</v>
      </c>
      <c r="H20" s="24">
        <v>12.0</v>
      </c>
      <c r="I20" s="24">
        <v>12.0</v>
      </c>
      <c r="J20" s="110">
        <v>12.0</v>
      </c>
      <c r="K20" s="110">
        <v>12.0</v>
      </c>
      <c r="L20" s="24"/>
      <c r="M20" s="24"/>
      <c r="N20" s="24">
        <v>12.0</v>
      </c>
      <c r="O20" s="24">
        <v>12.0</v>
      </c>
      <c r="P20" s="24">
        <v>12.0</v>
      </c>
      <c r="Q20" s="110">
        <v>12.0</v>
      </c>
      <c r="R20" s="110">
        <v>12.0</v>
      </c>
      <c r="S20" s="24"/>
      <c r="T20" s="24"/>
      <c r="U20" s="24">
        <v>12.0</v>
      </c>
      <c r="V20" s="24">
        <v>12.0</v>
      </c>
      <c r="W20" s="24">
        <v>12.0</v>
      </c>
      <c r="X20" s="110">
        <v>12.0</v>
      </c>
      <c r="Y20" s="110">
        <v>12.0</v>
      </c>
      <c r="Z20" s="24"/>
      <c r="AA20" s="24"/>
      <c r="AB20" s="24">
        <v>12.0</v>
      </c>
      <c r="AC20" s="24">
        <v>12.0</v>
      </c>
      <c r="AD20" s="24">
        <v>12.0</v>
      </c>
      <c r="AE20" s="110">
        <v>12.0</v>
      </c>
      <c r="AF20" s="110">
        <v>12.0</v>
      </c>
      <c r="AG20" s="24"/>
      <c r="AH20" s="24"/>
      <c r="AI20" s="24">
        <v>12.0</v>
      </c>
      <c r="AJ20" s="24">
        <v>12.0</v>
      </c>
      <c r="AK20" s="24">
        <v>12.0</v>
      </c>
      <c r="AL20" s="211">
        <f t="shared" si="6"/>
        <v>23</v>
      </c>
      <c r="AM20" s="452">
        <f t="shared" si="7"/>
        <v>276</v>
      </c>
    </row>
    <row r="21" ht="14.25" customHeight="1">
      <c r="A21" s="34">
        <v>14.0</v>
      </c>
      <c r="B21" s="35" t="s">
        <v>71</v>
      </c>
      <c r="C21" s="27"/>
      <c r="D21" s="36" t="s">
        <v>76</v>
      </c>
      <c r="E21" s="27" t="s">
        <v>73</v>
      </c>
      <c r="F21" s="28" t="s">
        <v>26</v>
      </c>
      <c r="G21" s="24">
        <v>12.0</v>
      </c>
      <c r="H21" s="24">
        <v>12.0</v>
      </c>
      <c r="I21" s="24">
        <v>12.0</v>
      </c>
      <c r="J21" s="110">
        <v>12.0</v>
      </c>
      <c r="K21" s="110">
        <v>12.0</v>
      </c>
      <c r="L21" s="448"/>
      <c r="M21" s="24">
        <v>12.0</v>
      </c>
      <c r="N21" s="24">
        <v>12.0</v>
      </c>
      <c r="O21" s="24">
        <v>12.0</v>
      </c>
      <c r="P21" s="24">
        <v>12.0</v>
      </c>
      <c r="Q21" s="110">
        <v>12.0</v>
      </c>
      <c r="R21" s="110">
        <v>12.0</v>
      </c>
      <c r="S21" s="448"/>
      <c r="T21" s="24">
        <v>12.0</v>
      </c>
      <c r="U21" s="24">
        <v>12.0</v>
      </c>
      <c r="V21" s="24">
        <v>12.0</v>
      </c>
      <c r="W21" s="24">
        <v>12.0</v>
      </c>
      <c r="X21" s="110">
        <v>12.0</v>
      </c>
      <c r="Y21" s="110">
        <v>12.0</v>
      </c>
      <c r="Z21" s="448"/>
      <c r="AA21" s="24">
        <v>12.0</v>
      </c>
      <c r="AB21" s="24">
        <v>12.0</v>
      </c>
      <c r="AC21" s="24">
        <v>12.0</v>
      </c>
      <c r="AD21" s="24">
        <v>12.0</v>
      </c>
      <c r="AE21" s="110">
        <v>12.0</v>
      </c>
      <c r="AF21" s="110">
        <v>12.0</v>
      </c>
      <c r="AG21" s="448"/>
      <c r="AH21" s="24">
        <v>12.0</v>
      </c>
      <c r="AI21" s="24">
        <v>12.0</v>
      </c>
      <c r="AJ21" s="24">
        <v>12.0</v>
      </c>
      <c r="AK21" s="24">
        <v>12.0</v>
      </c>
      <c r="AL21" s="211">
        <f t="shared" si="6"/>
        <v>27</v>
      </c>
      <c r="AM21" s="452">
        <f t="shared" si="7"/>
        <v>324</v>
      </c>
    </row>
    <row r="22" ht="14.25" customHeight="1">
      <c r="A22" s="19"/>
      <c r="B22" s="20" t="s">
        <v>78</v>
      </c>
      <c r="C22" s="21"/>
      <c r="D22" s="77" t="s">
        <v>78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55"/>
    </row>
    <row r="23" ht="14.25" customHeight="1">
      <c r="A23" s="34">
        <v>15.0</v>
      </c>
      <c r="B23" s="35" t="s">
        <v>86</v>
      </c>
      <c r="C23" s="27">
        <v>1.0</v>
      </c>
      <c r="D23" s="37" t="s">
        <v>82</v>
      </c>
      <c r="E23" s="27" t="s">
        <v>102</v>
      </c>
      <c r="F23" s="250" t="s">
        <v>85</v>
      </c>
      <c r="G23" s="24"/>
      <c r="H23" s="24">
        <v>24.0</v>
      </c>
      <c r="I23" s="24"/>
      <c r="J23" s="110"/>
      <c r="K23" s="110">
        <v>24.0</v>
      </c>
      <c r="L23" s="24"/>
      <c r="M23" s="24"/>
      <c r="N23" s="24">
        <v>24.0</v>
      </c>
      <c r="O23" s="24"/>
      <c r="P23" s="24"/>
      <c r="Q23" s="110">
        <v>24.0</v>
      </c>
      <c r="R23" s="110"/>
      <c r="S23" s="24"/>
      <c r="T23" s="24">
        <v>24.0</v>
      </c>
      <c r="U23" s="24"/>
      <c r="V23" s="24"/>
      <c r="W23" s="24">
        <v>24.0</v>
      </c>
      <c r="X23" s="110"/>
      <c r="Y23" s="110"/>
      <c r="Z23" s="24">
        <v>24.0</v>
      </c>
      <c r="AA23" s="24"/>
      <c r="AB23" s="24"/>
      <c r="AC23" s="24">
        <v>24.0</v>
      </c>
      <c r="AD23" s="24"/>
      <c r="AE23" s="110"/>
      <c r="AF23" s="110">
        <v>24.0</v>
      </c>
      <c r="AG23" s="24"/>
      <c r="AH23" s="24"/>
      <c r="AI23" s="24">
        <v>24.0</v>
      </c>
      <c r="AJ23" s="24"/>
      <c r="AK23" s="24"/>
      <c r="AL23" s="211">
        <v>11.0</v>
      </c>
      <c r="AM23" s="452">
        <f>SUM(G23:AL23)</f>
        <v>251</v>
      </c>
    </row>
    <row r="24" ht="14.25" customHeight="1">
      <c r="A24" s="34">
        <v>16.0</v>
      </c>
      <c r="B24" s="35" t="s">
        <v>86</v>
      </c>
      <c r="C24" s="27">
        <v>1.0</v>
      </c>
      <c r="D24" s="189" t="s">
        <v>299</v>
      </c>
      <c r="E24" s="27" t="s">
        <v>102</v>
      </c>
      <c r="F24" s="88"/>
      <c r="G24" s="24"/>
      <c r="H24" s="24"/>
      <c r="I24" s="24">
        <v>24.0</v>
      </c>
      <c r="J24" s="110"/>
      <c r="K24" s="110"/>
      <c r="L24" s="24">
        <v>24.0</v>
      </c>
      <c r="M24" s="24"/>
      <c r="N24" s="24"/>
      <c r="O24" s="24">
        <v>24.0</v>
      </c>
      <c r="P24" s="24"/>
      <c r="Q24" s="110"/>
      <c r="R24" s="110">
        <v>24.0</v>
      </c>
      <c r="S24" s="24"/>
      <c r="T24" s="24">
        <v>24.0</v>
      </c>
      <c r="U24" s="24"/>
      <c r="V24" s="24">
        <v>24.0</v>
      </c>
      <c r="W24" s="24"/>
      <c r="X24" s="110">
        <v>24.0</v>
      </c>
      <c r="Y24" s="110"/>
      <c r="Z24" s="24"/>
      <c r="AA24" s="24">
        <v>24.0</v>
      </c>
      <c r="AB24" s="24"/>
      <c r="AC24" s="24"/>
      <c r="AD24" s="24">
        <v>24.0</v>
      </c>
      <c r="AE24" s="110"/>
      <c r="AF24" s="110"/>
      <c r="AG24" s="24">
        <v>24.0</v>
      </c>
      <c r="AH24" s="24"/>
      <c r="AI24" s="24"/>
      <c r="AJ24" s="24">
        <v>24.0</v>
      </c>
      <c r="AK24" s="24"/>
      <c r="AL24" s="211">
        <f t="shared" ref="AL24:AL26" si="8">COUNTA(G24:AJ24)</f>
        <v>11</v>
      </c>
      <c r="AM24" s="452">
        <f t="shared" ref="AM24:AM26" si="9">SUM(G24:AJ24)</f>
        <v>264</v>
      </c>
    </row>
    <row r="25" ht="14.25" customHeight="1">
      <c r="A25" s="34">
        <v>17.0</v>
      </c>
      <c r="B25" s="35" t="s">
        <v>86</v>
      </c>
      <c r="C25" s="65">
        <v>1.0</v>
      </c>
      <c r="D25" s="37" t="s">
        <v>198</v>
      </c>
      <c r="E25" s="27" t="s">
        <v>102</v>
      </c>
      <c r="F25" s="88"/>
      <c r="G25" s="24">
        <v>24.0</v>
      </c>
      <c r="H25" s="24"/>
      <c r="I25" s="24"/>
      <c r="J25" s="110">
        <v>24.0</v>
      </c>
      <c r="K25" s="110"/>
      <c r="L25" s="24"/>
      <c r="M25" s="24">
        <v>24.0</v>
      </c>
      <c r="N25" s="24"/>
      <c r="O25" s="24"/>
      <c r="P25" s="24">
        <v>24.0</v>
      </c>
      <c r="Q25" s="110"/>
      <c r="R25" s="110"/>
      <c r="S25" s="24">
        <v>24.0</v>
      </c>
      <c r="T25" s="24"/>
      <c r="U25" s="24">
        <v>24.0</v>
      </c>
      <c r="V25" s="24"/>
      <c r="W25" s="24">
        <v>24.0</v>
      </c>
      <c r="X25" s="110"/>
      <c r="Y25" s="110">
        <v>24.0</v>
      </c>
      <c r="Z25" s="24"/>
      <c r="AA25" s="24"/>
      <c r="AB25" s="24">
        <v>24.0</v>
      </c>
      <c r="AC25" s="24"/>
      <c r="AD25" s="24"/>
      <c r="AE25" s="110">
        <v>24.0</v>
      </c>
      <c r="AF25" s="110"/>
      <c r="AG25" s="24"/>
      <c r="AH25" s="24">
        <v>24.0</v>
      </c>
      <c r="AI25" s="24"/>
      <c r="AJ25" s="24"/>
      <c r="AK25" s="24">
        <v>24.0</v>
      </c>
      <c r="AL25" s="211">
        <f t="shared" si="8"/>
        <v>11</v>
      </c>
      <c r="AM25" s="452">
        <f t="shared" si="9"/>
        <v>264</v>
      </c>
    </row>
    <row r="26" ht="14.25" customHeight="1">
      <c r="A26" s="34">
        <v>18.0</v>
      </c>
      <c r="B26" s="35" t="s">
        <v>95</v>
      </c>
      <c r="C26" s="65">
        <v>1.0</v>
      </c>
      <c r="D26" s="90" t="s">
        <v>100</v>
      </c>
      <c r="E26" s="27" t="s">
        <v>102</v>
      </c>
      <c r="F26" s="88"/>
      <c r="G26" s="24"/>
      <c r="H26" s="24">
        <v>24.0</v>
      </c>
      <c r="I26" s="24"/>
      <c r="J26" s="110"/>
      <c r="K26" s="110">
        <v>24.0</v>
      </c>
      <c r="L26" s="24"/>
      <c r="M26" s="24"/>
      <c r="N26" s="24">
        <v>17.0</v>
      </c>
      <c r="O26" s="24">
        <v>17.0</v>
      </c>
      <c r="P26" s="24">
        <v>17.0</v>
      </c>
      <c r="Q26" s="110">
        <v>17.0</v>
      </c>
      <c r="R26" s="110">
        <v>17.0</v>
      </c>
      <c r="S26" s="24"/>
      <c r="T26" s="24"/>
      <c r="U26" s="24">
        <v>24.0</v>
      </c>
      <c r="V26" s="24"/>
      <c r="W26" s="24"/>
      <c r="X26" s="110">
        <v>24.0</v>
      </c>
      <c r="Y26" s="110"/>
      <c r="Z26" s="24"/>
      <c r="AA26" s="24">
        <v>24.0</v>
      </c>
      <c r="AB26" s="24"/>
      <c r="AC26" s="24"/>
      <c r="AD26" s="24">
        <v>24.0</v>
      </c>
      <c r="AE26" s="110"/>
      <c r="AF26" s="110"/>
      <c r="AG26" s="24">
        <v>24.0</v>
      </c>
      <c r="AH26" s="24"/>
      <c r="AI26" s="24"/>
      <c r="AJ26" s="24">
        <v>24.0</v>
      </c>
      <c r="AK26" s="24"/>
      <c r="AL26" s="211">
        <f t="shared" si="8"/>
        <v>13</v>
      </c>
      <c r="AM26" s="457">
        <f t="shared" si="9"/>
        <v>277</v>
      </c>
    </row>
    <row r="27" ht="14.25" customHeight="1">
      <c r="A27" s="34">
        <v>19.0</v>
      </c>
      <c r="B27" s="35" t="s">
        <v>95</v>
      </c>
      <c r="C27" s="65">
        <v>1.0</v>
      </c>
      <c r="D27" s="90" t="s">
        <v>212</v>
      </c>
      <c r="E27" s="27" t="s">
        <v>102</v>
      </c>
      <c r="F27" s="88"/>
      <c r="G27" s="24">
        <v>17.0</v>
      </c>
      <c r="H27" s="24">
        <v>17.0</v>
      </c>
      <c r="I27" s="24">
        <v>17.0</v>
      </c>
      <c r="J27" s="110">
        <v>17.0</v>
      </c>
      <c r="K27" s="110">
        <v>17.0</v>
      </c>
      <c r="L27" s="24"/>
      <c r="M27" s="24"/>
      <c r="N27" s="24">
        <v>24.0</v>
      </c>
      <c r="O27" s="24"/>
      <c r="P27" s="24"/>
      <c r="Q27" s="110">
        <v>24.0</v>
      </c>
      <c r="R27" s="110"/>
      <c r="S27" s="24"/>
      <c r="T27" s="24">
        <v>24.0</v>
      </c>
      <c r="U27" s="24"/>
      <c r="V27" s="24"/>
      <c r="W27" s="24">
        <v>24.0</v>
      </c>
      <c r="X27" s="110"/>
      <c r="Y27" s="110"/>
      <c r="Z27" s="24">
        <v>24.0</v>
      </c>
      <c r="AA27" s="24"/>
      <c r="AB27" s="24"/>
      <c r="AC27" s="24">
        <v>24.0</v>
      </c>
      <c r="AD27" s="24"/>
      <c r="AE27" s="110"/>
      <c r="AF27" s="110">
        <v>24.0</v>
      </c>
      <c r="AG27" s="24"/>
      <c r="AH27" s="24"/>
      <c r="AI27" s="24">
        <v>17.0</v>
      </c>
      <c r="AJ27" s="24">
        <v>17.0</v>
      </c>
      <c r="AK27" s="24">
        <v>17.0</v>
      </c>
      <c r="AL27" s="211">
        <f>COUNTA(G27:AK27)</f>
        <v>15</v>
      </c>
      <c r="AM27" s="457">
        <f>SUM(G27:AK27)</f>
        <v>304</v>
      </c>
    </row>
    <row r="28" ht="14.25" customHeight="1">
      <c r="A28" s="34">
        <v>21.0</v>
      </c>
      <c r="B28" s="97" t="s">
        <v>95</v>
      </c>
      <c r="C28" s="65">
        <v>1.0</v>
      </c>
      <c r="D28" s="90" t="s">
        <v>296</v>
      </c>
      <c r="E28" s="27" t="s">
        <v>269</v>
      </c>
      <c r="F28" s="88"/>
      <c r="G28" s="24"/>
      <c r="H28" s="24"/>
      <c r="I28" s="24">
        <v>24.0</v>
      </c>
      <c r="J28" s="110"/>
      <c r="K28" s="110"/>
      <c r="L28" s="24">
        <v>24.0</v>
      </c>
      <c r="M28" s="24"/>
      <c r="N28" s="24"/>
      <c r="O28" s="24">
        <v>24.0</v>
      </c>
      <c r="P28" s="24"/>
      <c r="Q28" s="110"/>
      <c r="R28" s="110">
        <v>24.0</v>
      </c>
      <c r="S28" s="24"/>
      <c r="T28" s="24"/>
      <c r="U28" s="24">
        <v>17.0</v>
      </c>
      <c r="V28" s="24">
        <v>17.0</v>
      </c>
      <c r="W28" s="24">
        <v>17.0</v>
      </c>
      <c r="X28" s="110">
        <v>17.0</v>
      </c>
      <c r="Y28" s="110">
        <v>17.0</v>
      </c>
      <c r="Z28" s="24"/>
      <c r="AA28" s="24"/>
      <c r="AB28" s="24">
        <v>24.0</v>
      </c>
      <c r="AC28" s="24"/>
      <c r="AD28" s="24"/>
      <c r="AE28" s="110">
        <v>24.0</v>
      </c>
      <c r="AF28" s="110"/>
      <c r="AG28" s="24"/>
      <c r="AH28" s="24">
        <v>24.0</v>
      </c>
      <c r="AI28" s="24"/>
      <c r="AJ28" s="24"/>
      <c r="AK28" s="24">
        <v>24.0</v>
      </c>
      <c r="AL28" s="211">
        <f t="shared" ref="AL28:AL29" si="10">COUNTA(G28:AJ28)</f>
        <v>12</v>
      </c>
      <c r="AM28" s="458">
        <f t="shared" ref="AM28:AM29" si="11">SUM(G28:AJ28)</f>
        <v>253</v>
      </c>
    </row>
    <row r="29" ht="14.25" customHeight="1">
      <c r="A29" s="34">
        <v>20.0</v>
      </c>
      <c r="B29" s="35" t="s">
        <v>95</v>
      </c>
      <c r="C29" s="65">
        <v>1.0</v>
      </c>
      <c r="D29" s="100" t="s">
        <v>267</v>
      </c>
      <c r="E29" s="27" t="s">
        <v>102</v>
      </c>
      <c r="F29" s="450"/>
      <c r="G29" s="24">
        <v>24.0</v>
      </c>
      <c r="H29" s="24"/>
      <c r="I29" s="24"/>
      <c r="J29" s="110">
        <v>24.0</v>
      </c>
      <c r="K29" s="110"/>
      <c r="L29" s="24"/>
      <c r="M29" s="24">
        <v>24.0</v>
      </c>
      <c r="N29" s="24"/>
      <c r="O29" s="24"/>
      <c r="P29" s="24">
        <v>24.0</v>
      </c>
      <c r="Q29" s="110"/>
      <c r="R29" s="110"/>
      <c r="S29" s="24">
        <v>24.0</v>
      </c>
      <c r="T29" s="24"/>
      <c r="U29" s="24"/>
      <c r="V29" s="24">
        <v>24.0</v>
      </c>
      <c r="W29" s="24"/>
      <c r="X29" s="110"/>
      <c r="Y29" s="110">
        <v>24.0</v>
      </c>
      <c r="Z29" s="24"/>
      <c r="AA29" s="24"/>
      <c r="AB29" s="24">
        <v>17.0</v>
      </c>
      <c r="AC29" s="24">
        <v>17.0</v>
      </c>
      <c r="AD29" s="24">
        <v>17.0</v>
      </c>
      <c r="AE29" s="110">
        <v>17.0</v>
      </c>
      <c r="AF29" s="110">
        <v>17.0</v>
      </c>
      <c r="AG29" s="24"/>
      <c r="AH29" s="24"/>
      <c r="AI29" s="24">
        <v>24.0</v>
      </c>
      <c r="AJ29" s="24"/>
      <c r="AK29" s="24"/>
      <c r="AL29" s="211">
        <f t="shared" si="10"/>
        <v>13</v>
      </c>
      <c r="AM29" s="457">
        <f t="shared" si="11"/>
        <v>277</v>
      </c>
    </row>
    <row r="30" ht="14.25" customHeight="1">
      <c r="A30" s="106">
        <v>22.0</v>
      </c>
      <c r="B30" s="64" t="s">
        <v>184</v>
      </c>
      <c r="C30" s="101">
        <v>1.0</v>
      </c>
      <c r="D30" s="102"/>
      <c r="E30" s="101" t="s">
        <v>105</v>
      </c>
      <c r="F30" s="103">
        <v>0.4</v>
      </c>
      <c r="G30" s="106">
        <v>17.0</v>
      </c>
      <c r="H30" s="106">
        <v>17.0</v>
      </c>
      <c r="I30" s="106"/>
      <c r="J30" s="107"/>
      <c r="K30" s="107"/>
      <c r="L30" s="106"/>
      <c r="M30" s="106"/>
      <c r="N30" s="106">
        <v>17.0</v>
      </c>
      <c r="O30" s="106">
        <v>17.0</v>
      </c>
      <c r="P30" s="106">
        <v>17.0</v>
      </c>
      <c r="Q30" s="107"/>
      <c r="R30" s="107"/>
      <c r="S30" s="106"/>
      <c r="T30" s="106">
        <v>17.0</v>
      </c>
      <c r="U30" s="106">
        <v>17.0</v>
      </c>
      <c r="V30" s="106">
        <v>17.0</v>
      </c>
      <c r="W30" s="106"/>
      <c r="X30" s="107"/>
      <c r="Y30" s="107"/>
      <c r="Z30" s="106">
        <v>17.0</v>
      </c>
      <c r="AA30" s="106">
        <v>17.0</v>
      </c>
      <c r="AB30" s="106">
        <v>17.0</v>
      </c>
      <c r="AC30" s="106"/>
      <c r="AD30" s="106"/>
      <c r="AE30" s="107"/>
      <c r="AF30" s="107">
        <v>17.0</v>
      </c>
      <c r="AG30" s="106">
        <v>17.0</v>
      </c>
      <c r="AH30" s="106">
        <v>17.0</v>
      </c>
      <c r="AI30" s="106"/>
      <c r="AJ30" s="106"/>
      <c r="AK30" s="106"/>
      <c r="AL30" s="459">
        <f t="shared" ref="AL30:AL31" si="12">COUNTA(F30:AJ30)</f>
        <v>15</v>
      </c>
      <c r="AM30" s="460">
        <f t="shared" ref="AM30:AM31" si="13">SUM(F30:AJ30)</f>
        <v>238.4</v>
      </c>
    </row>
    <row r="31" ht="14.25" customHeight="1">
      <c r="A31" s="119">
        <v>23.0</v>
      </c>
      <c r="B31" s="137" t="s">
        <v>184</v>
      </c>
      <c r="C31" s="129">
        <v>1.0</v>
      </c>
      <c r="D31" s="102"/>
      <c r="E31" s="121" t="s">
        <v>105</v>
      </c>
      <c r="F31" s="103">
        <v>0.4</v>
      </c>
      <c r="G31" s="106"/>
      <c r="H31" s="106"/>
      <c r="I31" s="106">
        <v>17.0</v>
      </c>
      <c r="J31" s="107">
        <v>17.0</v>
      </c>
      <c r="K31" s="107">
        <v>17.0</v>
      </c>
      <c r="L31" s="106"/>
      <c r="M31" s="106"/>
      <c r="N31" s="106"/>
      <c r="O31" s="106"/>
      <c r="P31" s="106"/>
      <c r="Q31" s="107">
        <v>17.0</v>
      </c>
      <c r="R31" s="107">
        <v>17.0</v>
      </c>
      <c r="S31" s="106">
        <v>17.0</v>
      </c>
      <c r="T31" s="106"/>
      <c r="U31" s="106"/>
      <c r="V31" s="106"/>
      <c r="W31" s="106">
        <v>17.0</v>
      </c>
      <c r="X31" s="107">
        <v>17.0</v>
      </c>
      <c r="Y31" s="107">
        <v>17.0</v>
      </c>
      <c r="Z31" s="106"/>
      <c r="AA31" s="106"/>
      <c r="AB31" s="106"/>
      <c r="AC31" s="106">
        <v>17.0</v>
      </c>
      <c r="AD31" s="106">
        <v>17.0</v>
      </c>
      <c r="AE31" s="107">
        <v>17.0</v>
      </c>
      <c r="AF31" s="107"/>
      <c r="AG31" s="106"/>
      <c r="AH31" s="106"/>
      <c r="AI31" s="106">
        <v>17.0</v>
      </c>
      <c r="AJ31" s="106">
        <v>17.0</v>
      </c>
      <c r="AK31" s="106">
        <v>17.0</v>
      </c>
      <c r="AL31" s="459">
        <f t="shared" si="12"/>
        <v>15</v>
      </c>
      <c r="AM31" s="460">
        <f t="shared" si="13"/>
        <v>238.4</v>
      </c>
    </row>
    <row r="32" ht="17.25" customHeight="1">
      <c r="A32" s="34">
        <v>24.0</v>
      </c>
      <c r="B32" s="36" t="s">
        <v>109</v>
      </c>
      <c r="C32" s="65">
        <v>1.0</v>
      </c>
      <c r="D32" s="90" t="s">
        <v>300</v>
      </c>
      <c r="E32" s="27" t="s">
        <v>111</v>
      </c>
      <c r="F32" s="118" t="s">
        <v>26</v>
      </c>
      <c r="G32" s="453"/>
      <c r="H32" s="24">
        <v>12.0</v>
      </c>
      <c r="I32" s="24">
        <v>12.0</v>
      </c>
      <c r="J32" s="110">
        <v>12.0</v>
      </c>
      <c r="K32" s="110">
        <v>12.0</v>
      </c>
      <c r="L32" s="24">
        <v>12.0</v>
      </c>
      <c r="M32" s="24">
        <v>12.0</v>
      </c>
      <c r="N32" s="453"/>
      <c r="O32" s="24">
        <v>12.0</v>
      </c>
      <c r="P32" s="24">
        <v>12.0</v>
      </c>
      <c r="Q32" s="110">
        <v>12.0</v>
      </c>
      <c r="R32" s="110">
        <v>12.0</v>
      </c>
      <c r="S32" s="24">
        <v>12.0</v>
      </c>
      <c r="T32" s="24">
        <v>12.0</v>
      </c>
      <c r="U32" s="453"/>
      <c r="V32" s="24">
        <v>12.0</v>
      </c>
      <c r="W32" s="24">
        <v>12.0</v>
      </c>
      <c r="X32" s="110">
        <v>12.0</v>
      </c>
      <c r="Y32" s="110">
        <v>12.0</v>
      </c>
      <c r="Z32" s="24">
        <v>12.0</v>
      </c>
      <c r="AA32" s="24">
        <v>12.0</v>
      </c>
      <c r="AB32" s="453"/>
      <c r="AC32" s="24">
        <v>12.0</v>
      </c>
      <c r="AD32" s="24">
        <v>12.0</v>
      </c>
      <c r="AE32" s="110">
        <v>12.0</v>
      </c>
      <c r="AF32" s="110">
        <v>12.0</v>
      </c>
      <c r="AG32" s="24">
        <v>12.0</v>
      </c>
      <c r="AH32" s="24">
        <v>12.0</v>
      </c>
      <c r="AI32" s="453"/>
      <c r="AJ32" s="24">
        <v>12.0</v>
      </c>
      <c r="AK32" s="24">
        <v>12.0</v>
      </c>
      <c r="AL32" s="211">
        <f t="shared" ref="AL32:AL34" si="14">COUNTA(G32:AK32)</f>
        <v>26</v>
      </c>
      <c r="AM32" s="57">
        <f t="shared" ref="AM32:AM34" si="15">SUM(G32:AK32)</f>
        <v>312</v>
      </c>
    </row>
    <row r="33" ht="17.25" customHeight="1">
      <c r="A33" s="34">
        <v>25.0</v>
      </c>
      <c r="B33" s="35" t="s">
        <v>135</v>
      </c>
      <c r="C33" s="65">
        <v>1.0</v>
      </c>
      <c r="D33" s="117" t="s">
        <v>301</v>
      </c>
      <c r="E33" s="27" t="s">
        <v>111</v>
      </c>
      <c r="F33" s="118" t="s">
        <v>26</v>
      </c>
      <c r="G33" s="24">
        <v>12.0</v>
      </c>
      <c r="H33" s="24">
        <v>12.0</v>
      </c>
      <c r="I33" s="24">
        <v>12.0</v>
      </c>
      <c r="J33" s="110">
        <v>12.0</v>
      </c>
      <c r="K33" s="110">
        <v>12.0</v>
      </c>
      <c r="L33" s="24">
        <v>12.0</v>
      </c>
      <c r="M33" s="454"/>
      <c r="N33" s="24">
        <v>12.0</v>
      </c>
      <c r="O33" s="24">
        <v>12.0</v>
      </c>
      <c r="P33" s="24">
        <v>12.0</v>
      </c>
      <c r="Q33" s="110">
        <v>12.0</v>
      </c>
      <c r="R33" s="110">
        <v>12.0</v>
      </c>
      <c r="S33" s="24">
        <v>12.0</v>
      </c>
      <c r="T33" s="454"/>
      <c r="U33" s="24">
        <v>12.0</v>
      </c>
      <c r="V33" s="24">
        <v>12.0</v>
      </c>
      <c r="W33" s="24">
        <v>12.0</v>
      </c>
      <c r="X33" s="110">
        <v>12.0</v>
      </c>
      <c r="Y33" s="110">
        <v>12.0</v>
      </c>
      <c r="Z33" s="24">
        <v>12.0</v>
      </c>
      <c r="AA33" s="454"/>
      <c r="AB33" s="24">
        <v>12.0</v>
      </c>
      <c r="AC33" s="24">
        <v>12.0</v>
      </c>
      <c r="AD33" s="24">
        <v>12.0</v>
      </c>
      <c r="AE33" s="110">
        <v>12.0</v>
      </c>
      <c r="AF33" s="110">
        <v>12.0</v>
      </c>
      <c r="AG33" s="24">
        <v>12.0</v>
      </c>
      <c r="AH33" s="454"/>
      <c r="AI33" s="24">
        <v>12.0</v>
      </c>
      <c r="AJ33" s="24">
        <v>12.0</v>
      </c>
      <c r="AK33" s="24">
        <v>12.0</v>
      </c>
      <c r="AL33" s="211">
        <f t="shared" si="14"/>
        <v>27</v>
      </c>
      <c r="AM33" s="57">
        <f t="shared" si="15"/>
        <v>324</v>
      </c>
    </row>
    <row r="34" ht="20.25" customHeight="1">
      <c r="A34" s="34">
        <v>26.0</v>
      </c>
      <c r="B34" s="35" t="s">
        <v>135</v>
      </c>
      <c r="C34" s="65">
        <v>1.0</v>
      </c>
      <c r="D34" s="90" t="s">
        <v>63</v>
      </c>
      <c r="E34" s="27" t="s">
        <v>73</v>
      </c>
      <c r="F34" s="123" t="s">
        <v>26</v>
      </c>
      <c r="G34" s="24"/>
      <c r="H34" s="24">
        <v>12.0</v>
      </c>
      <c r="I34" s="24">
        <v>12.0</v>
      </c>
      <c r="J34" s="110">
        <v>12.0</v>
      </c>
      <c r="K34" s="110">
        <v>12.0</v>
      </c>
      <c r="L34" s="448">
        <v>12.0</v>
      </c>
      <c r="M34" s="24">
        <v>12.0</v>
      </c>
      <c r="N34" s="24"/>
      <c r="O34" s="24">
        <v>12.0</v>
      </c>
      <c r="P34" s="24">
        <v>12.0</v>
      </c>
      <c r="Q34" s="110">
        <v>12.0</v>
      </c>
      <c r="R34" s="110">
        <v>12.0</v>
      </c>
      <c r="S34" s="448">
        <v>12.0</v>
      </c>
      <c r="T34" s="24">
        <v>12.0</v>
      </c>
      <c r="U34" s="24"/>
      <c r="V34" s="24">
        <v>12.0</v>
      </c>
      <c r="W34" s="24">
        <v>12.0</v>
      </c>
      <c r="X34" s="110">
        <v>12.0</v>
      </c>
      <c r="Y34" s="110">
        <v>12.0</v>
      </c>
      <c r="Z34" s="448">
        <v>12.0</v>
      </c>
      <c r="AA34" s="24">
        <v>12.0</v>
      </c>
      <c r="AB34" s="24"/>
      <c r="AC34" s="24">
        <v>12.0</v>
      </c>
      <c r="AD34" s="24">
        <v>12.0</v>
      </c>
      <c r="AE34" s="110">
        <v>12.0</v>
      </c>
      <c r="AF34" s="110">
        <v>12.0</v>
      </c>
      <c r="AG34" s="448">
        <v>12.0</v>
      </c>
      <c r="AH34" s="24">
        <v>12.0</v>
      </c>
      <c r="AI34" s="24"/>
      <c r="AJ34" s="24">
        <v>12.0</v>
      </c>
      <c r="AK34" s="24">
        <v>12.0</v>
      </c>
      <c r="AL34" s="211">
        <f t="shared" si="14"/>
        <v>26</v>
      </c>
      <c r="AM34" s="57">
        <f t="shared" si="15"/>
        <v>312</v>
      </c>
    </row>
    <row r="35" ht="23.25" customHeight="1">
      <c r="A35" s="124">
        <v>27.0</v>
      </c>
      <c r="B35" s="200" t="s">
        <v>142</v>
      </c>
      <c r="C35" s="65">
        <v>1.0</v>
      </c>
      <c r="D35" s="90" t="s">
        <v>298</v>
      </c>
      <c r="E35" s="65" t="s">
        <v>125</v>
      </c>
      <c r="F35" s="250"/>
      <c r="G35" s="453">
        <v>12.0</v>
      </c>
      <c r="H35" s="24"/>
      <c r="I35" s="24"/>
      <c r="J35" s="110"/>
      <c r="K35" s="110"/>
      <c r="L35" s="24"/>
      <c r="M35" s="454">
        <v>12.0</v>
      </c>
      <c r="N35" s="453">
        <v>12.0</v>
      </c>
      <c r="O35" s="24"/>
      <c r="P35" s="24"/>
      <c r="Q35" s="110"/>
      <c r="R35" s="110"/>
      <c r="S35" s="24"/>
      <c r="T35" s="454">
        <v>12.0</v>
      </c>
      <c r="U35" s="453">
        <v>12.0</v>
      </c>
      <c r="V35" s="24"/>
      <c r="W35" s="24"/>
      <c r="X35" s="110"/>
      <c r="Y35" s="110"/>
      <c r="Z35" s="24"/>
      <c r="AA35" s="454">
        <v>12.0</v>
      </c>
      <c r="AB35" s="453">
        <v>12.0</v>
      </c>
      <c r="AC35" s="24"/>
      <c r="AD35" s="24"/>
      <c r="AE35" s="110"/>
      <c r="AF35" s="110"/>
      <c r="AG35" s="24"/>
      <c r="AH35" s="454">
        <v>12.0</v>
      </c>
      <c r="AI35" s="453">
        <v>12.0</v>
      </c>
      <c r="AJ35" s="24"/>
      <c r="AK35" s="24"/>
      <c r="AL35" s="211">
        <f t="shared" ref="AL35:AL36" si="16">COUNTA(G35:AJ35)</f>
        <v>9</v>
      </c>
      <c r="AM35" s="57">
        <f t="shared" ref="AM35:AM36" si="17">SUM(G35:AJ35)</f>
        <v>108</v>
      </c>
    </row>
    <row r="36" ht="19.5" customHeight="1">
      <c r="A36" s="17"/>
      <c r="B36" s="17"/>
      <c r="C36" s="17"/>
      <c r="D36" s="17"/>
      <c r="E36" s="27" t="s">
        <v>127</v>
      </c>
      <c r="F36" s="17"/>
      <c r="G36" s="24"/>
      <c r="H36" s="456">
        <v>12.0</v>
      </c>
      <c r="I36" s="24">
        <v>12.0</v>
      </c>
      <c r="J36" s="110">
        <v>12.0</v>
      </c>
      <c r="K36" s="110">
        <v>12.0</v>
      </c>
      <c r="L36" s="24"/>
      <c r="M36" s="24"/>
      <c r="N36" s="24"/>
      <c r="O36" s="456">
        <v>12.0</v>
      </c>
      <c r="P36" s="24">
        <v>12.0</v>
      </c>
      <c r="Q36" s="110">
        <v>12.0</v>
      </c>
      <c r="R36" s="110">
        <v>12.0</v>
      </c>
      <c r="S36" s="24"/>
      <c r="T36" s="24"/>
      <c r="U36" s="24"/>
      <c r="V36" s="456">
        <v>12.0</v>
      </c>
      <c r="W36" s="24">
        <v>12.0</v>
      </c>
      <c r="X36" s="110">
        <v>12.0</v>
      </c>
      <c r="Y36" s="110">
        <v>12.0</v>
      </c>
      <c r="Z36" s="24"/>
      <c r="AA36" s="24"/>
      <c r="AB36" s="24"/>
      <c r="AC36" s="456">
        <v>12.0</v>
      </c>
      <c r="AD36" s="24">
        <v>12.0</v>
      </c>
      <c r="AE36" s="110">
        <v>12.0</v>
      </c>
      <c r="AF36" s="110">
        <v>12.0</v>
      </c>
      <c r="AG36" s="24"/>
      <c r="AH36" s="24"/>
      <c r="AI36" s="24"/>
      <c r="AJ36" s="456">
        <v>12.0</v>
      </c>
      <c r="AK36" s="24">
        <v>12.0</v>
      </c>
      <c r="AL36" s="211">
        <f t="shared" si="16"/>
        <v>17</v>
      </c>
      <c r="AM36" s="57">
        <f t="shared" si="17"/>
        <v>204</v>
      </c>
    </row>
    <row r="37" ht="18.75" customHeight="1">
      <c r="A37" s="34">
        <v>28.0</v>
      </c>
      <c r="B37" s="35" t="s">
        <v>144</v>
      </c>
      <c r="C37" s="27">
        <v>1.0</v>
      </c>
      <c r="D37" s="117" t="s">
        <v>131</v>
      </c>
      <c r="E37" s="27" t="s">
        <v>133</v>
      </c>
      <c r="F37" s="123" t="s">
        <v>26</v>
      </c>
      <c r="G37" s="24">
        <v>12.0</v>
      </c>
      <c r="H37" s="456"/>
      <c r="I37" s="24">
        <v>12.0</v>
      </c>
      <c r="J37" s="110">
        <v>12.0</v>
      </c>
      <c r="K37" s="110">
        <v>12.0</v>
      </c>
      <c r="L37" s="24">
        <v>12.0</v>
      </c>
      <c r="M37" s="24">
        <v>12.0</v>
      </c>
      <c r="N37" s="24">
        <v>12.0</v>
      </c>
      <c r="O37" s="456"/>
      <c r="P37" s="24">
        <v>12.0</v>
      </c>
      <c r="Q37" s="110">
        <v>12.0</v>
      </c>
      <c r="R37" s="110">
        <v>12.0</v>
      </c>
      <c r="S37" s="24">
        <v>12.0</v>
      </c>
      <c r="T37" s="24">
        <v>12.0</v>
      </c>
      <c r="U37" s="24">
        <v>12.0</v>
      </c>
      <c r="V37" s="456"/>
      <c r="W37" s="24">
        <v>12.0</v>
      </c>
      <c r="X37" s="110">
        <v>12.0</v>
      </c>
      <c r="Y37" s="110">
        <v>12.0</v>
      </c>
      <c r="Z37" s="24">
        <v>12.0</v>
      </c>
      <c r="AA37" s="24">
        <v>12.0</v>
      </c>
      <c r="AB37" s="24">
        <v>12.0</v>
      </c>
      <c r="AC37" s="456"/>
      <c r="AD37" s="24">
        <v>12.0</v>
      </c>
      <c r="AE37" s="110">
        <v>12.0</v>
      </c>
      <c r="AF37" s="110">
        <v>12.0</v>
      </c>
      <c r="AG37" s="24">
        <v>12.0</v>
      </c>
      <c r="AH37" s="24">
        <v>12.0</v>
      </c>
      <c r="AI37" s="24">
        <v>12.0</v>
      </c>
      <c r="AJ37" s="456"/>
      <c r="AK37" s="24">
        <v>12.0</v>
      </c>
      <c r="AL37" s="211">
        <f>COUNTA(G37:AK37)</f>
        <v>26</v>
      </c>
      <c r="AM37" s="57">
        <f>SUM(G37:AK37)</f>
        <v>312</v>
      </c>
    </row>
    <row r="38" ht="19.5" customHeight="1">
      <c r="A38" s="34">
        <v>30.0</v>
      </c>
      <c r="B38" s="35" t="s">
        <v>136</v>
      </c>
      <c r="C38" s="27">
        <v>1.0</v>
      </c>
      <c r="D38" s="117" t="s">
        <v>145</v>
      </c>
      <c r="E38" s="26" t="s">
        <v>138</v>
      </c>
      <c r="F38" s="28" t="s">
        <v>26</v>
      </c>
      <c r="G38" s="24">
        <v>11.0</v>
      </c>
      <c r="H38" s="24">
        <v>11.0</v>
      </c>
      <c r="I38" s="24">
        <v>11.0</v>
      </c>
      <c r="J38" s="110">
        <v>11.0</v>
      </c>
      <c r="K38" s="110">
        <v>11.0</v>
      </c>
      <c r="L38" s="24"/>
      <c r="M38" s="24">
        <v>11.0</v>
      </c>
      <c r="N38" s="24">
        <v>11.0</v>
      </c>
      <c r="O38" s="24">
        <v>11.0</v>
      </c>
      <c r="P38" s="24">
        <v>11.0</v>
      </c>
      <c r="Q38" s="110">
        <v>11.0</v>
      </c>
      <c r="R38" s="110">
        <v>11.0</v>
      </c>
      <c r="S38" s="24"/>
      <c r="T38" s="24">
        <v>11.0</v>
      </c>
      <c r="U38" s="24">
        <v>11.0</v>
      </c>
      <c r="V38" s="24">
        <v>11.0</v>
      </c>
      <c r="W38" s="24">
        <v>11.0</v>
      </c>
      <c r="X38" s="110">
        <v>11.0</v>
      </c>
      <c r="Y38" s="110">
        <v>11.0</v>
      </c>
      <c r="Z38" s="24"/>
      <c r="AA38" s="24">
        <v>11.0</v>
      </c>
      <c r="AB38" s="24">
        <v>11.0</v>
      </c>
      <c r="AC38" s="24">
        <v>11.0</v>
      </c>
      <c r="AD38" s="24">
        <v>11.0</v>
      </c>
      <c r="AE38" s="110">
        <v>11.0</v>
      </c>
      <c r="AF38" s="110">
        <v>11.0</v>
      </c>
      <c r="AG38" s="24"/>
      <c r="AH38" s="24">
        <v>11.0</v>
      </c>
      <c r="AI38" s="24">
        <v>11.0</v>
      </c>
      <c r="AJ38" s="24">
        <v>11.0</v>
      </c>
      <c r="AK38" s="24">
        <v>11.0</v>
      </c>
      <c r="AL38" s="461">
        <v>26.0</v>
      </c>
      <c r="AM38" s="57">
        <f>SUM(G38:AL38)</f>
        <v>323</v>
      </c>
    </row>
    <row r="39" ht="14.25" customHeight="1">
      <c r="A39" s="21"/>
      <c r="B39" s="20" t="s">
        <v>140</v>
      </c>
      <c r="C39" s="21"/>
      <c r="D39" s="20" t="s">
        <v>140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2"/>
      <c r="AD39" s="212"/>
      <c r="AE39" s="212"/>
      <c r="AF39" s="212"/>
      <c r="AG39" s="212"/>
      <c r="AH39" s="212"/>
      <c r="AI39" s="212"/>
      <c r="AJ39" s="212"/>
      <c r="AK39" s="212"/>
      <c r="AL39" s="21"/>
      <c r="AM39" s="45"/>
    </row>
    <row r="40" ht="14.25" customHeight="1">
      <c r="A40" s="34">
        <v>31.0</v>
      </c>
      <c r="B40" s="35" t="s">
        <v>140</v>
      </c>
      <c r="C40" s="27">
        <v>1.0</v>
      </c>
      <c r="D40" s="117" t="s">
        <v>302</v>
      </c>
      <c r="E40" s="139" t="s">
        <v>51</v>
      </c>
      <c r="F40" s="28" t="s">
        <v>85</v>
      </c>
      <c r="G40" s="24"/>
      <c r="H40" s="24">
        <v>24.0</v>
      </c>
      <c r="I40" s="24"/>
      <c r="J40" s="110"/>
      <c r="K40" s="110">
        <v>24.0</v>
      </c>
      <c r="L40" s="24"/>
      <c r="M40" s="24"/>
      <c r="N40" s="24">
        <v>24.0</v>
      </c>
      <c r="O40" s="24"/>
      <c r="P40" s="24"/>
      <c r="Q40" s="110">
        <v>24.0</v>
      </c>
      <c r="R40" s="110"/>
      <c r="S40" s="24"/>
      <c r="T40" s="24">
        <v>24.0</v>
      </c>
      <c r="U40" s="24"/>
      <c r="V40" s="24"/>
      <c r="W40" s="24">
        <v>24.0</v>
      </c>
      <c r="X40" s="110"/>
      <c r="Y40" s="110"/>
      <c r="Z40" s="24">
        <v>24.0</v>
      </c>
      <c r="AA40" s="24"/>
      <c r="AB40" s="24"/>
      <c r="AC40" s="24">
        <v>24.0</v>
      </c>
      <c r="AD40" s="24"/>
      <c r="AE40" s="110"/>
      <c r="AF40" s="110">
        <v>24.0</v>
      </c>
      <c r="AG40" s="24"/>
      <c r="AH40" s="24"/>
      <c r="AI40" s="24">
        <v>24.0</v>
      </c>
      <c r="AJ40" s="24"/>
      <c r="AK40" s="24"/>
      <c r="AL40" s="211">
        <f t="shared" ref="AL40:AL42" si="18">COUNTA(G40:AJ40)</f>
        <v>10</v>
      </c>
      <c r="AM40" s="57">
        <f t="shared" ref="AM40:AM42" si="19">SUM(G40:AJ40)</f>
        <v>240</v>
      </c>
    </row>
    <row r="41" ht="14.25" customHeight="1">
      <c r="A41" s="24">
        <v>32.0</v>
      </c>
      <c r="B41" s="35" t="s">
        <v>140</v>
      </c>
      <c r="C41" s="27">
        <v>1.0</v>
      </c>
      <c r="D41" s="117" t="s">
        <v>303</v>
      </c>
      <c r="E41" s="139" t="s">
        <v>51</v>
      </c>
      <c r="F41" s="28" t="s">
        <v>85</v>
      </c>
      <c r="G41" s="24">
        <v>24.0</v>
      </c>
      <c r="H41" s="24"/>
      <c r="I41" s="24"/>
      <c r="J41" s="110">
        <v>24.0</v>
      </c>
      <c r="K41" s="110"/>
      <c r="L41" s="24"/>
      <c r="M41" s="24">
        <v>24.0</v>
      </c>
      <c r="N41" s="24"/>
      <c r="O41" s="24"/>
      <c r="P41" s="24">
        <v>24.0</v>
      </c>
      <c r="Q41" s="110"/>
      <c r="R41" s="110"/>
      <c r="S41" s="24">
        <v>24.0</v>
      </c>
      <c r="T41" s="24"/>
      <c r="U41" s="24"/>
      <c r="V41" s="24">
        <v>24.0</v>
      </c>
      <c r="W41" s="24"/>
      <c r="X41" s="110"/>
      <c r="Y41" s="110">
        <v>24.0</v>
      </c>
      <c r="Z41" s="24"/>
      <c r="AA41" s="24"/>
      <c r="AB41" s="24">
        <v>24.0</v>
      </c>
      <c r="AC41" s="24"/>
      <c r="AD41" s="24"/>
      <c r="AE41" s="110">
        <v>24.0</v>
      </c>
      <c r="AF41" s="110"/>
      <c r="AG41" s="24"/>
      <c r="AH41" s="24">
        <v>24.0</v>
      </c>
      <c r="AI41" s="24"/>
      <c r="AJ41" s="24"/>
      <c r="AK41" s="24"/>
      <c r="AL41" s="211">
        <f t="shared" si="18"/>
        <v>10</v>
      </c>
      <c r="AM41" s="57">
        <f t="shared" si="19"/>
        <v>240</v>
      </c>
    </row>
    <row r="42" ht="14.25" customHeight="1">
      <c r="A42" s="24">
        <v>33.0</v>
      </c>
      <c r="B42" s="35" t="s">
        <v>140</v>
      </c>
      <c r="C42" s="27">
        <v>1.0</v>
      </c>
      <c r="D42" s="117" t="s">
        <v>145</v>
      </c>
      <c r="E42" s="139" t="s">
        <v>51</v>
      </c>
      <c r="F42" s="28" t="s">
        <v>85</v>
      </c>
      <c r="G42" s="24"/>
      <c r="H42" s="24"/>
      <c r="I42" s="24">
        <v>24.0</v>
      </c>
      <c r="J42" s="110"/>
      <c r="K42" s="110"/>
      <c r="L42" s="24">
        <v>24.0</v>
      </c>
      <c r="M42" s="24"/>
      <c r="N42" s="24"/>
      <c r="O42" s="24">
        <v>24.0</v>
      </c>
      <c r="P42" s="24"/>
      <c r="Q42" s="110"/>
      <c r="R42" s="110">
        <v>24.0</v>
      </c>
      <c r="S42" s="24"/>
      <c r="T42" s="24"/>
      <c r="U42" s="24">
        <v>24.0</v>
      </c>
      <c r="V42" s="24"/>
      <c r="W42" s="24"/>
      <c r="X42" s="110">
        <v>24.0</v>
      </c>
      <c r="Y42" s="110"/>
      <c r="Z42" s="24"/>
      <c r="AA42" s="24">
        <v>24.0</v>
      </c>
      <c r="AB42" s="24"/>
      <c r="AC42" s="24"/>
      <c r="AD42" s="24">
        <v>24.0</v>
      </c>
      <c r="AE42" s="110"/>
      <c r="AF42" s="110"/>
      <c r="AG42" s="24">
        <v>24.0</v>
      </c>
      <c r="AH42" s="24"/>
      <c r="AI42" s="24"/>
      <c r="AJ42" s="24">
        <v>24.0</v>
      </c>
      <c r="AK42" s="24"/>
      <c r="AL42" s="211">
        <f t="shared" si="18"/>
        <v>10</v>
      </c>
      <c r="AM42" s="57">
        <f t="shared" si="19"/>
        <v>240</v>
      </c>
    </row>
    <row r="43" ht="14.25" customHeight="1">
      <c r="A43" s="142"/>
      <c r="B43" s="143" t="s">
        <v>151</v>
      </c>
      <c r="C43" s="144">
        <v>33.0</v>
      </c>
      <c r="D43" s="143" t="s">
        <v>152</v>
      </c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21"/>
      <c r="AM43" s="45"/>
    </row>
    <row r="44" ht="14.25" customHeight="1">
      <c r="A44" s="142"/>
      <c r="B44" s="146" t="s">
        <v>154</v>
      </c>
      <c r="C44" s="147"/>
      <c r="D44" s="147"/>
      <c r="E44" s="147"/>
      <c r="F44" s="148"/>
      <c r="G44" s="144" t="s">
        <v>155</v>
      </c>
      <c r="H44" s="144" t="s">
        <v>155</v>
      </c>
      <c r="I44" s="144" t="s">
        <v>155</v>
      </c>
      <c r="J44" s="144" t="s">
        <v>155</v>
      </c>
      <c r="K44" s="144" t="s">
        <v>155</v>
      </c>
      <c r="L44" s="144" t="s">
        <v>155</v>
      </c>
      <c r="M44" s="144" t="s">
        <v>155</v>
      </c>
      <c r="N44" s="144" t="s">
        <v>155</v>
      </c>
      <c r="O44" s="144" t="s">
        <v>155</v>
      </c>
      <c r="P44" s="144" t="s">
        <v>155</v>
      </c>
      <c r="Q44" s="144" t="s">
        <v>155</v>
      </c>
      <c r="R44" s="144" t="s">
        <v>155</v>
      </c>
      <c r="S44" s="144" t="s">
        <v>155</v>
      </c>
      <c r="T44" s="144" t="s">
        <v>155</v>
      </c>
      <c r="U44" s="144" t="s">
        <v>155</v>
      </c>
      <c r="V44" s="144" t="s">
        <v>155</v>
      </c>
      <c r="W44" s="144" t="s">
        <v>155</v>
      </c>
      <c r="X44" s="144" t="s">
        <v>155</v>
      </c>
      <c r="Y44" s="144" t="s">
        <v>155</v>
      </c>
      <c r="Z44" s="144" t="s">
        <v>155</v>
      </c>
      <c r="AA44" s="144" t="s">
        <v>155</v>
      </c>
      <c r="AB44" s="144" t="s">
        <v>155</v>
      </c>
      <c r="AC44" s="144" t="s">
        <v>155</v>
      </c>
      <c r="AD44" s="144" t="s">
        <v>155</v>
      </c>
      <c r="AE44" s="144" t="s">
        <v>155</v>
      </c>
      <c r="AF44" s="144" t="s">
        <v>155</v>
      </c>
      <c r="AG44" s="144" t="s">
        <v>155</v>
      </c>
      <c r="AH44" s="144" t="s">
        <v>155</v>
      </c>
      <c r="AI44" s="144" t="s">
        <v>155</v>
      </c>
      <c r="AJ44" s="144" t="s">
        <v>155</v>
      </c>
      <c r="AK44" s="144"/>
      <c r="AL44" s="21"/>
      <c r="AM44" s="45"/>
    </row>
    <row r="45" ht="14.25" customHeight="1">
      <c r="A45" s="142"/>
      <c r="B45" s="146" t="s">
        <v>156</v>
      </c>
      <c r="C45" s="147"/>
      <c r="D45" s="147"/>
      <c r="E45" s="147"/>
      <c r="F45" s="148"/>
      <c r="G45" s="144">
        <f t="shared" ref="G45:AJ45" si="20">COUNTA(#REF!,#REF!,#REF!,#REF!,#REF!)</f>
        <v>5</v>
      </c>
      <c r="H45" s="144">
        <f t="shared" si="20"/>
        <v>5</v>
      </c>
      <c r="I45" s="144">
        <f t="shared" si="20"/>
        <v>5</v>
      </c>
      <c r="J45" s="144">
        <f t="shared" si="20"/>
        <v>5</v>
      </c>
      <c r="K45" s="144">
        <f t="shared" si="20"/>
        <v>5</v>
      </c>
      <c r="L45" s="144">
        <f t="shared" si="20"/>
        <v>5</v>
      </c>
      <c r="M45" s="144">
        <f t="shared" si="20"/>
        <v>5</v>
      </c>
      <c r="N45" s="144">
        <f t="shared" si="20"/>
        <v>5</v>
      </c>
      <c r="O45" s="144">
        <f t="shared" si="20"/>
        <v>5</v>
      </c>
      <c r="P45" s="144">
        <f t="shared" si="20"/>
        <v>5</v>
      </c>
      <c r="Q45" s="144">
        <f t="shared" si="20"/>
        <v>5</v>
      </c>
      <c r="R45" s="144">
        <f t="shared" si="20"/>
        <v>5</v>
      </c>
      <c r="S45" s="144">
        <f t="shared" si="20"/>
        <v>5</v>
      </c>
      <c r="T45" s="144">
        <f t="shared" si="20"/>
        <v>5</v>
      </c>
      <c r="U45" s="144">
        <f t="shared" si="20"/>
        <v>5</v>
      </c>
      <c r="V45" s="144">
        <f t="shared" si="20"/>
        <v>5</v>
      </c>
      <c r="W45" s="144">
        <f t="shared" si="20"/>
        <v>5</v>
      </c>
      <c r="X45" s="144">
        <f t="shared" si="20"/>
        <v>5</v>
      </c>
      <c r="Y45" s="144">
        <f t="shared" si="20"/>
        <v>5</v>
      </c>
      <c r="Z45" s="144">
        <f t="shared" si="20"/>
        <v>5</v>
      </c>
      <c r="AA45" s="144">
        <f t="shared" si="20"/>
        <v>5</v>
      </c>
      <c r="AB45" s="144">
        <f t="shared" si="20"/>
        <v>5</v>
      </c>
      <c r="AC45" s="144">
        <f t="shared" si="20"/>
        <v>5</v>
      </c>
      <c r="AD45" s="144">
        <f t="shared" si="20"/>
        <v>5</v>
      </c>
      <c r="AE45" s="144">
        <f t="shared" si="20"/>
        <v>5</v>
      </c>
      <c r="AF45" s="144">
        <f t="shared" si="20"/>
        <v>5</v>
      </c>
      <c r="AG45" s="144">
        <f t="shared" si="20"/>
        <v>5</v>
      </c>
      <c r="AH45" s="144">
        <f t="shared" si="20"/>
        <v>5</v>
      </c>
      <c r="AI45" s="144">
        <f t="shared" si="20"/>
        <v>5</v>
      </c>
      <c r="AJ45" s="144">
        <f t="shared" si="20"/>
        <v>5</v>
      </c>
      <c r="AK45" s="144"/>
      <c r="AL45" s="21"/>
      <c r="AM45" s="45"/>
    </row>
    <row r="46" ht="14.25" customHeight="1">
      <c r="A46" s="142"/>
      <c r="B46" s="146" t="s">
        <v>157</v>
      </c>
      <c r="C46" s="147"/>
      <c r="D46" s="147"/>
      <c r="E46" s="147"/>
      <c r="F46" s="148"/>
      <c r="G46" s="269">
        <f t="shared" ref="G46:AJ46" si="21">COUNTA(#REF!,#REF!)</f>
        <v>2</v>
      </c>
      <c r="H46" s="269">
        <f t="shared" si="21"/>
        <v>2</v>
      </c>
      <c r="I46" s="269">
        <f t="shared" si="21"/>
        <v>2</v>
      </c>
      <c r="J46" s="269">
        <f t="shared" si="21"/>
        <v>2</v>
      </c>
      <c r="K46" s="269">
        <f t="shared" si="21"/>
        <v>2</v>
      </c>
      <c r="L46" s="269">
        <f t="shared" si="21"/>
        <v>2</v>
      </c>
      <c r="M46" s="269">
        <f t="shared" si="21"/>
        <v>2</v>
      </c>
      <c r="N46" s="269">
        <f t="shared" si="21"/>
        <v>2</v>
      </c>
      <c r="O46" s="269">
        <f t="shared" si="21"/>
        <v>2</v>
      </c>
      <c r="P46" s="269">
        <f t="shared" si="21"/>
        <v>2</v>
      </c>
      <c r="Q46" s="269">
        <f t="shared" si="21"/>
        <v>2</v>
      </c>
      <c r="R46" s="269">
        <f t="shared" si="21"/>
        <v>2</v>
      </c>
      <c r="S46" s="269">
        <f t="shared" si="21"/>
        <v>2</v>
      </c>
      <c r="T46" s="269">
        <f t="shared" si="21"/>
        <v>2</v>
      </c>
      <c r="U46" s="269">
        <f t="shared" si="21"/>
        <v>2</v>
      </c>
      <c r="V46" s="269">
        <f t="shared" si="21"/>
        <v>2</v>
      </c>
      <c r="W46" s="269">
        <f t="shared" si="21"/>
        <v>2</v>
      </c>
      <c r="X46" s="269">
        <f t="shared" si="21"/>
        <v>2</v>
      </c>
      <c r="Y46" s="269">
        <f t="shared" si="21"/>
        <v>2</v>
      </c>
      <c r="Z46" s="269">
        <f t="shared" si="21"/>
        <v>2</v>
      </c>
      <c r="AA46" s="269">
        <f t="shared" si="21"/>
        <v>2</v>
      </c>
      <c r="AB46" s="269">
        <f t="shared" si="21"/>
        <v>2</v>
      </c>
      <c r="AC46" s="269">
        <f t="shared" si="21"/>
        <v>2</v>
      </c>
      <c r="AD46" s="269">
        <f t="shared" si="21"/>
        <v>2</v>
      </c>
      <c r="AE46" s="269">
        <f t="shared" si="21"/>
        <v>2</v>
      </c>
      <c r="AF46" s="269">
        <f t="shared" si="21"/>
        <v>2</v>
      </c>
      <c r="AG46" s="269">
        <f t="shared" si="21"/>
        <v>2</v>
      </c>
      <c r="AH46" s="269">
        <f t="shared" si="21"/>
        <v>2</v>
      </c>
      <c r="AI46" s="269">
        <f t="shared" si="21"/>
        <v>2</v>
      </c>
      <c r="AJ46" s="269">
        <f t="shared" si="21"/>
        <v>2</v>
      </c>
      <c r="AK46" s="269"/>
      <c r="AL46" s="21"/>
      <c r="AM46" s="45"/>
    </row>
    <row r="47" ht="14.25" customHeight="1">
      <c r="A47" s="2"/>
      <c r="B47" s="3"/>
      <c r="C47" s="2"/>
      <c r="D47" s="2"/>
      <c r="E47" s="2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280"/>
      <c r="AM47" s="11"/>
    </row>
    <row r="48" ht="14.25" customHeight="1">
      <c r="A48" s="152"/>
      <c r="B48" s="153"/>
      <c r="C48" s="154"/>
      <c r="D48" s="155" t="s">
        <v>159</v>
      </c>
      <c r="E48" s="155"/>
      <c r="F48" s="156"/>
      <c r="G48" s="213">
        <f t="shared" ref="G48:AG48" si="22">COUNTA(G10,G11:G15,#REF!,G23:G24,G39,G22:G37,G28)</f>
        <v>13</v>
      </c>
      <c r="H48" s="213">
        <f t="shared" si="22"/>
        <v>14</v>
      </c>
      <c r="I48" s="213">
        <f t="shared" si="22"/>
        <v>17</v>
      </c>
      <c r="J48" s="213">
        <f t="shared" si="22"/>
        <v>11</v>
      </c>
      <c r="K48" s="213">
        <f t="shared" si="22"/>
        <v>12</v>
      </c>
      <c r="L48" s="213">
        <f t="shared" si="22"/>
        <v>14</v>
      </c>
      <c r="M48" s="213">
        <f t="shared" si="22"/>
        <v>11</v>
      </c>
      <c r="N48" s="213">
        <f t="shared" si="22"/>
        <v>14</v>
      </c>
      <c r="O48" s="213">
        <f t="shared" si="22"/>
        <v>16</v>
      </c>
      <c r="P48" s="213">
        <f t="shared" si="22"/>
        <v>15</v>
      </c>
      <c r="Q48" s="213">
        <f t="shared" si="22"/>
        <v>12</v>
      </c>
      <c r="R48" s="213">
        <f t="shared" si="22"/>
        <v>13</v>
      </c>
      <c r="S48" s="213">
        <f t="shared" si="22"/>
        <v>13</v>
      </c>
      <c r="T48" s="213">
        <f t="shared" si="22"/>
        <v>15</v>
      </c>
      <c r="U48" s="213">
        <f t="shared" si="22"/>
        <v>14</v>
      </c>
      <c r="V48" s="213">
        <f t="shared" si="22"/>
        <v>15</v>
      </c>
      <c r="W48" s="213">
        <f t="shared" si="22"/>
        <v>18</v>
      </c>
      <c r="X48" s="213">
        <f t="shared" si="22"/>
        <v>13</v>
      </c>
      <c r="Y48" s="213">
        <f t="shared" si="22"/>
        <v>12</v>
      </c>
      <c r="Z48" s="213">
        <f t="shared" si="22"/>
        <v>14</v>
      </c>
      <c r="AA48" s="213">
        <f t="shared" si="22"/>
        <v>14</v>
      </c>
      <c r="AB48" s="213">
        <f t="shared" si="22"/>
        <v>14</v>
      </c>
      <c r="AC48" s="213">
        <f t="shared" si="22"/>
        <v>14</v>
      </c>
      <c r="AD48" s="213">
        <f t="shared" si="22"/>
        <v>16</v>
      </c>
      <c r="AE48" s="213">
        <f t="shared" si="22"/>
        <v>12</v>
      </c>
      <c r="AF48" s="213">
        <f t="shared" si="22"/>
        <v>12</v>
      </c>
      <c r="AG48" s="213">
        <f t="shared" si="22"/>
        <v>14</v>
      </c>
      <c r="AH48" s="213"/>
      <c r="AI48" s="213"/>
      <c r="AJ48" s="213"/>
      <c r="AK48" s="213"/>
      <c r="AL48" s="287">
        <f t="shared" ref="AL48:AL51" si="24">SUM(G48:AJ48)</f>
        <v>372</v>
      </c>
      <c r="AM48" s="158">
        <v>250.0</v>
      </c>
    </row>
    <row r="49" ht="14.25" customHeight="1">
      <c r="A49" s="159"/>
      <c r="B49" s="160"/>
      <c r="C49" s="161"/>
      <c r="D49" s="162" t="s">
        <v>160</v>
      </c>
      <c r="E49" s="162"/>
      <c r="F49" s="163"/>
      <c r="G49" s="289">
        <f>COUNTA(G10,#REF!,#REF!,H15,G22:G37,G23:G39)</f>
        <v>18</v>
      </c>
      <c r="H49" s="289">
        <f>COUNTA(H10,#REF!,#REF!,#REF!,H22:H37,H23:H39)</f>
        <v>21</v>
      </c>
      <c r="I49" s="289">
        <f t="shared" ref="I49:AG49" si="23">COUNTA(I10,#REF!,#REF!,I15,I22:I37,I23:I39)</f>
        <v>22</v>
      </c>
      <c r="J49" s="289">
        <f t="shared" si="23"/>
        <v>21</v>
      </c>
      <c r="K49" s="289">
        <f t="shared" si="23"/>
        <v>21</v>
      </c>
      <c r="L49" s="289">
        <f t="shared" si="23"/>
        <v>15</v>
      </c>
      <c r="M49" s="289">
        <f t="shared" si="23"/>
        <v>16</v>
      </c>
      <c r="N49" s="289">
        <f t="shared" si="23"/>
        <v>18</v>
      </c>
      <c r="O49" s="289">
        <f t="shared" si="23"/>
        <v>20</v>
      </c>
      <c r="P49" s="289">
        <f t="shared" si="23"/>
        <v>22</v>
      </c>
      <c r="Q49" s="289">
        <f t="shared" si="23"/>
        <v>21</v>
      </c>
      <c r="R49" s="289">
        <f t="shared" si="23"/>
        <v>21</v>
      </c>
      <c r="S49" s="289">
        <f t="shared" si="23"/>
        <v>17</v>
      </c>
      <c r="T49" s="289">
        <f t="shared" si="23"/>
        <v>20</v>
      </c>
      <c r="U49" s="289">
        <f t="shared" si="23"/>
        <v>18</v>
      </c>
      <c r="V49" s="289">
        <f t="shared" si="23"/>
        <v>20</v>
      </c>
      <c r="W49" s="289">
        <f t="shared" si="23"/>
        <v>24</v>
      </c>
      <c r="X49" s="289">
        <f t="shared" si="23"/>
        <v>21</v>
      </c>
      <c r="Y49" s="289">
        <f t="shared" si="23"/>
        <v>21</v>
      </c>
      <c r="Z49" s="289">
        <f t="shared" si="23"/>
        <v>17</v>
      </c>
      <c r="AA49" s="289">
        <f t="shared" si="23"/>
        <v>18</v>
      </c>
      <c r="AB49" s="289">
        <f t="shared" si="23"/>
        <v>18</v>
      </c>
      <c r="AC49" s="289">
        <f t="shared" si="23"/>
        <v>20</v>
      </c>
      <c r="AD49" s="289">
        <f t="shared" si="23"/>
        <v>22</v>
      </c>
      <c r="AE49" s="289">
        <f t="shared" si="23"/>
        <v>21</v>
      </c>
      <c r="AF49" s="289">
        <f t="shared" si="23"/>
        <v>21</v>
      </c>
      <c r="AG49" s="289">
        <f t="shared" si="23"/>
        <v>17</v>
      </c>
      <c r="AH49" s="289"/>
      <c r="AI49" s="289"/>
      <c r="AJ49" s="289"/>
      <c r="AK49" s="289"/>
      <c r="AL49" s="294">
        <f t="shared" si="24"/>
        <v>531</v>
      </c>
      <c r="AM49" s="158"/>
    </row>
    <row r="50" ht="14.25" customHeight="1">
      <c r="A50" s="166"/>
      <c r="B50" s="167"/>
      <c r="C50" s="168"/>
      <c r="D50" s="169" t="s">
        <v>161</v>
      </c>
      <c r="E50" s="169"/>
      <c r="F50" s="170"/>
      <c r="G50" s="295">
        <f t="shared" ref="G50:AG50" si="25">COUNTA(G22:G37,G28,G39:G40)</f>
        <v>7</v>
      </c>
      <c r="H50" s="295">
        <f t="shared" si="25"/>
        <v>9</v>
      </c>
      <c r="I50" s="295">
        <f t="shared" si="25"/>
        <v>10</v>
      </c>
      <c r="J50" s="295">
        <f t="shared" si="25"/>
        <v>9</v>
      </c>
      <c r="K50" s="295">
        <f t="shared" si="25"/>
        <v>10</v>
      </c>
      <c r="L50" s="295">
        <f t="shared" si="25"/>
        <v>7</v>
      </c>
      <c r="M50" s="295">
        <f t="shared" si="25"/>
        <v>6</v>
      </c>
      <c r="N50" s="295">
        <f t="shared" si="25"/>
        <v>8</v>
      </c>
      <c r="O50" s="295">
        <f t="shared" si="25"/>
        <v>9</v>
      </c>
      <c r="P50" s="295">
        <f t="shared" si="25"/>
        <v>9</v>
      </c>
      <c r="Q50" s="295">
        <f t="shared" si="25"/>
        <v>10</v>
      </c>
      <c r="R50" s="295">
        <f t="shared" si="25"/>
        <v>10</v>
      </c>
      <c r="S50" s="295">
        <f t="shared" si="25"/>
        <v>7</v>
      </c>
      <c r="T50" s="295">
        <f t="shared" si="25"/>
        <v>9</v>
      </c>
      <c r="U50" s="295">
        <f t="shared" si="25"/>
        <v>8</v>
      </c>
      <c r="V50" s="295">
        <f t="shared" si="25"/>
        <v>9</v>
      </c>
      <c r="W50" s="295">
        <f t="shared" si="25"/>
        <v>12</v>
      </c>
      <c r="X50" s="295">
        <f t="shared" si="25"/>
        <v>10</v>
      </c>
      <c r="Y50" s="295">
        <f t="shared" si="25"/>
        <v>10</v>
      </c>
      <c r="Z50" s="295">
        <f t="shared" si="25"/>
        <v>8</v>
      </c>
      <c r="AA50" s="295">
        <f t="shared" si="25"/>
        <v>7</v>
      </c>
      <c r="AB50" s="295">
        <f t="shared" si="25"/>
        <v>8</v>
      </c>
      <c r="AC50" s="295">
        <f t="shared" si="25"/>
        <v>9</v>
      </c>
      <c r="AD50" s="295">
        <f t="shared" si="25"/>
        <v>9</v>
      </c>
      <c r="AE50" s="295">
        <f t="shared" si="25"/>
        <v>10</v>
      </c>
      <c r="AF50" s="295">
        <f t="shared" si="25"/>
        <v>10</v>
      </c>
      <c r="AG50" s="295">
        <f t="shared" si="25"/>
        <v>7</v>
      </c>
      <c r="AH50" s="295"/>
      <c r="AI50" s="295"/>
      <c r="AJ50" s="295"/>
      <c r="AK50" s="295"/>
      <c r="AL50" s="301">
        <f t="shared" si="24"/>
        <v>237</v>
      </c>
      <c r="AM50" s="173">
        <f>AM48*AL52</f>
        <v>308000</v>
      </c>
    </row>
    <row r="51" ht="14.25" customHeight="1">
      <c r="A51" s="174"/>
      <c r="B51" s="175"/>
      <c r="C51" s="176"/>
      <c r="D51" s="177" t="s">
        <v>162</v>
      </c>
      <c r="E51" s="177"/>
      <c r="F51" s="178"/>
      <c r="G51" s="302">
        <f t="shared" ref="G51:AG51" si="26">COUNTA(#REF!,#REF!,G28,#REF!)</f>
        <v>3</v>
      </c>
      <c r="H51" s="302">
        <f t="shared" si="26"/>
        <v>3</v>
      </c>
      <c r="I51" s="302">
        <f t="shared" si="26"/>
        <v>4</v>
      </c>
      <c r="J51" s="302">
        <f t="shared" si="26"/>
        <v>3</v>
      </c>
      <c r="K51" s="302">
        <f t="shared" si="26"/>
        <v>3</v>
      </c>
      <c r="L51" s="302">
        <f t="shared" si="26"/>
        <v>4</v>
      </c>
      <c r="M51" s="302">
        <f t="shared" si="26"/>
        <v>3</v>
      </c>
      <c r="N51" s="302">
        <f t="shared" si="26"/>
        <v>3</v>
      </c>
      <c r="O51" s="302">
        <f t="shared" si="26"/>
        <v>4</v>
      </c>
      <c r="P51" s="302">
        <f t="shared" si="26"/>
        <v>3</v>
      </c>
      <c r="Q51" s="302">
        <f t="shared" si="26"/>
        <v>3</v>
      </c>
      <c r="R51" s="302">
        <f t="shared" si="26"/>
        <v>4</v>
      </c>
      <c r="S51" s="302">
        <f t="shared" si="26"/>
        <v>3</v>
      </c>
      <c r="T51" s="302">
        <f t="shared" si="26"/>
        <v>3</v>
      </c>
      <c r="U51" s="302">
        <f t="shared" si="26"/>
        <v>4</v>
      </c>
      <c r="V51" s="302">
        <f t="shared" si="26"/>
        <v>4</v>
      </c>
      <c r="W51" s="302">
        <f t="shared" si="26"/>
        <v>4</v>
      </c>
      <c r="X51" s="302">
        <f t="shared" si="26"/>
        <v>4</v>
      </c>
      <c r="Y51" s="302">
        <f t="shared" si="26"/>
        <v>4</v>
      </c>
      <c r="Z51" s="302">
        <f t="shared" si="26"/>
        <v>3</v>
      </c>
      <c r="AA51" s="302">
        <f t="shared" si="26"/>
        <v>3</v>
      </c>
      <c r="AB51" s="302">
        <f t="shared" si="26"/>
        <v>4</v>
      </c>
      <c r="AC51" s="302">
        <f t="shared" si="26"/>
        <v>3</v>
      </c>
      <c r="AD51" s="302">
        <f t="shared" si="26"/>
        <v>3</v>
      </c>
      <c r="AE51" s="302">
        <f t="shared" si="26"/>
        <v>4</v>
      </c>
      <c r="AF51" s="302">
        <f t="shared" si="26"/>
        <v>3</v>
      </c>
      <c r="AG51" s="302">
        <f t="shared" si="26"/>
        <v>3</v>
      </c>
      <c r="AH51" s="302"/>
      <c r="AI51" s="302"/>
      <c r="AJ51" s="302"/>
      <c r="AK51" s="302"/>
      <c r="AL51" s="302">
        <f t="shared" si="24"/>
        <v>92</v>
      </c>
      <c r="AM51" s="180"/>
    </row>
    <row r="52" ht="14.25" customHeight="1">
      <c r="A52" s="146" t="s">
        <v>163</v>
      </c>
      <c r="B52" s="147"/>
      <c r="C52" s="147"/>
      <c r="D52" s="147"/>
      <c r="E52" s="147"/>
      <c r="F52" s="148"/>
      <c r="G52" s="144">
        <f t="shared" ref="G52:AG52" si="27">SUM(G48:G51)</f>
        <v>41</v>
      </c>
      <c r="H52" s="144">
        <f t="shared" si="27"/>
        <v>47</v>
      </c>
      <c r="I52" s="144">
        <f t="shared" si="27"/>
        <v>53</v>
      </c>
      <c r="J52" s="144">
        <f t="shared" si="27"/>
        <v>44</v>
      </c>
      <c r="K52" s="144">
        <f t="shared" si="27"/>
        <v>46</v>
      </c>
      <c r="L52" s="144">
        <f t="shared" si="27"/>
        <v>40</v>
      </c>
      <c r="M52" s="144">
        <f t="shared" si="27"/>
        <v>36</v>
      </c>
      <c r="N52" s="144">
        <f t="shared" si="27"/>
        <v>43</v>
      </c>
      <c r="O52" s="144">
        <f t="shared" si="27"/>
        <v>49</v>
      </c>
      <c r="P52" s="144">
        <f t="shared" si="27"/>
        <v>49</v>
      </c>
      <c r="Q52" s="144">
        <f t="shared" si="27"/>
        <v>46</v>
      </c>
      <c r="R52" s="144">
        <f t="shared" si="27"/>
        <v>48</v>
      </c>
      <c r="S52" s="144">
        <f t="shared" si="27"/>
        <v>40</v>
      </c>
      <c r="T52" s="144">
        <f t="shared" si="27"/>
        <v>47</v>
      </c>
      <c r="U52" s="144">
        <f t="shared" si="27"/>
        <v>44</v>
      </c>
      <c r="V52" s="144">
        <f t="shared" si="27"/>
        <v>48</v>
      </c>
      <c r="W52" s="144">
        <f t="shared" si="27"/>
        <v>58</v>
      </c>
      <c r="X52" s="144">
        <f t="shared" si="27"/>
        <v>48</v>
      </c>
      <c r="Y52" s="144">
        <f t="shared" si="27"/>
        <v>47</v>
      </c>
      <c r="Z52" s="144">
        <f t="shared" si="27"/>
        <v>42</v>
      </c>
      <c r="AA52" s="144">
        <f t="shared" si="27"/>
        <v>42</v>
      </c>
      <c r="AB52" s="144">
        <f t="shared" si="27"/>
        <v>44</v>
      </c>
      <c r="AC52" s="144">
        <f t="shared" si="27"/>
        <v>46</v>
      </c>
      <c r="AD52" s="144">
        <f t="shared" si="27"/>
        <v>50</v>
      </c>
      <c r="AE52" s="144">
        <f t="shared" si="27"/>
        <v>47</v>
      </c>
      <c r="AF52" s="144">
        <f t="shared" si="27"/>
        <v>46</v>
      </c>
      <c r="AG52" s="144">
        <f t="shared" si="27"/>
        <v>41</v>
      </c>
      <c r="AH52" s="144"/>
      <c r="AI52" s="144"/>
      <c r="AJ52" s="144"/>
      <c r="AK52" s="144"/>
      <c r="AL52" s="144">
        <f>SUM(AL48:AL51)</f>
        <v>1232</v>
      </c>
      <c r="AM52" s="181"/>
    </row>
    <row r="53" ht="14.25" customHeight="1">
      <c r="A53" s="2"/>
      <c r="B53" s="182" t="s">
        <v>164</v>
      </c>
      <c r="C53" s="182"/>
      <c r="D53" s="182"/>
      <c r="E53" s="18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5"/>
      <c r="V53" s="4"/>
      <c r="W53" s="4"/>
      <c r="X53" s="4"/>
      <c r="Y53" s="4"/>
      <c r="Z53" s="5"/>
      <c r="AA53" s="5"/>
      <c r="AB53" s="5"/>
      <c r="AC53" s="4"/>
      <c r="AD53" s="4"/>
      <c r="AE53" s="4"/>
      <c r="AF53" s="4"/>
      <c r="AG53" s="5"/>
      <c r="AH53" s="5"/>
      <c r="AI53" s="5"/>
      <c r="AJ53" s="5"/>
      <c r="AK53" s="5"/>
      <c r="AL53" s="2"/>
      <c r="AM53" s="183"/>
    </row>
    <row r="54" ht="14.25" customHeight="1">
      <c r="A54" s="2"/>
      <c r="B54" s="182" t="s">
        <v>165</v>
      </c>
      <c r="C54" s="2"/>
      <c r="D54" s="2"/>
      <c r="E54" s="2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11"/>
      <c r="AM54" s="2"/>
    </row>
    <row r="55" ht="14.25" customHeight="1">
      <c r="A55" s="2"/>
      <c r="B55" s="182" t="s">
        <v>166</v>
      </c>
      <c r="C55" s="184"/>
      <c r="D55" s="184"/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11"/>
      <c r="AM55" s="2"/>
    </row>
    <row r="56" ht="14.25" customHeight="1">
      <c r="A56" s="2"/>
      <c r="B56" s="182"/>
      <c r="C56" s="184"/>
      <c r="D56" s="184"/>
      <c r="E56" s="4" t="s">
        <v>167</v>
      </c>
      <c r="G56" s="463"/>
      <c r="H56" s="463"/>
      <c r="I56" s="5"/>
      <c r="J56" s="5"/>
      <c r="K56" s="5"/>
      <c r="L56" s="5"/>
      <c r="M56" s="5"/>
      <c r="N56" s="5"/>
      <c r="O56" s="5"/>
      <c r="P56" s="5" t="s">
        <v>168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11"/>
      <c r="AM56" s="2"/>
    </row>
    <row r="57" ht="14.25" customHeight="1">
      <c r="A57" s="2"/>
      <c r="B57" s="3"/>
      <c r="C57" s="2"/>
      <c r="D57" s="2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11"/>
      <c r="AM57" s="11"/>
    </row>
    <row r="58" ht="14.25" customHeight="1">
      <c r="A58" s="2"/>
      <c r="B58" s="3"/>
      <c r="C58" s="2"/>
      <c r="D58" s="2"/>
      <c r="E58" s="4" t="s">
        <v>169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 t="s">
        <v>170</v>
      </c>
      <c r="T58" s="5"/>
      <c r="U58" s="5"/>
      <c r="V58" s="5" t="s">
        <v>171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11"/>
      <c r="AM58" s="11"/>
    </row>
    <row r="59" ht="14.25" customHeight="1">
      <c r="A59" s="2"/>
      <c r="B59" s="3"/>
      <c r="C59" s="2"/>
      <c r="D59" s="2"/>
      <c r="E59" s="2"/>
      <c r="F59" s="18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4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11"/>
      <c r="AM59" s="11"/>
    </row>
    <row r="60" ht="30.75" customHeight="1">
      <c r="A60" s="2"/>
      <c r="B60" s="3"/>
      <c r="C60" s="2"/>
      <c r="D60" s="2"/>
      <c r="E60" s="185" t="s">
        <v>172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 t="s">
        <v>170</v>
      </c>
      <c r="T60" s="5"/>
      <c r="U60" s="5"/>
      <c r="V60" s="5" t="s">
        <v>171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1"/>
      <c r="AM60" s="11"/>
    </row>
    <row r="61" ht="14.25" customHeight="1">
      <c r="A61" s="11"/>
      <c r="B61" s="3"/>
      <c r="C61" s="2"/>
      <c r="D61" s="186"/>
      <c r="E61" s="2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11"/>
      <c r="AM61" s="11"/>
    </row>
    <row r="62" ht="14.25" customHeight="1">
      <c r="F62" s="187"/>
    </row>
    <row r="63" ht="14.25" customHeight="1">
      <c r="F63" s="187"/>
    </row>
    <row r="64" ht="14.25" customHeight="1">
      <c r="F64" s="187"/>
    </row>
    <row r="65" ht="14.25" customHeight="1">
      <c r="F65" s="187"/>
    </row>
    <row r="66" ht="15.75" customHeight="1">
      <c r="F66" s="187"/>
    </row>
    <row r="67" ht="14.25" customHeight="1">
      <c r="F67" s="187"/>
    </row>
    <row r="68" ht="14.2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L6:AL7"/>
    <mergeCell ref="AM6:AM7"/>
    <mergeCell ref="B44:F44"/>
    <mergeCell ref="B45:F45"/>
    <mergeCell ref="B46:F46"/>
    <mergeCell ref="A52:F52"/>
    <mergeCell ref="E56:F56"/>
    <mergeCell ref="P56:W56"/>
    <mergeCell ref="E58:F58"/>
    <mergeCell ref="E60:F60"/>
    <mergeCell ref="F6:F7"/>
    <mergeCell ref="F23:F29"/>
    <mergeCell ref="A35:A36"/>
    <mergeCell ref="B35:B36"/>
    <mergeCell ref="C35:C36"/>
    <mergeCell ref="D35:D36"/>
    <mergeCell ref="F35:F36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5.43"/>
    <col customWidth="1" min="6" max="6" width="7.43"/>
    <col customWidth="1" min="7" max="7" width="4.29"/>
    <col customWidth="1" min="8" max="8" width="4.57"/>
    <col customWidth="1" min="9" max="9" width="5.0"/>
    <col customWidth="1" min="10" max="10" width="5.71"/>
    <col customWidth="1" min="11" max="11" width="5.43"/>
    <col customWidth="1" min="12" max="12" width="5.71"/>
    <col customWidth="1" min="13" max="13" width="4.71"/>
    <col customWidth="1" min="14" max="14" width="4.43"/>
    <col customWidth="1" min="15" max="15" width="4.71"/>
    <col customWidth="1" min="16" max="16" width="5.29"/>
    <col customWidth="1" min="17" max="17" width="4.57"/>
    <col customWidth="1" min="18" max="18" width="5.71"/>
    <col customWidth="1" min="19" max="19" width="5.86"/>
    <col customWidth="1" min="20" max="20" width="5.29"/>
    <col customWidth="1" min="21" max="21" width="4.57"/>
    <col customWidth="1" min="22" max="22" width="5.29"/>
    <col customWidth="1" min="23" max="23" width="5.0"/>
    <col customWidth="1" min="24" max="24" width="5.71"/>
    <col customWidth="1" min="25" max="25" width="5.0"/>
    <col customWidth="1" min="26" max="26" width="5.29"/>
    <col customWidth="1" min="27" max="28" width="4.57"/>
    <col customWidth="1" min="29" max="29" width="4.71"/>
    <col customWidth="1" min="30" max="30" width="5.57"/>
    <col customWidth="1" min="31" max="31" width="5.43"/>
    <col customWidth="1" min="32" max="32" width="4.71"/>
    <col customWidth="1" min="33" max="33" width="5.29"/>
    <col customWidth="1" min="34" max="34" width="4.57"/>
    <col customWidth="1" min="35" max="35" width="4.71"/>
    <col customWidth="1" min="36" max="36" width="4.57"/>
    <col customWidth="1" min="37" max="37" width="9.0"/>
    <col customWidth="1" min="38" max="38" width="17.43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7" t="s">
        <v>3</v>
      </c>
    </row>
    <row r="5" ht="14.25" customHeight="1">
      <c r="A5" s="8" t="s">
        <v>304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F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f t="shared" si="1"/>
        <v>24</v>
      </c>
      <c r="AE6" s="15">
        <f t="shared" si="1"/>
        <v>25</v>
      </c>
      <c r="AF6" s="15">
        <f t="shared" si="1"/>
        <v>26</v>
      </c>
      <c r="AG6" s="15">
        <v>27.0</v>
      </c>
      <c r="AH6" s="15">
        <v>28.0</v>
      </c>
      <c r="AI6" s="15">
        <v>29.0</v>
      </c>
      <c r="AJ6" s="15">
        <v>30.0</v>
      </c>
      <c r="AK6" s="13" t="s">
        <v>14</v>
      </c>
      <c r="AL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251</v>
      </c>
      <c r="H7" s="446" t="s">
        <v>252</v>
      </c>
      <c r="I7" s="446" t="s">
        <v>253</v>
      </c>
      <c r="J7" s="446" t="s">
        <v>247</v>
      </c>
      <c r="K7" s="446" t="s">
        <v>248</v>
      </c>
      <c r="L7" s="446" t="s">
        <v>249</v>
      </c>
      <c r="M7" s="446" t="s">
        <v>250</v>
      </c>
      <c r="N7" s="446" t="s">
        <v>251</v>
      </c>
      <c r="O7" s="446" t="s">
        <v>252</v>
      </c>
      <c r="P7" s="446" t="s">
        <v>253</v>
      </c>
      <c r="Q7" s="446" t="s">
        <v>247</v>
      </c>
      <c r="R7" s="446" t="s">
        <v>248</v>
      </c>
      <c r="S7" s="446" t="s">
        <v>249</v>
      </c>
      <c r="T7" s="446" t="s">
        <v>250</v>
      </c>
      <c r="U7" s="446" t="s">
        <v>251</v>
      </c>
      <c r="V7" s="446" t="s">
        <v>252</v>
      </c>
      <c r="W7" s="446" t="s">
        <v>253</v>
      </c>
      <c r="X7" s="446" t="s">
        <v>247</v>
      </c>
      <c r="Y7" s="446" t="s">
        <v>248</v>
      </c>
      <c r="Z7" s="446" t="s">
        <v>249</v>
      </c>
      <c r="AA7" s="446" t="s">
        <v>250</v>
      </c>
      <c r="AB7" s="446" t="s">
        <v>251</v>
      </c>
      <c r="AC7" s="446" t="s">
        <v>252</v>
      </c>
      <c r="AD7" s="446" t="s">
        <v>253</v>
      </c>
      <c r="AE7" s="446" t="s">
        <v>247</v>
      </c>
      <c r="AF7" s="446" t="s">
        <v>248</v>
      </c>
      <c r="AG7" s="446" t="s">
        <v>249</v>
      </c>
      <c r="AH7" s="446" t="s">
        <v>250</v>
      </c>
      <c r="AI7" s="446" t="s">
        <v>251</v>
      </c>
      <c r="AJ7" s="446" t="s">
        <v>252</v>
      </c>
      <c r="AK7" s="17"/>
      <c r="AL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2"/>
      <c r="AL8" s="23"/>
    </row>
    <row r="9" ht="14.25" customHeight="1">
      <c r="A9" s="260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09" t="s">
        <v>205</v>
      </c>
      <c r="I9" s="209" t="s">
        <v>205</v>
      </c>
      <c r="J9" s="209" t="s">
        <v>205</v>
      </c>
      <c r="K9" s="209" t="s">
        <v>205</v>
      </c>
      <c r="L9" s="210" t="s">
        <v>205</v>
      </c>
      <c r="M9" s="210"/>
      <c r="N9" s="209" t="s">
        <v>205</v>
      </c>
      <c r="O9" s="209" t="s">
        <v>205</v>
      </c>
      <c r="P9" s="209" t="s">
        <v>205</v>
      </c>
      <c r="Q9" s="209" t="s">
        <v>205</v>
      </c>
      <c r="R9" s="209" t="s">
        <v>205</v>
      </c>
      <c r="S9" s="210" t="s">
        <v>205</v>
      </c>
      <c r="T9" s="210"/>
      <c r="U9" s="209" t="s">
        <v>205</v>
      </c>
      <c r="V9" s="209" t="s">
        <v>205</v>
      </c>
      <c r="W9" s="209" t="s">
        <v>205</v>
      </c>
      <c r="X9" s="209" t="s">
        <v>205</v>
      </c>
      <c r="Y9" s="209" t="s">
        <v>205</v>
      </c>
      <c r="Z9" s="210" t="s">
        <v>205</v>
      </c>
      <c r="AA9" s="210"/>
      <c r="AB9" s="209" t="s">
        <v>205</v>
      </c>
      <c r="AC9" s="209" t="s">
        <v>205</v>
      </c>
      <c r="AD9" s="209" t="s">
        <v>205</v>
      </c>
      <c r="AE9" s="209" t="s">
        <v>205</v>
      </c>
      <c r="AF9" s="209" t="s">
        <v>205</v>
      </c>
      <c r="AG9" s="210" t="s">
        <v>205</v>
      </c>
      <c r="AH9" s="210"/>
      <c r="AI9" s="209" t="s">
        <v>205</v>
      </c>
      <c r="AJ9" s="24">
        <v>12.0</v>
      </c>
      <c r="AK9" s="211">
        <f t="shared" ref="AK9:AK13" si="2">COUNTA(G9:AJ9)</f>
        <v>26</v>
      </c>
      <c r="AL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25</v>
      </c>
      <c r="F10" s="28" t="s">
        <v>30</v>
      </c>
      <c r="G10" s="24">
        <v>9.0</v>
      </c>
      <c r="H10" s="24">
        <v>9.0</v>
      </c>
      <c r="I10" s="24">
        <v>9.0</v>
      </c>
      <c r="J10" s="24">
        <v>9.0</v>
      </c>
      <c r="K10" s="24"/>
      <c r="L10" s="110"/>
      <c r="M10" s="110">
        <v>9.0</v>
      </c>
      <c r="N10" s="24">
        <v>9.0</v>
      </c>
      <c r="O10" s="24">
        <v>9.0</v>
      </c>
      <c r="P10" s="24">
        <v>9.0</v>
      </c>
      <c r="Q10" s="24">
        <v>9.0</v>
      </c>
      <c r="R10" s="24"/>
      <c r="S10" s="110"/>
      <c r="T10" s="110">
        <v>9.0</v>
      </c>
      <c r="U10" s="24">
        <v>9.0</v>
      </c>
      <c r="V10" s="24">
        <v>9.0</v>
      </c>
      <c r="W10" s="24">
        <v>9.0</v>
      </c>
      <c r="X10" s="24">
        <v>9.0</v>
      </c>
      <c r="Y10" s="24"/>
      <c r="Z10" s="110"/>
      <c r="AA10" s="110">
        <v>9.0</v>
      </c>
      <c r="AB10" s="24">
        <v>9.0</v>
      </c>
      <c r="AC10" s="24">
        <v>9.0</v>
      </c>
      <c r="AD10" s="24">
        <v>9.0</v>
      </c>
      <c r="AE10" s="24">
        <v>9.0</v>
      </c>
      <c r="AF10" s="24"/>
      <c r="AG10" s="110"/>
      <c r="AH10" s="110">
        <v>9.0</v>
      </c>
      <c r="AI10" s="24">
        <v>9.0</v>
      </c>
      <c r="AJ10" s="24">
        <v>9.0</v>
      </c>
      <c r="AK10" s="211">
        <f t="shared" si="2"/>
        <v>22</v>
      </c>
      <c r="AL10" s="57">
        <f t="shared" ref="AL10:AL13" si="3">SUM(G10:AJ10)</f>
        <v>198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>
        <v>9.0</v>
      </c>
      <c r="H11" s="24">
        <v>9.0</v>
      </c>
      <c r="I11" s="24">
        <v>9.0</v>
      </c>
      <c r="J11" s="24">
        <v>9.0</v>
      </c>
      <c r="K11" s="24"/>
      <c r="L11" s="110"/>
      <c r="M11" s="110">
        <v>9.0</v>
      </c>
      <c r="N11" s="24">
        <v>9.0</v>
      </c>
      <c r="O11" s="24">
        <v>9.0</v>
      </c>
      <c r="P11" s="24">
        <v>9.0</v>
      </c>
      <c r="Q11" s="24">
        <v>9.0</v>
      </c>
      <c r="R11" s="24"/>
      <c r="S11" s="110"/>
      <c r="T11" s="110">
        <v>9.0</v>
      </c>
      <c r="U11" s="24">
        <v>9.0</v>
      </c>
      <c r="V11" s="24">
        <v>9.0</v>
      </c>
      <c r="W11" s="24">
        <v>9.0</v>
      </c>
      <c r="X11" s="24">
        <v>9.0</v>
      </c>
      <c r="Y11" s="24"/>
      <c r="Z11" s="110"/>
      <c r="AA11" s="110">
        <v>9.0</v>
      </c>
      <c r="AB11" s="24">
        <v>9.0</v>
      </c>
      <c r="AC11" s="24">
        <v>9.0</v>
      </c>
      <c r="AD11" s="24">
        <v>9.0</v>
      </c>
      <c r="AE11" s="24">
        <v>9.0</v>
      </c>
      <c r="AF11" s="24"/>
      <c r="AG11" s="110"/>
      <c r="AH11" s="110">
        <v>9.0</v>
      </c>
      <c r="AI11" s="24">
        <v>9.0</v>
      </c>
      <c r="AJ11" s="24">
        <v>9.0</v>
      </c>
      <c r="AK11" s="211">
        <f t="shared" si="2"/>
        <v>22</v>
      </c>
      <c r="AL11" s="57">
        <f t="shared" si="3"/>
        <v>198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124</v>
      </c>
      <c r="E12" s="27" t="s">
        <v>33</v>
      </c>
      <c r="F12" s="28" t="s">
        <v>30</v>
      </c>
      <c r="G12" s="24">
        <v>9.0</v>
      </c>
      <c r="H12" s="24">
        <v>9.0</v>
      </c>
      <c r="I12" s="24">
        <v>9.0</v>
      </c>
      <c r="J12" s="24">
        <v>9.0</v>
      </c>
      <c r="K12" s="24"/>
      <c r="L12" s="110"/>
      <c r="M12" s="110">
        <v>9.0</v>
      </c>
      <c r="N12" s="24">
        <v>9.0</v>
      </c>
      <c r="O12" s="24">
        <v>9.0</v>
      </c>
      <c r="P12" s="24">
        <v>9.0</v>
      </c>
      <c r="Q12" s="24">
        <v>9.0</v>
      </c>
      <c r="R12" s="24"/>
      <c r="S12" s="110"/>
      <c r="T12" s="110">
        <v>9.0</v>
      </c>
      <c r="U12" s="24">
        <v>9.0</v>
      </c>
      <c r="V12" s="24">
        <v>9.0</v>
      </c>
      <c r="W12" s="24">
        <v>9.0</v>
      </c>
      <c r="X12" s="24">
        <v>9.0</v>
      </c>
      <c r="Y12" s="24"/>
      <c r="Z12" s="110"/>
      <c r="AA12" s="110">
        <v>9.0</v>
      </c>
      <c r="AB12" s="24">
        <v>9.0</v>
      </c>
      <c r="AC12" s="24">
        <v>9.0</v>
      </c>
      <c r="AD12" s="24">
        <v>9.0</v>
      </c>
      <c r="AE12" s="24">
        <v>9.0</v>
      </c>
      <c r="AF12" s="24"/>
      <c r="AG12" s="110"/>
      <c r="AH12" s="110">
        <v>9.0</v>
      </c>
      <c r="AI12" s="24">
        <v>9.0</v>
      </c>
      <c r="AJ12" s="24">
        <v>9.0</v>
      </c>
      <c r="AK12" s="211">
        <f t="shared" si="2"/>
        <v>22</v>
      </c>
      <c r="AL12" s="57">
        <f t="shared" si="3"/>
        <v>198</v>
      </c>
    </row>
    <row r="13" ht="14.25" customHeight="1">
      <c r="A13" s="34">
        <v>8.0</v>
      </c>
      <c r="B13" s="25" t="s">
        <v>38</v>
      </c>
      <c r="C13" s="27">
        <v>1.0</v>
      </c>
      <c r="D13" s="37" t="s">
        <v>305</v>
      </c>
      <c r="E13" s="27" t="s">
        <v>40</v>
      </c>
      <c r="F13" s="28" t="s">
        <v>30</v>
      </c>
      <c r="G13" s="24"/>
      <c r="H13" s="24">
        <v>12.0</v>
      </c>
      <c r="I13" s="24">
        <v>12.0</v>
      </c>
      <c r="J13" s="24">
        <v>12.0</v>
      </c>
      <c r="K13" s="24">
        <v>12.0</v>
      </c>
      <c r="L13" s="110">
        <v>12.0</v>
      </c>
      <c r="M13" s="110"/>
      <c r="N13" s="24"/>
      <c r="O13" s="24">
        <v>12.0</v>
      </c>
      <c r="P13" s="24">
        <v>12.0</v>
      </c>
      <c r="Q13" s="24">
        <v>12.0</v>
      </c>
      <c r="R13" s="24">
        <v>12.0</v>
      </c>
      <c r="S13" s="110">
        <v>12.0</v>
      </c>
      <c r="T13" s="110"/>
      <c r="U13" s="24"/>
      <c r="V13" s="24">
        <v>12.0</v>
      </c>
      <c r="W13" s="24">
        <v>12.0</v>
      </c>
      <c r="X13" s="24">
        <v>12.0</v>
      </c>
      <c r="Y13" s="24">
        <v>12.0</v>
      </c>
      <c r="Z13" s="110">
        <v>12.0</v>
      </c>
      <c r="AA13" s="110"/>
      <c r="AB13" s="24"/>
      <c r="AC13" s="24">
        <v>12.0</v>
      </c>
      <c r="AD13" s="24">
        <v>12.0</v>
      </c>
      <c r="AE13" s="24">
        <v>12.0</v>
      </c>
      <c r="AF13" s="24">
        <v>12.0</v>
      </c>
      <c r="AG13" s="110">
        <v>12.0</v>
      </c>
      <c r="AH13" s="110"/>
      <c r="AI13" s="24"/>
      <c r="AJ13" s="24">
        <v>12.0</v>
      </c>
      <c r="AK13" s="211">
        <f t="shared" si="2"/>
        <v>21</v>
      </c>
      <c r="AL13" s="57">
        <f t="shared" si="3"/>
        <v>252</v>
      </c>
    </row>
    <row r="14" ht="14.25" customHeight="1">
      <c r="A14" s="19"/>
      <c r="B14" s="20" t="s">
        <v>41</v>
      </c>
      <c r="C14" s="21"/>
      <c r="D14" s="20" t="s">
        <v>41</v>
      </c>
      <c r="E14" s="21"/>
      <c r="F14" s="3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2"/>
      <c r="AD14" s="212"/>
      <c r="AE14" s="212"/>
      <c r="AF14" s="212"/>
      <c r="AG14" s="212"/>
      <c r="AH14" s="212"/>
      <c r="AI14" s="212"/>
      <c r="AJ14" s="212"/>
      <c r="AK14" s="21"/>
      <c r="AL14" s="45"/>
    </row>
    <row r="15" ht="14.25" customHeight="1">
      <c r="A15" s="24">
        <v>9.0</v>
      </c>
      <c r="B15" s="25" t="s">
        <v>306</v>
      </c>
      <c r="C15" s="26">
        <v>1.0</v>
      </c>
      <c r="D15" s="36" t="s">
        <v>307</v>
      </c>
      <c r="E15" s="26" t="s">
        <v>55</v>
      </c>
      <c r="F15" s="47" t="s">
        <v>65</v>
      </c>
      <c r="G15" s="26">
        <v>12.0</v>
      </c>
      <c r="H15" s="26"/>
      <c r="I15" s="26">
        <v>12.0</v>
      </c>
      <c r="J15" s="26">
        <v>12.0</v>
      </c>
      <c r="K15" s="26">
        <v>12.0</v>
      </c>
      <c r="L15" s="213">
        <v>12.0</v>
      </c>
      <c r="M15" s="213">
        <v>12.0</v>
      </c>
      <c r="N15" s="26">
        <v>12.0</v>
      </c>
      <c r="O15" s="26"/>
      <c r="P15" s="26">
        <v>12.0</v>
      </c>
      <c r="Q15" s="26">
        <v>12.0</v>
      </c>
      <c r="R15" s="26">
        <v>12.0</v>
      </c>
      <c r="S15" s="213">
        <v>12.0</v>
      </c>
      <c r="T15" s="213">
        <v>12.0</v>
      </c>
      <c r="U15" s="26">
        <v>12.0</v>
      </c>
      <c r="V15" s="26"/>
      <c r="W15" s="26">
        <v>12.0</v>
      </c>
      <c r="X15" s="26">
        <v>12.0</v>
      </c>
      <c r="Y15" s="26">
        <v>12.0</v>
      </c>
      <c r="Z15" s="213">
        <v>12.0</v>
      </c>
      <c r="AA15" s="213">
        <v>12.0</v>
      </c>
      <c r="AB15" s="26">
        <v>12.0</v>
      </c>
      <c r="AC15" s="26"/>
      <c r="AD15" s="26">
        <v>12.0</v>
      </c>
      <c r="AE15" s="26">
        <v>12.0</v>
      </c>
      <c r="AF15" s="26">
        <v>12.0</v>
      </c>
      <c r="AG15" s="213">
        <v>12.0</v>
      </c>
      <c r="AH15" s="213">
        <v>12.0</v>
      </c>
      <c r="AI15" s="26">
        <v>12.0</v>
      </c>
      <c r="AJ15" s="464"/>
      <c r="AK15" s="211">
        <f t="shared" ref="AK15:AK20" si="4">COUNTA(G15:AJ15)</f>
        <v>25</v>
      </c>
      <c r="AL15" s="57">
        <f t="shared" ref="AL15:AL20" si="5">SUM(G15:AJ15)</f>
        <v>300</v>
      </c>
    </row>
    <row r="16" ht="14.25" customHeight="1">
      <c r="A16" s="34">
        <v>10.0</v>
      </c>
      <c r="B16" s="35" t="s">
        <v>49</v>
      </c>
      <c r="C16" s="27">
        <v>1.0</v>
      </c>
      <c r="D16" s="36" t="s">
        <v>59</v>
      </c>
      <c r="E16" s="27" t="s">
        <v>51</v>
      </c>
      <c r="F16" s="47" t="s">
        <v>46</v>
      </c>
      <c r="G16" s="24">
        <v>24.0</v>
      </c>
      <c r="H16" s="24"/>
      <c r="I16" s="24">
        <v>24.0</v>
      </c>
      <c r="J16" s="24"/>
      <c r="K16" s="24">
        <v>24.0</v>
      </c>
      <c r="L16" s="110"/>
      <c r="M16" s="110">
        <v>24.0</v>
      </c>
      <c r="N16" s="24"/>
      <c r="O16" s="24">
        <v>24.0</v>
      </c>
      <c r="P16" s="24"/>
      <c r="Q16" s="24">
        <v>24.0</v>
      </c>
      <c r="R16" s="24"/>
      <c r="S16" s="110">
        <v>24.0</v>
      </c>
      <c r="T16" s="110"/>
      <c r="U16" s="24">
        <v>24.0</v>
      </c>
      <c r="V16" s="24"/>
      <c r="W16" s="24">
        <v>24.0</v>
      </c>
      <c r="X16" s="24"/>
      <c r="Y16" s="24">
        <v>24.0</v>
      </c>
      <c r="Z16" s="110"/>
      <c r="AA16" s="110">
        <v>24.0</v>
      </c>
      <c r="AB16" s="24"/>
      <c r="AC16" s="24">
        <v>24.0</v>
      </c>
      <c r="AD16" s="24"/>
      <c r="AE16" s="24">
        <v>24.0</v>
      </c>
      <c r="AF16" s="24"/>
      <c r="AG16" s="110">
        <v>24.0</v>
      </c>
      <c r="AH16" s="110"/>
      <c r="AI16" s="24">
        <v>24.0</v>
      </c>
      <c r="AJ16" s="24"/>
      <c r="AK16" s="211">
        <f t="shared" si="4"/>
        <v>15</v>
      </c>
      <c r="AL16" s="452">
        <f t="shared" si="5"/>
        <v>360</v>
      </c>
    </row>
    <row r="17" ht="14.25" customHeight="1">
      <c r="A17" s="34">
        <v>11.0</v>
      </c>
      <c r="B17" s="35" t="s">
        <v>49</v>
      </c>
      <c r="C17" s="27">
        <v>1.0</v>
      </c>
      <c r="D17" s="36" t="s">
        <v>308</v>
      </c>
      <c r="E17" s="27" t="s">
        <v>51</v>
      </c>
      <c r="F17" s="47" t="s">
        <v>46</v>
      </c>
      <c r="G17" s="24"/>
      <c r="H17" s="24">
        <v>24.0</v>
      </c>
      <c r="I17" s="24"/>
      <c r="J17" s="24">
        <v>24.0</v>
      </c>
      <c r="K17" s="24"/>
      <c r="L17" s="110">
        <v>24.0</v>
      </c>
      <c r="M17" s="110"/>
      <c r="N17" s="24">
        <v>24.0</v>
      </c>
      <c r="O17" s="24"/>
      <c r="P17" s="24">
        <v>24.0</v>
      </c>
      <c r="Q17" s="24"/>
      <c r="R17" s="24">
        <v>24.0</v>
      </c>
      <c r="S17" s="110"/>
      <c r="T17" s="110">
        <v>24.0</v>
      </c>
      <c r="U17" s="24"/>
      <c r="V17" s="24">
        <v>24.0</v>
      </c>
      <c r="W17" s="24"/>
      <c r="X17" s="24">
        <v>24.0</v>
      </c>
      <c r="Y17" s="24"/>
      <c r="Z17" s="110">
        <v>24.0</v>
      </c>
      <c r="AA17" s="110"/>
      <c r="AB17" s="24">
        <v>24.0</v>
      </c>
      <c r="AC17" s="24"/>
      <c r="AD17" s="24">
        <v>24.0</v>
      </c>
      <c r="AE17" s="24"/>
      <c r="AF17" s="24">
        <v>24.0</v>
      </c>
      <c r="AG17" s="110"/>
      <c r="AH17" s="110">
        <v>24.0</v>
      </c>
      <c r="AI17" s="24"/>
      <c r="AJ17" s="24">
        <v>24.0</v>
      </c>
      <c r="AK17" s="211">
        <f t="shared" si="4"/>
        <v>15</v>
      </c>
      <c r="AL17" s="452">
        <f t="shared" si="5"/>
        <v>360</v>
      </c>
    </row>
    <row r="18" ht="14.25" customHeight="1">
      <c r="A18" s="34">
        <v>12.0</v>
      </c>
      <c r="B18" s="35" t="s">
        <v>62</v>
      </c>
      <c r="C18" s="27">
        <v>1.0</v>
      </c>
      <c r="D18" s="36" t="s">
        <v>54</v>
      </c>
      <c r="E18" s="27" t="s">
        <v>292</v>
      </c>
      <c r="F18" s="47" t="s">
        <v>46</v>
      </c>
      <c r="G18" s="24">
        <v>12.0</v>
      </c>
      <c r="H18" s="24">
        <v>24.0</v>
      </c>
      <c r="I18" s="24">
        <v>12.0</v>
      </c>
      <c r="J18" s="24"/>
      <c r="K18" s="24">
        <v>12.0</v>
      </c>
      <c r="L18" s="110">
        <v>12.0</v>
      </c>
      <c r="M18" s="110">
        <v>12.0</v>
      </c>
      <c r="N18" s="24">
        <v>12.0</v>
      </c>
      <c r="O18" s="24">
        <v>12.0</v>
      </c>
      <c r="P18" s="24">
        <v>12.0</v>
      </c>
      <c r="Q18" s="24"/>
      <c r="R18" s="24">
        <v>12.0</v>
      </c>
      <c r="S18" s="110">
        <v>12.0</v>
      </c>
      <c r="T18" s="110">
        <v>12.0</v>
      </c>
      <c r="U18" s="24">
        <v>12.0</v>
      </c>
      <c r="V18" s="24">
        <v>12.0</v>
      </c>
      <c r="W18" s="24">
        <v>12.0</v>
      </c>
      <c r="X18" s="24"/>
      <c r="Y18" s="24">
        <v>12.0</v>
      </c>
      <c r="Z18" s="110">
        <v>12.0</v>
      </c>
      <c r="AA18" s="110">
        <v>12.0</v>
      </c>
      <c r="AB18" s="24">
        <v>12.0</v>
      </c>
      <c r="AC18" s="24">
        <v>12.0</v>
      </c>
      <c r="AD18" s="24">
        <v>12.0</v>
      </c>
      <c r="AE18" s="24"/>
      <c r="AF18" s="24">
        <v>12.0</v>
      </c>
      <c r="AG18" s="110">
        <v>12.0</v>
      </c>
      <c r="AH18" s="110">
        <v>12.0</v>
      </c>
      <c r="AI18" s="24">
        <v>12.0</v>
      </c>
      <c r="AJ18" s="24">
        <v>12.0</v>
      </c>
      <c r="AK18" s="211">
        <f t="shared" si="4"/>
        <v>26</v>
      </c>
      <c r="AL18" s="452">
        <f t="shared" si="5"/>
        <v>324</v>
      </c>
    </row>
    <row r="19" ht="14.25" customHeight="1">
      <c r="A19" s="34">
        <v>13.0</v>
      </c>
      <c r="B19" s="35" t="s">
        <v>67</v>
      </c>
      <c r="C19" s="27">
        <v>1.0</v>
      </c>
      <c r="D19" s="36" t="s">
        <v>243</v>
      </c>
      <c r="E19" s="27" t="s">
        <v>70</v>
      </c>
      <c r="F19" s="28" t="s">
        <v>30</v>
      </c>
      <c r="G19" s="24"/>
      <c r="H19" s="24">
        <v>12.0</v>
      </c>
      <c r="I19" s="24">
        <v>12.0</v>
      </c>
      <c r="J19" s="24">
        <v>12.0</v>
      </c>
      <c r="K19" s="24">
        <v>12.0</v>
      </c>
      <c r="L19" s="110">
        <v>12.0</v>
      </c>
      <c r="M19" s="110"/>
      <c r="N19" s="24"/>
      <c r="O19" s="24">
        <v>12.0</v>
      </c>
      <c r="P19" s="24">
        <v>12.0</v>
      </c>
      <c r="Q19" s="24">
        <v>12.0</v>
      </c>
      <c r="R19" s="24">
        <v>12.0</v>
      </c>
      <c r="S19" s="110">
        <v>12.0</v>
      </c>
      <c r="T19" s="110"/>
      <c r="U19" s="24"/>
      <c r="V19" s="24">
        <v>12.0</v>
      </c>
      <c r="W19" s="24">
        <v>12.0</v>
      </c>
      <c r="X19" s="24">
        <v>12.0</v>
      </c>
      <c r="Y19" s="24">
        <v>12.0</v>
      </c>
      <c r="Z19" s="110">
        <v>12.0</v>
      </c>
      <c r="AA19" s="110"/>
      <c r="AB19" s="24"/>
      <c r="AC19" s="24">
        <v>12.0</v>
      </c>
      <c r="AD19" s="24">
        <v>12.0</v>
      </c>
      <c r="AE19" s="24">
        <v>12.0</v>
      </c>
      <c r="AF19" s="24">
        <v>12.0</v>
      </c>
      <c r="AG19" s="110">
        <v>12.0</v>
      </c>
      <c r="AH19" s="110"/>
      <c r="AI19" s="24"/>
      <c r="AJ19" s="24">
        <v>12.0</v>
      </c>
      <c r="AK19" s="211">
        <f t="shared" si="4"/>
        <v>21</v>
      </c>
      <c r="AL19" s="452">
        <f t="shared" si="5"/>
        <v>252</v>
      </c>
    </row>
    <row r="20" ht="14.25" customHeight="1">
      <c r="A20" s="34">
        <v>14.0</v>
      </c>
      <c r="B20" s="35" t="s">
        <v>71</v>
      </c>
      <c r="C20" s="27"/>
      <c r="D20" s="36" t="s">
        <v>76</v>
      </c>
      <c r="E20" s="27" t="s">
        <v>73</v>
      </c>
      <c r="F20" s="28" t="s">
        <v>26</v>
      </c>
      <c r="G20" s="24"/>
      <c r="H20" s="24">
        <v>12.0</v>
      </c>
      <c r="I20" s="24">
        <v>12.0</v>
      </c>
      <c r="J20" s="24">
        <v>12.0</v>
      </c>
      <c r="K20" s="24">
        <v>12.0</v>
      </c>
      <c r="L20" s="110">
        <v>12.0</v>
      </c>
      <c r="M20" s="110">
        <v>12.0</v>
      </c>
      <c r="N20" s="24"/>
      <c r="O20" s="24">
        <v>12.0</v>
      </c>
      <c r="P20" s="24">
        <v>12.0</v>
      </c>
      <c r="Q20" s="24">
        <v>12.0</v>
      </c>
      <c r="R20" s="24">
        <v>12.0</v>
      </c>
      <c r="S20" s="110">
        <v>12.0</v>
      </c>
      <c r="T20" s="110">
        <v>12.0</v>
      </c>
      <c r="U20" s="24"/>
      <c r="V20" s="24">
        <v>12.0</v>
      </c>
      <c r="W20" s="24">
        <v>12.0</v>
      </c>
      <c r="X20" s="24">
        <v>12.0</v>
      </c>
      <c r="Y20" s="24">
        <v>12.0</v>
      </c>
      <c r="Z20" s="110">
        <v>12.0</v>
      </c>
      <c r="AA20" s="110">
        <v>12.0</v>
      </c>
      <c r="AB20" s="24"/>
      <c r="AC20" s="24">
        <v>12.0</v>
      </c>
      <c r="AD20" s="24">
        <v>12.0</v>
      </c>
      <c r="AE20" s="24">
        <v>12.0</v>
      </c>
      <c r="AF20" s="24">
        <v>12.0</v>
      </c>
      <c r="AG20" s="110">
        <v>12.0</v>
      </c>
      <c r="AH20" s="110">
        <v>12.0</v>
      </c>
      <c r="AI20" s="24"/>
      <c r="AJ20" s="24">
        <v>12.0</v>
      </c>
      <c r="AK20" s="211">
        <f t="shared" si="4"/>
        <v>25</v>
      </c>
      <c r="AL20" s="452">
        <f t="shared" si="5"/>
        <v>300</v>
      </c>
    </row>
    <row r="21" ht="14.25" customHeight="1">
      <c r="A21" s="19"/>
      <c r="B21" s="20" t="s">
        <v>78</v>
      </c>
      <c r="C21" s="21"/>
      <c r="D21" s="77" t="s">
        <v>78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455"/>
    </row>
    <row r="22" ht="14.25" customHeight="1">
      <c r="A22" s="34">
        <v>15.0</v>
      </c>
      <c r="B22" s="35" t="s">
        <v>86</v>
      </c>
      <c r="C22" s="27">
        <v>1.0</v>
      </c>
      <c r="D22" s="37" t="s">
        <v>82</v>
      </c>
      <c r="E22" s="27" t="s">
        <v>102</v>
      </c>
      <c r="F22" s="250" t="s">
        <v>85</v>
      </c>
      <c r="G22" s="24">
        <v>24.0</v>
      </c>
      <c r="H22" s="24"/>
      <c r="I22" s="24"/>
      <c r="J22" s="24">
        <v>24.0</v>
      </c>
      <c r="K22" s="24"/>
      <c r="L22" s="110"/>
      <c r="M22" s="110">
        <v>24.0</v>
      </c>
      <c r="N22" s="24"/>
      <c r="O22" s="24"/>
      <c r="P22" s="24">
        <v>24.0</v>
      </c>
      <c r="Q22" s="24"/>
      <c r="R22" s="24"/>
      <c r="S22" s="110">
        <v>24.0</v>
      </c>
      <c r="T22" s="110"/>
      <c r="U22" s="24"/>
      <c r="V22" s="24">
        <v>24.0</v>
      </c>
      <c r="W22" s="24"/>
      <c r="X22" s="24"/>
      <c r="Y22" s="24">
        <v>24.0</v>
      </c>
      <c r="Z22" s="110"/>
      <c r="AA22" s="110"/>
      <c r="AB22" s="24">
        <v>24.0</v>
      </c>
      <c r="AC22" s="24"/>
      <c r="AD22" s="24"/>
      <c r="AE22" s="24">
        <v>24.0</v>
      </c>
      <c r="AF22" s="24"/>
      <c r="AG22" s="110"/>
      <c r="AH22" s="110">
        <v>24.0</v>
      </c>
      <c r="AI22" s="24"/>
      <c r="AJ22" s="24"/>
      <c r="AK22" s="211">
        <v>11.0</v>
      </c>
      <c r="AL22" s="452">
        <f>SUM(G22:AK22)</f>
        <v>251</v>
      </c>
    </row>
    <row r="23" ht="14.25" customHeight="1">
      <c r="A23" s="34">
        <v>16.0</v>
      </c>
      <c r="B23" s="35" t="s">
        <v>86</v>
      </c>
      <c r="C23" s="27">
        <v>1.0</v>
      </c>
      <c r="D23" s="37" t="s">
        <v>309</v>
      </c>
      <c r="E23" s="27" t="s">
        <v>102</v>
      </c>
      <c r="F23" s="88"/>
      <c r="G23" s="24"/>
      <c r="H23" s="24">
        <v>24.0</v>
      </c>
      <c r="I23" s="24"/>
      <c r="J23" s="24"/>
      <c r="K23" s="24">
        <v>24.0</v>
      </c>
      <c r="L23" s="110"/>
      <c r="M23" s="110"/>
      <c r="N23" s="24">
        <v>24.0</v>
      </c>
      <c r="O23" s="24"/>
      <c r="P23" s="24"/>
      <c r="Q23" s="24">
        <v>24.0</v>
      </c>
      <c r="R23" s="24"/>
      <c r="S23" s="110"/>
      <c r="T23" s="110">
        <v>24.0</v>
      </c>
      <c r="U23" s="24"/>
      <c r="V23" s="24"/>
      <c r="W23" s="24">
        <v>24.0</v>
      </c>
      <c r="X23" s="24"/>
      <c r="Y23" s="24"/>
      <c r="Z23" s="110">
        <v>24.0</v>
      </c>
      <c r="AA23" s="110"/>
      <c r="AB23" s="24"/>
      <c r="AC23" s="24">
        <v>24.0</v>
      </c>
      <c r="AD23" s="24"/>
      <c r="AE23" s="24"/>
      <c r="AF23" s="24">
        <v>24.0</v>
      </c>
      <c r="AG23" s="110"/>
      <c r="AH23" s="110"/>
      <c r="AI23" s="24">
        <v>24.0</v>
      </c>
      <c r="AJ23" s="24"/>
      <c r="AK23" s="211">
        <f t="shared" ref="AK23:AK28" si="6">COUNTA(G23:AJ23)</f>
        <v>10</v>
      </c>
      <c r="AL23" s="452">
        <f t="shared" ref="AL23:AL29" si="7">SUM(G23:AJ23)</f>
        <v>240</v>
      </c>
    </row>
    <row r="24" ht="14.25" customHeight="1">
      <c r="A24" s="34">
        <v>17.0</v>
      </c>
      <c r="B24" s="35" t="s">
        <v>86</v>
      </c>
      <c r="C24" s="65">
        <v>1.0</v>
      </c>
      <c r="D24" s="37" t="s">
        <v>198</v>
      </c>
      <c r="E24" s="27" t="s">
        <v>102</v>
      </c>
      <c r="F24" s="88"/>
      <c r="G24" s="24"/>
      <c r="H24" s="24"/>
      <c r="I24" s="24">
        <v>24.0</v>
      </c>
      <c r="J24" s="24"/>
      <c r="K24" s="24"/>
      <c r="L24" s="110">
        <v>24.0</v>
      </c>
      <c r="M24" s="110"/>
      <c r="N24" s="24"/>
      <c r="O24" s="24">
        <v>24.0</v>
      </c>
      <c r="P24" s="24"/>
      <c r="Q24" s="24"/>
      <c r="R24" s="24">
        <v>24.0</v>
      </c>
      <c r="S24" s="110"/>
      <c r="T24" s="110"/>
      <c r="U24" s="24">
        <v>24.0</v>
      </c>
      <c r="V24" s="24"/>
      <c r="W24" s="24"/>
      <c r="X24" s="24">
        <v>24.0</v>
      </c>
      <c r="Y24" s="24"/>
      <c r="Z24" s="110"/>
      <c r="AA24" s="110">
        <v>24.0</v>
      </c>
      <c r="AB24" s="24"/>
      <c r="AC24" s="24"/>
      <c r="AD24" s="24">
        <v>24.0</v>
      </c>
      <c r="AE24" s="24"/>
      <c r="AF24" s="24"/>
      <c r="AG24" s="110">
        <v>24.0</v>
      </c>
      <c r="AH24" s="110"/>
      <c r="AI24" s="24"/>
      <c r="AJ24" s="24">
        <v>24.0</v>
      </c>
      <c r="AK24" s="211">
        <f t="shared" si="6"/>
        <v>10</v>
      </c>
      <c r="AL24" s="452">
        <f t="shared" si="7"/>
        <v>240</v>
      </c>
    </row>
    <row r="25" ht="14.25" customHeight="1">
      <c r="A25" s="34">
        <v>18.0</v>
      </c>
      <c r="B25" s="35" t="s">
        <v>95</v>
      </c>
      <c r="C25" s="65">
        <v>1.0</v>
      </c>
      <c r="D25" s="90" t="s">
        <v>100</v>
      </c>
      <c r="E25" s="27" t="s">
        <v>102</v>
      </c>
      <c r="F25" s="88"/>
      <c r="G25" s="24">
        <v>24.0</v>
      </c>
      <c r="H25" s="24"/>
      <c r="I25" s="24"/>
      <c r="J25" s="24">
        <v>24.0</v>
      </c>
      <c r="K25" s="24"/>
      <c r="L25" s="110"/>
      <c r="M25" s="110">
        <v>24.0</v>
      </c>
      <c r="N25" s="24"/>
      <c r="O25" s="24"/>
      <c r="P25" s="24">
        <v>17.0</v>
      </c>
      <c r="Q25" s="24">
        <v>17.0</v>
      </c>
      <c r="R25" s="24">
        <v>17.0</v>
      </c>
      <c r="S25" s="110">
        <v>17.0</v>
      </c>
      <c r="T25" s="110">
        <v>17.0</v>
      </c>
      <c r="U25" s="24"/>
      <c r="V25" s="24"/>
      <c r="W25" s="24">
        <v>24.0</v>
      </c>
      <c r="X25" s="24"/>
      <c r="Y25" s="24"/>
      <c r="Z25" s="110">
        <v>24.0</v>
      </c>
      <c r="AA25" s="110"/>
      <c r="AB25" s="24"/>
      <c r="AC25" s="24">
        <v>24.0</v>
      </c>
      <c r="AD25" s="24"/>
      <c r="AE25" s="24"/>
      <c r="AF25" s="24">
        <v>24.0</v>
      </c>
      <c r="AG25" s="110"/>
      <c r="AH25" s="110"/>
      <c r="AI25" s="24">
        <v>24.0</v>
      </c>
      <c r="AJ25" s="24"/>
      <c r="AK25" s="211">
        <f t="shared" si="6"/>
        <v>13</v>
      </c>
      <c r="AL25" s="457">
        <f t="shared" si="7"/>
        <v>277</v>
      </c>
    </row>
    <row r="26" ht="14.25" customHeight="1">
      <c r="A26" s="34">
        <v>19.0</v>
      </c>
      <c r="B26" s="35" t="s">
        <v>95</v>
      </c>
      <c r="C26" s="65">
        <v>1.0</v>
      </c>
      <c r="D26" s="90" t="s">
        <v>212</v>
      </c>
      <c r="E26" s="27" t="s">
        <v>102</v>
      </c>
      <c r="F26" s="88"/>
      <c r="G26" s="24"/>
      <c r="H26" s="24">
        <v>24.0</v>
      </c>
      <c r="I26" s="24"/>
      <c r="J26" s="24"/>
      <c r="K26" s="24">
        <v>24.0</v>
      </c>
      <c r="L26" s="110"/>
      <c r="M26" s="110"/>
      <c r="N26" s="24">
        <v>24.0</v>
      </c>
      <c r="O26" s="24"/>
      <c r="P26" s="24"/>
      <c r="Q26" s="24">
        <v>24.0</v>
      </c>
      <c r="R26" s="24"/>
      <c r="S26" s="110"/>
      <c r="T26" s="110">
        <v>24.0</v>
      </c>
      <c r="U26" s="24"/>
      <c r="V26" s="24"/>
      <c r="W26" s="24">
        <v>17.0</v>
      </c>
      <c r="X26" s="24">
        <v>17.0</v>
      </c>
      <c r="Y26" s="24">
        <v>17.0</v>
      </c>
      <c r="Z26" s="110">
        <v>17.0</v>
      </c>
      <c r="AA26" s="110">
        <v>17.0</v>
      </c>
      <c r="AB26" s="24"/>
      <c r="AC26" s="24"/>
      <c r="AD26" s="24">
        <v>24.0</v>
      </c>
      <c r="AE26" s="24"/>
      <c r="AF26" s="24"/>
      <c r="AG26" s="110">
        <v>24.0</v>
      </c>
      <c r="AH26" s="110"/>
      <c r="AI26" s="24"/>
      <c r="AJ26" s="24">
        <v>24.0</v>
      </c>
      <c r="AK26" s="211">
        <f t="shared" si="6"/>
        <v>13</v>
      </c>
      <c r="AL26" s="457">
        <f t="shared" si="7"/>
        <v>277</v>
      </c>
    </row>
    <row r="27" ht="14.25" customHeight="1">
      <c r="A27" s="34">
        <v>21.0</v>
      </c>
      <c r="B27" s="97" t="s">
        <v>95</v>
      </c>
      <c r="C27" s="65">
        <v>1.0</v>
      </c>
      <c r="D27" s="189" t="s">
        <v>310</v>
      </c>
      <c r="E27" s="27" t="s">
        <v>269</v>
      </c>
      <c r="F27" s="88"/>
      <c r="G27" s="24"/>
      <c r="H27" s="24"/>
      <c r="I27" s="24">
        <v>24.0</v>
      </c>
      <c r="J27" s="24"/>
      <c r="K27" s="24"/>
      <c r="L27" s="110">
        <v>24.0</v>
      </c>
      <c r="M27" s="110"/>
      <c r="N27" s="24"/>
      <c r="O27" s="24">
        <v>24.0</v>
      </c>
      <c r="P27" s="24"/>
      <c r="Q27" s="24"/>
      <c r="R27" s="24">
        <v>24.0</v>
      </c>
      <c r="S27" s="110"/>
      <c r="T27" s="110"/>
      <c r="U27" s="24">
        <v>24.0</v>
      </c>
      <c r="V27" s="24"/>
      <c r="W27" s="24"/>
      <c r="X27" s="24">
        <v>24.0</v>
      </c>
      <c r="Y27" s="24"/>
      <c r="Z27" s="110"/>
      <c r="AA27" s="110">
        <v>24.0</v>
      </c>
      <c r="AB27" s="24"/>
      <c r="AC27" s="24"/>
      <c r="AD27" s="24">
        <v>17.0</v>
      </c>
      <c r="AE27" s="24">
        <v>17.0</v>
      </c>
      <c r="AF27" s="24">
        <v>17.0</v>
      </c>
      <c r="AG27" s="110">
        <v>17.0</v>
      </c>
      <c r="AH27" s="110">
        <v>17.0</v>
      </c>
      <c r="AI27" s="24"/>
      <c r="AJ27" s="24"/>
      <c r="AK27" s="211">
        <f t="shared" si="6"/>
        <v>12</v>
      </c>
      <c r="AL27" s="458">
        <f t="shared" si="7"/>
        <v>253</v>
      </c>
    </row>
    <row r="28" ht="14.25" customHeight="1">
      <c r="A28" s="34">
        <v>20.0</v>
      </c>
      <c r="B28" s="35" t="s">
        <v>95</v>
      </c>
      <c r="C28" s="65">
        <v>1.0</v>
      </c>
      <c r="D28" s="90" t="s">
        <v>311</v>
      </c>
      <c r="E28" s="27" t="s">
        <v>102</v>
      </c>
      <c r="F28" s="88"/>
      <c r="G28" s="24"/>
      <c r="H28" s="24"/>
      <c r="I28" s="24">
        <v>17.0</v>
      </c>
      <c r="J28" s="24">
        <v>17.0</v>
      </c>
      <c r="K28" s="24"/>
      <c r="L28" s="110"/>
      <c r="M28" s="110"/>
      <c r="N28" s="24"/>
      <c r="O28" s="24"/>
      <c r="P28" s="24">
        <v>24.0</v>
      </c>
      <c r="Q28" s="24"/>
      <c r="R28" s="24"/>
      <c r="S28" s="110"/>
      <c r="T28" s="110"/>
      <c r="U28" s="24"/>
      <c r="V28" s="24">
        <v>24.0</v>
      </c>
      <c r="W28" s="24"/>
      <c r="X28" s="24"/>
      <c r="Y28" s="24"/>
      <c r="Z28" s="110"/>
      <c r="AA28" s="110"/>
      <c r="AB28" s="24">
        <v>24.0</v>
      </c>
      <c r="AC28" s="24"/>
      <c r="AD28" s="24"/>
      <c r="AE28" s="24"/>
      <c r="AF28" s="24"/>
      <c r="AG28" s="110"/>
      <c r="AH28" s="110">
        <v>24.0</v>
      </c>
      <c r="AI28" s="24"/>
      <c r="AJ28" s="24"/>
      <c r="AK28" s="211">
        <f t="shared" si="6"/>
        <v>6</v>
      </c>
      <c r="AL28" s="457">
        <f t="shared" si="7"/>
        <v>130</v>
      </c>
    </row>
    <row r="29" ht="14.25" customHeight="1">
      <c r="A29" s="34">
        <v>21.0</v>
      </c>
      <c r="B29" s="35" t="s">
        <v>95</v>
      </c>
      <c r="C29" s="65">
        <v>1.0</v>
      </c>
      <c r="D29" s="90" t="s">
        <v>296</v>
      </c>
      <c r="E29" s="27" t="s">
        <v>102</v>
      </c>
      <c r="F29" s="17"/>
      <c r="G29" s="24"/>
      <c r="H29" s="24"/>
      <c r="I29" s="24"/>
      <c r="J29" s="24"/>
      <c r="K29" s="24">
        <v>17.0</v>
      </c>
      <c r="L29" s="110">
        <v>17.0</v>
      </c>
      <c r="M29" s="110">
        <v>17.0</v>
      </c>
      <c r="N29" s="24"/>
      <c r="O29" s="24"/>
      <c r="P29" s="24"/>
      <c r="Q29" s="24"/>
      <c r="R29" s="24"/>
      <c r="S29" s="110">
        <v>24.0</v>
      </c>
      <c r="T29" s="110"/>
      <c r="U29" s="24"/>
      <c r="V29" s="24"/>
      <c r="W29" s="24"/>
      <c r="X29" s="24"/>
      <c r="Y29" s="24">
        <v>24.0</v>
      </c>
      <c r="Z29" s="110"/>
      <c r="AA29" s="110"/>
      <c r="AB29" s="24"/>
      <c r="AC29" s="24"/>
      <c r="AD29" s="24"/>
      <c r="AE29" s="24">
        <v>24.0</v>
      </c>
      <c r="AF29" s="24"/>
      <c r="AG29" s="110"/>
      <c r="AH29" s="110"/>
      <c r="AI29" s="24"/>
      <c r="AJ29" s="24"/>
      <c r="AK29" s="211">
        <f t="shared" ref="AK29:AK31" si="8">COUNTA(F29:AJ29)</f>
        <v>6</v>
      </c>
      <c r="AL29" s="457">
        <f t="shared" si="7"/>
        <v>123</v>
      </c>
    </row>
    <row r="30" ht="14.25" customHeight="1">
      <c r="A30" s="106">
        <v>22.0</v>
      </c>
      <c r="B30" s="64" t="s">
        <v>184</v>
      </c>
      <c r="C30" s="101">
        <v>1.0</v>
      </c>
      <c r="D30" s="102" t="s">
        <v>311</v>
      </c>
      <c r="E30" s="101" t="s">
        <v>105</v>
      </c>
      <c r="F30" s="103">
        <v>0.4</v>
      </c>
      <c r="G30" s="106"/>
      <c r="H30" s="106"/>
      <c r="I30" s="106"/>
      <c r="J30" s="106"/>
      <c r="K30" s="106">
        <v>17.0</v>
      </c>
      <c r="L30" s="107">
        <v>17.0</v>
      </c>
      <c r="M30" s="107">
        <v>17.0</v>
      </c>
      <c r="N30" s="106"/>
      <c r="O30" s="106"/>
      <c r="P30" s="106"/>
      <c r="Q30" s="106"/>
      <c r="R30" s="106">
        <v>17.0</v>
      </c>
      <c r="S30" s="107">
        <v>17.0</v>
      </c>
      <c r="T30" s="107">
        <v>17.0</v>
      </c>
      <c r="U30" s="106"/>
      <c r="V30" s="106"/>
      <c r="W30" s="106"/>
      <c r="X30" s="106">
        <v>17.0</v>
      </c>
      <c r="Y30" s="106">
        <v>17.0</v>
      </c>
      <c r="Z30" s="107">
        <v>17.0</v>
      </c>
      <c r="AA30" s="107"/>
      <c r="AB30" s="106"/>
      <c r="AC30" s="106"/>
      <c r="AD30" s="106"/>
      <c r="AE30" s="106">
        <v>17.0</v>
      </c>
      <c r="AF30" s="106">
        <v>17.0</v>
      </c>
      <c r="AG30" s="107"/>
      <c r="AH30" s="107"/>
      <c r="AI30" s="106"/>
      <c r="AJ30" s="106"/>
      <c r="AK30" s="459">
        <f t="shared" si="8"/>
        <v>12</v>
      </c>
      <c r="AL30" s="460">
        <f t="shared" ref="AL30:AL31" si="9">SUM(F30:AJ30)</f>
        <v>187.4</v>
      </c>
    </row>
    <row r="31" ht="14.25" customHeight="1">
      <c r="A31" s="119">
        <v>23.0</v>
      </c>
      <c r="B31" s="137" t="s">
        <v>184</v>
      </c>
      <c r="C31" s="129">
        <v>1.0</v>
      </c>
      <c r="D31" s="102" t="s">
        <v>296</v>
      </c>
      <c r="E31" s="121" t="s">
        <v>105</v>
      </c>
      <c r="F31" s="103">
        <v>0.4</v>
      </c>
      <c r="G31" s="106"/>
      <c r="H31" s="106"/>
      <c r="I31" s="106">
        <v>17.0</v>
      </c>
      <c r="J31" s="106">
        <v>17.0</v>
      </c>
      <c r="K31" s="106"/>
      <c r="L31" s="107"/>
      <c r="M31" s="107"/>
      <c r="N31" s="106"/>
      <c r="O31" s="106"/>
      <c r="P31" s="106">
        <v>17.0</v>
      </c>
      <c r="Q31" s="106">
        <v>17.0</v>
      </c>
      <c r="R31" s="106"/>
      <c r="S31" s="107"/>
      <c r="T31" s="107"/>
      <c r="U31" s="106"/>
      <c r="V31" s="106"/>
      <c r="W31" s="106"/>
      <c r="X31" s="106"/>
      <c r="Y31" s="106"/>
      <c r="Z31" s="107"/>
      <c r="AA31" s="107">
        <v>17.0</v>
      </c>
      <c r="AB31" s="106"/>
      <c r="AC31" s="106"/>
      <c r="AD31" s="106"/>
      <c r="AE31" s="106"/>
      <c r="AF31" s="106"/>
      <c r="AG31" s="107">
        <v>17.0</v>
      </c>
      <c r="AH31" s="107">
        <v>17.0</v>
      </c>
      <c r="AI31" s="106"/>
      <c r="AJ31" s="106"/>
      <c r="AK31" s="459">
        <f t="shared" si="8"/>
        <v>8</v>
      </c>
      <c r="AL31" s="460">
        <f t="shared" si="9"/>
        <v>119.4</v>
      </c>
    </row>
    <row r="32" ht="14.25" customHeight="1">
      <c r="A32" s="34">
        <v>24.0</v>
      </c>
      <c r="B32" s="36" t="s">
        <v>109</v>
      </c>
      <c r="C32" s="65">
        <v>1.0</v>
      </c>
      <c r="D32" s="90" t="s">
        <v>300</v>
      </c>
      <c r="E32" s="27" t="s">
        <v>111</v>
      </c>
      <c r="F32" s="118" t="s">
        <v>26</v>
      </c>
      <c r="G32" s="24">
        <v>12.0</v>
      </c>
      <c r="H32" s="24">
        <v>12.0</v>
      </c>
      <c r="I32" s="24">
        <v>12.0</v>
      </c>
      <c r="J32" s="24"/>
      <c r="K32" s="24">
        <v>12.0</v>
      </c>
      <c r="L32" s="110">
        <v>12.0</v>
      </c>
      <c r="M32" s="110">
        <v>12.0</v>
      </c>
      <c r="N32" s="24">
        <v>12.0</v>
      </c>
      <c r="O32" s="24">
        <v>12.0</v>
      </c>
      <c r="P32" s="24">
        <v>12.0</v>
      </c>
      <c r="Q32" s="24"/>
      <c r="R32" s="24">
        <v>12.0</v>
      </c>
      <c r="S32" s="110">
        <v>12.0</v>
      </c>
      <c r="T32" s="110">
        <v>12.0</v>
      </c>
      <c r="U32" s="24">
        <v>12.0</v>
      </c>
      <c r="V32" s="24">
        <v>12.0</v>
      </c>
      <c r="W32" s="24">
        <v>12.0</v>
      </c>
      <c r="X32" s="24"/>
      <c r="Y32" s="24">
        <v>12.0</v>
      </c>
      <c r="Z32" s="110">
        <v>12.0</v>
      </c>
      <c r="AA32" s="110">
        <v>12.0</v>
      </c>
      <c r="AB32" s="24">
        <v>12.0</v>
      </c>
      <c r="AC32" s="24">
        <v>12.0</v>
      </c>
      <c r="AD32" s="24">
        <v>12.0</v>
      </c>
      <c r="AE32" s="24"/>
      <c r="AF32" s="24">
        <v>12.0</v>
      </c>
      <c r="AG32" s="110">
        <v>12.0</v>
      </c>
      <c r="AH32" s="110">
        <v>12.0</v>
      </c>
      <c r="AI32" s="24">
        <v>12.0</v>
      </c>
      <c r="AJ32" s="24">
        <v>12.0</v>
      </c>
      <c r="AK32" s="211">
        <f t="shared" ref="AK32:AK37" si="10">COUNTA(G32:AJ32)</f>
        <v>26</v>
      </c>
      <c r="AL32" s="57">
        <f t="shared" ref="AL32:AL37" si="11">SUM(G32:AJ32)</f>
        <v>312</v>
      </c>
    </row>
    <row r="33" ht="18.0" customHeight="1">
      <c r="A33" s="34">
        <v>25.0</v>
      </c>
      <c r="B33" s="35" t="s">
        <v>135</v>
      </c>
      <c r="C33" s="65">
        <v>1.0</v>
      </c>
      <c r="D33" s="90" t="s">
        <v>313</v>
      </c>
      <c r="E33" s="27" t="s">
        <v>111</v>
      </c>
      <c r="F33" s="118" t="s">
        <v>26</v>
      </c>
      <c r="G33" s="24">
        <v>12.0</v>
      </c>
      <c r="H33" s="24"/>
      <c r="I33" s="24">
        <v>12.0</v>
      </c>
      <c r="J33" s="24">
        <v>12.0</v>
      </c>
      <c r="K33" s="24">
        <v>12.0</v>
      </c>
      <c r="L33" s="110">
        <v>12.0</v>
      </c>
      <c r="M33" s="110">
        <v>12.0</v>
      </c>
      <c r="N33" s="24">
        <v>12.0</v>
      </c>
      <c r="O33" s="24"/>
      <c r="P33" s="24">
        <v>12.0</v>
      </c>
      <c r="Q33" s="24">
        <v>12.0</v>
      </c>
      <c r="R33" s="24">
        <v>2.0</v>
      </c>
      <c r="S33" s="110">
        <v>12.0</v>
      </c>
      <c r="T33" s="110">
        <v>12.0</v>
      </c>
      <c r="U33" s="24">
        <v>12.0</v>
      </c>
      <c r="V33" s="24"/>
      <c r="W33" s="24">
        <v>12.0</v>
      </c>
      <c r="X33" s="24">
        <v>12.0</v>
      </c>
      <c r="Y33" s="24">
        <v>12.0</v>
      </c>
      <c r="Z33" s="110">
        <v>12.0</v>
      </c>
      <c r="AA33" s="110">
        <v>12.0</v>
      </c>
      <c r="AB33" s="24">
        <v>12.0</v>
      </c>
      <c r="AC33" s="24"/>
      <c r="AD33" s="24">
        <v>12.0</v>
      </c>
      <c r="AE33" s="24">
        <v>12.0</v>
      </c>
      <c r="AF33" s="24">
        <v>12.0</v>
      </c>
      <c r="AG33" s="110">
        <v>12.0</v>
      </c>
      <c r="AH33" s="110">
        <v>12.0</v>
      </c>
      <c r="AI33" s="24">
        <v>12.0</v>
      </c>
      <c r="AJ33" s="24"/>
      <c r="AK33" s="211">
        <f t="shared" si="10"/>
        <v>25</v>
      </c>
      <c r="AL33" s="57">
        <f t="shared" si="11"/>
        <v>290</v>
      </c>
    </row>
    <row r="34" ht="17.25" customHeight="1">
      <c r="A34" s="34">
        <v>26.0</v>
      </c>
      <c r="B34" s="35" t="s">
        <v>135</v>
      </c>
      <c r="C34" s="65">
        <v>1.0</v>
      </c>
      <c r="D34" s="90" t="s">
        <v>297</v>
      </c>
      <c r="E34" s="27" t="s">
        <v>73</v>
      </c>
      <c r="F34" s="123" t="s">
        <v>26</v>
      </c>
      <c r="G34" s="24">
        <v>12.0</v>
      </c>
      <c r="H34" s="24">
        <v>12.0</v>
      </c>
      <c r="I34" s="24"/>
      <c r="J34" s="24">
        <v>12.0</v>
      </c>
      <c r="K34" s="24">
        <v>12.0</v>
      </c>
      <c r="L34" s="110">
        <v>12.0</v>
      </c>
      <c r="M34" s="110">
        <v>12.0</v>
      </c>
      <c r="N34" s="24">
        <v>12.0</v>
      </c>
      <c r="O34" s="24">
        <v>12.0</v>
      </c>
      <c r="P34" s="24"/>
      <c r="Q34" s="24">
        <v>12.0</v>
      </c>
      <c r="R34" s="24">
        <v>12.0</v>
      </c>
      <c r="S34" s="110">
        <v>12.0</v>
      </c>
      <c r="T34" s="110">
        <v>12.0</v>
      </c>
      <c r="U34" s="24">
        <v>12.0</v>
      </c>
      <c r="V34" s="24">
        <v>12.0</v>
      </c>
      <c r="W34" s="24"/>
      <c r="X34" s="24">
        <v>12.0</v>
      </c>
      <c r="Y34" s="24">
        <v>12.0</v>
      </c>
      <c r="Z34" s="110">
        <v>12.0</v>
      </c>
      <c r="AA34" s="110">
        <v>12.0</v>
      </c>
      <c r="AB34" s="24">
        <v>12.0</v>
      </c>
      <c r="AC34" s="24">
        <v>12.0</v>
      </c>
      <c r="AD34" s="24"/>
      <c r="AE34" s="24">
        <v>12.0</v>
      </c>
      <c r="AF34" s="24">
        <v>12.0</v>
      </c>
      <c r="AG34" s="110">
        <v>12.0</v>
      </c>
      <c r="AH34" s="110">
        <v>12.0</v>
      </c>
      <c r="AI34" s="24">
        <v>12.0</v>
      </c>
      <c r="AJ34" s="24">
        <v>12.0</v>
      </c>
      <c r="AK34" s="211">
        <f t="shared" si="10"/>
        <v>26</v>
      </c>
      <c r="AL34" s="57">
        <f t="shared" si="11"/>
        <v>312</v>
      </c>
    </row>
    <row r="35" ht="26.25" customHeight="1">
      <c r="A35" s="465">
        <v>27.0</v>
      </c>
      <c r="B35" s="128" t="s">
        <v>314</v>
      </c>
      <c r="C35" s="129">
        <v>1.0</v>
      </c>
      <c r="D35" s="130" t="s">
        <v>124</v>
      </c>
      <c r="E35" s="129" t="s">
        <v>125</v>
      </c>
      <c r="F35" s="250"/>
      <c r="G35" s="106">
        <v>12.0</v>
      </c>
      <c r="H35" s="106">
        <v>12.0</v>
      </c>
      <c r="I35" s="106">
        <v>12.0</v>
      </c>
      <c r="J35" s="106"/>
      <c r="K35" s="106"/>
      <c r="L35" s="107"/>
      <c r="M35" s="107"/>
      <c r="N35" s="106">
        <v>12.0</v>
      </c>
      <c r="O35" s="106">
        <v>12.0</v>
      </c>
      <c r="P35" s="106">
        <v>12.0</v>
      </c>
      <c r="Q35" s="106"/>
      <c r="R35" s="106"/>
      <c r="S35" s="107"/>
      <c r="T35" s="107"/>
      <c r="U35" s="106">
        <v>12.0</v>
      </c>
      <c r="V35" s="106">
        <v>12.0</v>
      </c>
      <c r="W35" s="106">
        <v>12.0</v>
      </c>
      <c r="X35" s="106"/>
      <c r="Y35" s="106"/>
      <c r="Z35" s="107"/>
      <c r="AA35" s="107"/>
      <c r="AB35" s="106">
        <v>12.0</v>
      </c>
      <c r="AC35" s="106">
        <v>12.0</v>
      </c>
      <c r="AD35" s="106">
        <v>12.0</v>
      </c>
      <c r="AE35" s="106"/>
      <c r="AF35" s="106"/>
      <c r="AG35" s="107"/>
      <c r="AH35" s="107"/>
      <c r="AI35" s="106">
        <v>12.0</v>
      </c>
      <c r="AJ35" s="106">
        <v>12.0</v>
      </c>
      <c r="AK35" s="459">
        <f t="shared" si="10"/>
        <v>14</v>
      </c>
      <c r="AL35" s="466">
        <f t="shared" si="11"/>
        <v>168</v>
      </c>
    </row>
    <row r="36" ht="22.5" customHeight="1">
      <c r="A36" s="17"/>
      <c r="B36" s="17"/>
      <c r="C36" s="17"/>
      <c r="D36" s="17"/>
      <c r="E36" s="121" t="s">
        <v>315</v>
      </c>
      <c r="F36" s="17"/>
      <c r="G36" s="106"/>
      <c r="H36" s="106"/>
      <c r="I36" s="106"/>
      <c r="J36" s="106">
        <v>12.0</v>
      </c>
      <c r="K36" s="106">
        <v>12.0</v>
      </c>
      <c r="L36" s="107">
        <v>12.0</v>
      </c>
      <c r="M36" s="107"/>
      <c r="N36" s="106"/>
      <c r="O36" s="106"/>
      <c r="P36" s="106"/>
      <c r="Q36" s="106">
        <v>12.0</v>
      </c>
      <c r="R36" s="106">
        <v>12.0</v>
      </c>
      <c r="S36" s="107">
        <v>12.0</v>
      </c>
      <c r="T36" s="107"/>
      <c r="U36" s="106"/>
      <c r="V36" s="106"/>
      <c r="W36" s="106"/>
      <c r="X36" s="106">
        <v>12.0</v>
      </c>
      <c r="Y36" s="106">
        <v>12.0</v>
      </c>
      <c r="Z36" s="107">
        <v>12.0</v>
      </c>
      <c r="AA36" s="107"/>
      <c r="AB36" s="106"/>
      <c r="AC36" s="106"/>
      <c r="AD36" s="106"/>
      <c r="AE36" s="106">
        <v>12.0</v>
      </c>
      <c r="AF36" s="106">
        <v>12.0</v>
      </c>
      <c r="AG36" s="107">
        <v>12.0</v>
      </c>
      <c r="AH36" s="107"/>
      <c r="AI36" s="106"/>
      <c r="AJ36" s="106"/>
      <c r="AK36" s="459">
        <f t="shared" si="10"/>
        <v>12</v>
      </c>
      <c r="AL36" s="466">
        <f t="shared" si="11"/>
        <v>144</v>
      </c>
    </row>
    <row r="37" ht="21.0" customHeight="1">
      <c r="A37" s="34">
        <v>28.0</v>
      </c>
      <c r="B37" s="35" t="s">
        <v>144</v>
      </c>
      <c r="C37" s="27">
        <v>1.0</v>
      </c>
      <c r="D37" s="36" t="s">
        <v>124</v>
      </c>
      <c r="E37" s="27" t="s">
        <v>133</v>
      </c>
      <c r="F37" s="123" t="s">
        <v>26</v>
      </c>
      <c r="G37" s="24">
        <v>12.0</v>
      </c>
      <c r="H37" s="24">
        <v>12.0</v>
      </c>
      <c r="I37" s="24">
        <v>12.0</v>
      </c>
      <c r="J37" s="24"/>
      <c r="K37" s="24">
        <v>12.0</v>
      </c>
      <c r="L37" s="110">
        <v>12.0</v>
      </c>
      <c r="M37" s="110">
        <v>12.0</v>
      </c>
      <c r="N37" s="24">
        <v>12.0</v>
      </c>
      <c r="O37" s="24">
        <v>12.0</v>
      </c>
      <c r="P37" s="24">
        <v>12.0</v>
      </c>
      <c r="Q37" s="24"/>
      <c r="R37" s="24">
        <v>12.0</v>
      </c>
      <c r="S37" s="110">
        <v>12.0</v>
      </c>
      <c r="T37" s="110">
        <v>12.0</v>
      </c>
      <c r="U37" s="24">
        <v>12.0</v>
      </c>
      <c r="V37" s="24">
        <v>12.0</v>
      </c>
      <c r="W37" s="24">
        <v>12.0</v>
      </c>
      <c r="X37" s="24"/>
      <c r="Y37" s="24">
        <v>12.0</v>
      </c>
      <c r="Z37" s="110">
        <v>12.0</v>
      </c>
      <c r="AA37" s="110">
        <v>12.0</v>
      </c>
      <c r="AB37" s="24">
        <v>12.0</v>
      </c>
      <c r="AC37" s="24">
        <v>12.0</v>
      </c>
      <c r="AD37" s="24">
        <v>12.0</v>
      </c>
      <c r="AE37" s="24"/>
      <c r="AF37" s="24">
        <v>12.0</v>
      </c>
      <c r="AG37" s="110">
        <v>12.0</v>
      </c>
      <c r="AH37" s="110">
        <v>12.0</v>
      </c>
      <c r="AI37" s="24">
        <v>12.0</v>
      </c>
      <c r="AJ37" s="24">
        <v>12.0</v>
      </c>
      <c r="AK37" s="211">
        <f t="shared" si="10"/>
        <v>26</v>
      </c>
      <c r="AL37" s="57">
        <f t="shared" si="11"/>
        <v>312</v>
      </c>
    </row>
    <row r="38" ht="19.5" customHeight="1">
      <c r="A38" s="34">
        <v>30.0</v>
      </c>
      <c r="B38" s="35" t="s">
        <v>136</v>
      </c>
      <c r="C38" s="27">
        <v>1.0</v>
      </c>
      <c r="D38" s="36" t="s">
        <v>316</v>
      </c>
      <c r="E38" s="26" t="s">
        <v>138</v>
      </c>
      <c r="F38" s="28" t="s">
        <v>26</v>
      </c>
      <c r="G38" s="24">
        <v>11.0</v>
      </c>
      <c r="H38" s="24" t="s">
        <v>317</v>
      </c>
      <c r="I38" s="24">
        <v>11.0</v>
      </c>
      <c r="J38" s="24" t="s">
        <v>317</v>
      </c>
      <c r="K38" s="24">
        <v>11.0</v>
      </c>
      <c r="L38" s="110" t="s">
        <v>317</v>
      </c>
      <c r="M38" s="110">
        <v>11.0</v>
      </c>
      <c r="N38" s="24" t="s">
        <v>317</v>
      </c>
      <c r="O38" s="24">
        <v>11.0</v>
      </c>
      <c r="P38" s="24" t="s">
        <v>317</v>
      </c>
      <c r="Q38" s="24">
        <v>11.0</v>
      </c>
      <c r="R38" s="24" t="s">
        <v>317</v>
      </c>
      <c r="S38" s="110">
        <v>11.0</v>
      </c>
      <c r="T38" s="110" t="s">
        <v>317</v>
      </c>
      <c r="U38" s="24">
        <v>11.0</v>
      </c>
      <c r="V38" s="24" t="s">
        <v>317</v>
      </c>
      <c r="W38" s="24">
        <v>11.0</v>
      </c>
      <c r="X38" s="24" t="s">
        <v>317</v>
      </c>
      <c r="Y38" s="24">
        <v>11.0</v>
      </c>
      <c r="Z38" s="110" t="s">
        <v>317</v>
      </c>
      <c r="AA38" s="110">
        <v>11.0</v>
      </c>
      <c r="AB38" s="24" t="s">
        <v>317</v>
      </c>
      <c r="AC38" s="24">
        <v>11.0</v>
      </c>
      <c r="AD38" s="24" t="s">
        <v>317</v>
      </c>
      <c r="AE38" s="24">
        <v>11.0</v>
      </c>
      <c r="AF38" s="24" t="s">
        <v>317</v>
      </c>
      <c r="AG38" s="110">
        <v>11.0</v>
      </c>
      <c r="AH38" s="110" t="s">
        <v>317</v>
      </c>
      <c r="AI38" s="24">
        <v>11.0</v>
      </c>
      <c r="AJ38" s="24" t="s">
        <v>317</v>
      </c>
      <c r="AK38" s="461">
        <v>26.0</v>
      </c>
      <c r="AL38" s="57">
        <f>SUM(G38:AK38)</f>
        <v>191</v>
      </c>
    </row>
    <row r="39" ht="14.25" customHeight="1">
      <c r="A39" s="21"/>
      <c r="B39" s="20" t="s">
        <v>140</v>
      </c>
      <c r="C39" s="21"/>
      <c r="D39" s="20" t="s">
        <v>140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2"/>
      <c r="AD39" s="212"/>
      <c r="AE39" s="212"/>
      <c r="AF39" s="212"/>
      <c r="AG39" s="212"/>
      <c r="AH39" s="212"/>
      <c r="AI39" s="212"/>
      <c r="AJ39" s="212"/>
      <c r="AK39" s="21"/>
      <c r="AL39" s="45"/>
    </row>
    <row r="40" ht="14.25" customHeight="1">
      <c r="A40" s="34">
        <v>31.0</v>
      </c>
      <c r="B40" s="35" t="s">
        <v>140</v>
      </c>
      <c r="C40" s="27">
        <v>1.0</v>
      </c>
      <c r="D40" s="117" t="s">
        <v>145</v>
      </c>
      <c r="E40" s="139" t="s">
        <v>51</v>
      </c>
      <c r="F40" s="28" t="s">
        <v>85</v>
      </c>
      <c r="G40" s="24"/>
      <c r="H40" s="24">
        <v>24.0</v>
      </c>
      <c r="I40" s="24"/>
      <c r="J40" s="24"/>
      <c r="K40" s="24">
        <v>24.0</v>
      </c>
      <c r="L40" s="110"/>
      <c r="M40" s="110"/>
      <c r="N40" s="24">
        <v>24.0</v>
      </c>
      <c r="O40" s="24"/>
      <c r="P40" s="24"/>
      <c r="Q40" s="24">
        <v>24.0</v>
      </c>
      <c r="R40" s="24"/>
      <c r="S40" s="110"/>
      <c r="T40" s="110">
        <v>24.0</v>
      </c>
      <c r="U40" s="24"/>
      <c r="V40" s="24"/>
      <c r="W40" s="24">
        <v>24.0</v>
      </c>
      <c r="X40" s="24"/>
      <c r="Y40" s="24"/>
      <c r="Z40" s="110">
        <v>24.0</v>
      </c>
      <c r="AA40" s="110"/>
      <c r="AB40" s="24"/>
      <c r="AC40" s="24">
        <v>24.0</v>
      </c>
      <c r="AD40" s="24"/>
      <c r="AE40" s="24"/>
      <c r="AF40" s="24">
        <v>24.0</v>
      </c>
      <c r="AG40" s="110"/>
      <c r="AH40" s="110"/>
      <c r="AI40" s="24">
        <v>24.0</v>
      </c>
      <c r="AJ40" s="24"/>
      <c r="AK40" s="211">
        <f t="shared" ref="AK40:AK42" si="12">COUNTA(G40:AJ40)</f>
        <v>10</v>
      </c>
      <c r="AL40" s="57">
        <f t="shared" ref="AL40:AL42" si="13">SUM(G40:AJ40)</f>
        <v>240</v>
      </c>
    </row>
    <row r="41" ht="14.25" customHeight="1">
      <c r="A41" s="24">
        <v>32.0</v>
      </c>
      <c r="B41" s="35" t="s">
        <v>140</v>
      </c>
      <c r="C41" s="27">
        <v>1.0</v>
      </c>
      <c r="D41" s="117" t="s">
        <v>318</v>
      </c>
      <c r="E41" s="139" t="s">
        <v>51</v>
      </c>
      <c r="F41" s="28" t="s">
        <v>85</v>
      </c>
      <c r="G41" s="24">
        <v>24.0</v>
      </c>
      <c r="H41" s="24"/>
      <c r="I41" s="24"/>
      <c r="J41" s="24">
        <v>24.0</v>
      </c>
      <c r="K41" s="24"/>
      <c r="L41" s="110"/>
      <c r="M41" s="110">
        <v>24.0</v>
      </c>
      <c r="N41" s="24"/>
      <c r="O41" s="24"/>
      <c r="P41" s="24">
        <v>24.0</v>
      </c>
      <c r="Q41" s="24"/>
      <c r="R41" s="24"/>
      <c r="S41" s="110">
        <v>24.0</v>
      </c>
      <c r="T41" s="110"/>
      <c r="U41" s="24"/>
      <c r="V41" s="24">
        <v>24.0</v>
      </c>
      <c r="W41" s="24"/>
      <c r="X41" s="24"/>
      <c r="Y41" s="24">
        <v>24.0</v>
      </c>
      <c r="Z41" s="110"/>
      <c r="AA41" s="110"/>
      <c r="AB41" s="24">
        <v>24.0</v>
      </c>
      <c r="AC41" s="24"/>
      <c r="AD41" s="24"/>
      <c r="AE41" s="24">
        <v>24.0</v>
      </c>
      <c r="AF41" s="24"/>
      <c r="AG41" s="110"/>
      <c r="AH41" s="110">
        <v>24.0</v>
      </c>
      <c r="AI41" s="24"/>
      <c r="AJ41" s="24"/>
      <c r="AK41" s="211">
        <f t="shared" si="12"/>
        <v>10</v>
      </c>
      <c r="AL41" s="57">
        <f t="shared" si="13"/>
        <v>240</v>
      </c>
    </row>
    <row r="42" ht="14.25" customHeight="1">
      <c r="A42" s="24">
        <v>33.0</v>
      </c>
      <c r="B42" s="35" t="s">
        <v>140</v>
      </c>
      <c r="C42" s="27">
        <v>1.0</v>
      </c>
      <c r="D42" s="117" t="s">
        <v>319</v>
      </c>
      <c r="E42" s="139" t="s">
        <v>51</v>
      </c>
      <c r="F42" s="28" t="s">
        <v>85</v>
      </c>
      <c r="G42" s="24"/>
      <c r="H42" s="24"/>
      <c r="I42" s="24">
        <v>24.0</v>
      </c>
      <c r="J42" s="24"/>
      <c r="K42" s="24"/>
      <c r="L42" s="110">
        <v>24.0</v>
      </c>
      <c r="M42" s="110"/>
      <c r="N42" s="24"/>
      <c r="O42" s="24">
        <v>24.0</v>
      </c>
      <c r="P42" s="24"/>
      <c r="Q42" s="24"/>
      <c r="R42" s="24">
        <v>24.0</v>
      </c>
      <c r="S42" s="110"/>
      <c r="T42" s="110"/>
      <c r="U42" s="24">
        <v>24.0</v>
      </c>
      <c r="V42" s="24"/>
      <c r="W42" s="24"/>
      <c r="X42" s="24">
        <v>24.0</v>
      </c>
      <c r="Y42" s="24"/>
      <c r="Z42" s="110"/>
      <c r="AA42" s="110">
        <v>24.0</v>
      </c>
      <c r="AB42" s="24"/>
      <c r="AC42" s="24"/>
      <c r="AD42" s="24">
        <v>24.0</v>
      </c>
      <c r="AE42" s="24"/>
      <c r="AF42" s="24"/>
      <c r="AG42" s="110">
        <v>24.0</v>
      </c>
      <c r="AH42" s="110"/>
      <c r="AI42" s="24"/>
      <c r="AJ42" s="24">
        <v>24.0</v>
      </c>
      <c r="AK42" s="211">
        <f t="shared" si="12"/>
        <v>10</v>
      </c>
      <c r="AL42" s="57">
        <f t="shared" si="13"/>
        <v>240</v>
      </c>
    </row>
    <row r="43" ht="14.25" customHeight="1">
      <c r="A43" s="142"/>
      <c r="B43" s="143" t="s">
        <v>151</v>
      </c>
      <c r="C43" s="144">
        <v>33.0</v>
      </c>
      <c r="D43" s="143" t="s">
        <v>152</v>
      </c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21"/>
      <c r="AL43" s="45"/>
    </row>
    <row r="44" ht="14.25" customHeight="1">
      <c r="A44" s="142"/>
      <c r="B44" s="146" t="s">
        <v>154</v>
      </c>
      <c r="C44" s="147"/>
      <c r="D44" s="147"/>
      <c r="E44" s="147"/>
      <c r="F44" s="148"/>
      <c r="G44" s="144" t="s">
        <v>155</v>
      </c>
      <c r="H44" s="144" t="s">
        <v>155</v>
      </c>
      <c r="I44" s="144" t="s">
        <v>155</v>
      </c>
      <c r="J44" s="144" t="s">
        <v>155</v>
      </c>
      <c r="K44" s="144" t="s">
        <v>155</v>
      </c>
      <c r="L44" s="144" t="s">
        <v>155</v>
      </c>
      <c r="M44" s="144" t="s">
        <v>155</v>
      </c>
      <c r="N44" s="144" t="s">
        <v>155</v>
      </c>
      <c r="O44" s="144" t="s">
        <v>155</v>
      </c>
      <c r="P44" s="144" t="s">
        <v>155</v>
      </c>
      <c r="Q44" s="144" t="s">
        <v>155</v>
      </c>
      <c r="R44" s="144" t="s">
        <v>155</v>
      </c>
      <c r="S44" s="144" t="s">
        <v>155</v>
      </c>
      <c r="T44" s="144" t="s">
        <v>155</v>
      </c>
      <c r="U44" s="144" t="s">
        <v>155</v>
      </c>
      <c r="V44" s="144" t="s">
        <v>155</v>
      </c>
      <c r="W44" s="144" t="s">
        <v>155</v>
      </c>
      <c r="X44" s="144" t="s">
        <v>155</v>
      </c>
      <c r="Y44" s="144" t="s">
        <v>155</v>
      </c>
      <c r="Z44" s="144" t="s">
        <v>155</v>
      </c>
      <c r="AA44" s="144" t="s">
        <v>155</v>
      </c>
      <c r="AB44" s="144" t="s">
        <v>155</v>
      </c>
      <c r="AC44" s="144" t="s">
        <v>155</v>
      </c>
      <c r="AD44" s="144" t="s">
        <v>155</v>
      </c>
      <c r="AE44" s="144" t="s">
        <v>155</v>
      </c>
      <c r="AF44" s="144" t="s">
        <v>155</v>
      </c>
      <c r="AG44" s="144" t="s">
        <v>155</v>
      </c>
      <c r="AH44" s="144" t="s">
        <v>155</v>
      </c>
      <c r="AI44" s="144" t="s">
        <v>155</v>
      </c>
      <c r="AJ44" s="144" t="s">
        <v>155</v>
      </c>
      <c r="AK44" s="21"/>
      <c r="AL44" s="45"/>
    </row>
    <row r="45" ht="14.25" customHeight="1">
      <c r="A45" s="142"/>
      <c r="B45" s="146" t="s">
        <v>156</v>
      </c>
      <c r="C45" s="147"/>
      <c r="D45" s="147"/>
      <c r="E45" s="147"/>
      <c r="F45" s="148"/>
      <c r="G45" s="144">
        <f t="shared" ref="G45:AJ45" si="14">COUNTA(#REF!,#REF!,#REF!,#REF!,#REF!)</f>
        <v>5</v>
      </c>
      <c r="H45" s="144">
        <f t="shared" si="14"/>
        <v>5</v>
      </c>
      <c r="I45" s="144">
        <f t="shared" si="14"/>
        <v>5</v>
      </c>
      <c r="J45" s="144">
        <f t="shared" si="14"/>
        <v>5</v>
      </c>
      <c r="K45" s="144">
        <f t="shared" si="14"/>
        <v>5</v>
      </c>
      <c r="L45" s="144">
        <f t="shared" si="14"/>
        <v>5</v>
      </c>
      <c r="M45" s="144">
        <f t="shared" si="14"/>
        <v>5</v>
      </c>
      <c r="N45" s="144">
        <f t="shared" si="14"/>
        <v>5</v>
      </c>
      <c r="O45" s="144">
        <f t="shared" si="14"/>
        <v>5</v>
      </c>
      <c r="P45" s="144">
        <f t="shared" si="14"/>
        <v>5</v>
      </c>
      <c r="Q45" s="144">
        <f t="shared" si="14"/>
        <v>5</v>
      </c>
      <c r="R45" s="144">
        <f t="shared" si="14"/>
        <v>5</v>
      </c>
      <c r="S45" s="144">
        <f t="shared" si="14"/>
        <v>5</v>
      </c>
      <c r="T45" s="144">
        <f t="shared" si="14"/>
        <v>5</v>
      </c>
      <c r="U45" s="144">
        <f t="shared" si="14"/>
        <v>5</v>
      </c>
      <c r="V45" s="144">
        <f t="shared" si="14"/>
        <v>5</v>
      </c>
      <c r="W45" s="144">
        <f t="shared" si="14"/>
        <v>5</v>
      </c>
      <c r="X45" s="144">
        <f t="shared" si="14"/>
        <v>5</v>
      </c>
      <c r="Y45" s="144">
        <f t="shared" si="14"/>
        <v>5</v>
      </c>
      <c r="Z45" s="144">
        <f t="shared" si="14"/>
        <v>5</v>
      </c>
      <c r="AA45" s="144">
        <f t="shared" si="14"/>
        <v>5</v>
      </c>
      <c r="AB45" s="144">
        <f t="shared" si="14"/>
        <v>5</v>
      </c>
      <c r="AC45" s="144">
        <f t="shared" si="14"/>
        <v>5</v>
      </c>
      <c r="AD45" s="144">
        <f t="shared" si="14"/>
        <v>5</v>
      </c>
      <c r="AE45" s="144">
        <f t="shared" si="14"/>
        <v>5</v>
      </c>
      <c r="AF45" s="144">
        <f t="shared" si="14"/>
        <v>5</v>
      </c>
      <c r="AG45" s="144">
        <f t="shared" si="14"/>
        <v>5</v>
      </c>
      <c r="AH45" s="144">
        <f t="shared" si="14"/>
        <v>5</v>
      </c>
      <c r="AI45" s="144">
        <f t="shared" si="14"/>
        <v>5</v>
      </c>
      <c r="AJ45" s="144">
        <f t="shared" si="14"/>
        <v>5</v>
      </c>
      <c r="AK45" s="21"/>
      <c r="AL45" s="45"/>
    </row>
    <row r="46" ht="14.25" customHeight="1">
      <c r="A46" s="142"/>
      <c r="B46" s="146" t="s">
        <v>157</v>
      </c>
      <c r="C46" s="147"/>
      <c r="D46" s="147"/>
      <c r="E46" s="147"/>
      <c r="F46" s="148"/>
      <c r="G46" s="269">
        <f t="shared" ref="G46:AJ46" si="15">COUNTA(#REF!,#REF!)</f>
        <v>2</v>
      </c>
      <c r="H46" s="269">
        <f t="shared" si="15"/>
        <v>2</v>
      </c>
      <c r="I46" s="269">
        <f t="shared" si="15"/>
        <v>2</v>
      </c>
      <c r="J46" s="269">
        <f t="shared" si="15"/>
        <v>2</v>
      </c>
      <c r="K46" s="269">
        <f t="shared" si="15"/>
        <v>2</v>
      </c>
      <c r="L46" s="269">
        <f t="shared" si="15"/>
        <v>2</v>
      </c>
      <c r="M46" s="269">
        <f t="shared" si="15"/>
        <v>2</v>
      </c>
      <c r="N46" s="269">
        <f t="shared" si="15"/>
        <v>2</v>
      </c>
      <c r="O46" s="269">
        <f t="shared" si="15"/>
        <v>2</v>
      </c>
      <c r="P46" s="269">
        <f t="shared" si="15"/>
        <v>2</v>
      </c>
      <c r="Q46" s="269">
        <f t="shared" si="15"/>
        <v>2</v>
      </c>
      <c r="R46" s="269">
        <f t="shared" si="15"/>
        <v>2</v>
      </c>
      <c r="S46" s="269">
        <f t="shared" si="15"/>
        <v>2</v>
      </c>
      <c r="T46" s="269">
        <f t="shared" si="15"/>
        <v>2</v>
      </c>
      <c r="U46" s="269">
        <f t="shared" si="15"/>
        <v>2</v>
      </c>
      <c r="V46" s="269">
        <f t="shared" si="15"/>
        <v>2</v>
      </c>
      <c r="W46" s="269">
        <f t="shared" si="15"/>
        <v>2</v>
      </c>
      <c r="X46" s="269">
        <f t="shared" si="15"/>
        <v>2</v>
      </c>
      <c r="Y46" s="269">
        <f t="shared" si="15"/>
        <v>2</v>
      </c>
      <c r="Z46" s="269">
        <f t="shared" si="15"/>
        <v>2</v>
      </c>
      <c r="AA46" s="269">
        <f t="shared" si="15"/>
        <v>2</v>
      </c>
      <c r="AB46" s="269">
        <f t="shared" si="15"/>
        <v>2</v>
      </c>
      <c r="AC46" s="269">
        <f t="shared" si="15"/>
        <v>2</v>
      </c>
      <c r="AD46" s="269">
        <f t="shared" si="15"/>
        <v>2</v>
      </c>
      <c r="AE46" s="269">
        <f t="shared" si="15"/>
        <v>2</v>
      </c>
      <c r="AF46" s="269">
        <f t="shared" si="15"/>
        <v>2</v>
      </c>
      <c r="AG46" s="269">
        <f t="shared" si="15"/>
        <v>2</v>
      </c>
      <c r="AH46" s="269">
        <f t="shared" si="15"/>
        <v>2</v>
      </c>
      <c r="AI46" s="269">
        <f t="shared" si="15"/>
        <v>2</v>
      </c>
      <c r="AJ46" s="269">
        <f t="shared" si="15"/>
        <v>2</v>
      </c>
      <c r="AK46" s="21"/>
      <c r="AL46" s="45"/>
    </row>
    <row r="47" ht="14.25" customHeight="1">
      <c r="A47" s="2"/>
      <c r="B47" s="3"/>
      <c r="C47" s="2"/>
      <c r="D47" s="2"/>
      <c r="E47" s="2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280"/>
      <c r="AL47" s="11"/>
    </row>
    <row r="48" ht="14.25" customHeight="1">
      <c r="A48" s="152"/>
      <c r="B48" s="153"/>
      <c r="C48" s="154"/>
      <c r="D48" s="155" t="s">
        <v>159</v>
      </c>
      <c r="E48" s="155"/>
      <c r="F48" s="156"/>
      <c r="G48" s="213">
        <f t="shared" ref="G48:AG48" si="16">COUNTA(G10,G11:G14,#REF!,G22:G23,G39,G21:G37,G27)</f>
        <v>12</v>
      </c>
      <c r="H48" s="213">
        <f t="shared" si="16"/>
        <v>12</v>
      </c>
      <c r="I48" s="213">
        <f t="shared" si="16"/>
        <v>14</v>
      </c>
      <c r="J48" s="213">
        <f t="shared" si="16"/>
        <v>13</v>
      </c>
      <c r="K48" s="213">
        <f t="shared" si="16"/>
        <v>12</v>
      </c>
      <c r="L48" s="213">
        <f t="shared" si="16"/>
        <v>12</v>
      </c>
      <c r="M48" s="213">
        <f t="shared" si="16"/>
        <v>13</v>
      </c>
      <c r="N48" s="213">
        <f t="shared" si="16"/>
        <v>12</v>
      </c>
      <c r="O48" s="213">
        <f t="shared" si="16"/>
        <v>12</v>
      </c>
      <c r="P48" s="213">
        <f t="shared" si="16"/>
        <v>14</v>
      </c>
      <c r="Q48" s="213">
        <f t="shared" si="16"/>
        <v>13</v>
      </c>
      <c r="R48" s="213">
        <f t="shared" si="16"/>
        <v>12</v>
      </c>
      <c r="S48" s="213">
        <f t="shared" si="16"/>
        <v>12</v>
      </c>
      <c r="T48" s="213">
        <f t="shared" si="16"/>
        <v>13</v>
      </c>
      <c r="U48" s="213">
        <f t="shared" si="16"/>
        <v>12</v>
      </c>
      <c r="V48" s="213">
        <f t="shared" si="16"/>
        <v>12</v>
      </c>
      <c r="W48" s="213">
        <f t="shared" si="16"/>
        <v>13</v>
      </c>
      <c r="X48" s="213">
        <f t="shared" si="16"/>
        <v>13</v>
      </c>
      <c r="Y48" s="213">
        <f t="shared" si="16"/>
        <v>12</v>
      </c>
      <c r="Z48" s="213">
        <f t="shared" si="16"/>
        <v>12</v>
      </c>
      <c r="AA48" s="213">
        <f t="shared" si="16"/>
        <v>13</v>
      </c>
      <c r="AB48" s="213">
        <f t="shared" si="16"/>
        <v>12</v>
      </c>
      <c r="AC48" s="213">
        <f t="shared" si="16"/>
        <v>12</v>
      </c>
      <c r="AD48" s="213">
        <f t="shared" si="16"/>
        <v>13</v>
      </c>
      <c r="AE48" s="213">
        <f t="shared" si="16"/>
        <v>14</v>
      </c>
      <c r="AF48" s="213">
        <f t="shared" si="16"/>
        <v>13</v>
      </c>
      <c r="AG48" s="213">
        <f t="shared" si="16"/>
        <v>12</v>
      </c>
      <c r="AH48" s="213"/>
      <c r="AI48" s="213"/>
      <c r="AJ48" s="213"/>
      <c r="AK48" s="287">
        <f t="shared" ref="AK48:AK51" si="18">SUM(G48:AJ48)</f>
        <v>339</v>
      </c>
      <c r="AL48" s="158">
        <v>250.0</v>
      </c>
    </row>
    <row r="49" ht="14.25" customHeight="1">
      <c r="A49" s="159"/>
      <c r="B49" s="160"/>
      <c r="C49" s="161"/>
      <c r="D49" s="162" t="s">
        <v>160</v>
      </c>
      <c r="E49" s="162"/>
      <c r="F49" s="163"/>
      <c r="G49" s="289">
        <f>COUNTA(G10,#REF!,#REF!,H14,G21:G37,G22:G39)</f>
        <v>18</v>
      </c>
      <c r="H49" s="289">
        <f>COUNTA(H10,#REF!,#REF!,#REF!,H21:H37,H22:H39)</f>
        <v>17</v>
      </c>
      <c r="I49" s="289">
        <f t="shared" ref="I49:AG49" si="17">COUNTA(I10,#REF!,#REF!,I14,I21:I37,I22:I39)</f>
        <v>20</v>
      </c>
      <c r="J49" s="289">
        <f t="shared" si="17"/>
        <v>18</v>
      </c>
      <c r="K49" s="289">
        <f t="shared" si="17"/>
        <v>21</v>
      </c>
      <c r="L49" s="289">
        <f t="shared" si="17"/>
        <v>21</v>
      </c>
      <c r="M49" s="289">
        <f t="shared" si="17"/>
        <v>20</v>
      </c>
      <c r="N49" s="289">
        <f t="shared" si="17"/>
        <v>18</v>
      </c>
      <c r="O49" s="289">
        <f t="shared" si="17"/>
        <v>16</v>
      </c>
      <c r="P49" s="289">
        <f t="shared" si="17"/>
        <v>20</v>
      </c>
      <c r="Q49" s="289">
        <f t="shared" si="17"/>
        <v>18</v>
      </c>
      <c r="R49" s="289">
        <f t="shared" si="17"/>
        <v>21</v>
      </c>
      <c r="S49" s="289">
        <f t="shared" si="17"/>
        <v>21</v>
      </c>
      <c r="T49" s="289">
        <f t="shared" si="17"/>
        <v>20</v>
      </c>
      <c r="U49" s="289">
        <f t="shared" si="17"/>
        <v>18</v>
      </c>
      <c r="V49" s="289">
        <f t="shared" si="17"/>
        <v>16</v>
      </c>
      <c r="W49" s="289">
        <f t="shared" si="17"/>
        <v>18</v>
      </c>
      <c r="X49" s="289">
        <f t="shared" si="17"/>
        <v>18</v>
      </c>
      <c r="Y49" s="289">
        <f t="shared" si="17"/>
        <v>21</v>
      </c>
      <c r="Z49" s="289">
        <f t="shared" si="17"/>
        <v>21</v>
      </c>
      <c r="AA49" s="289">
        <f t="shared" si="17"/>
        <v>20</v>
      </c>
      <c r="AB49" s="289">
        <f t="shared" si="17"/>
        <v>18</v>
      </c>
      <c r="AC49" s="289">
        <f t="shared" si="17"/>
        <v>16</v>
      </c>
      <c r="AD49" s="289">
        <f t="shared" si="17"/>
        <v>18</v>
      </c>
      <c r="AE49" s="289">
        <f t="shared" si="17"/>
        <v>18</v>
      </c>
      <c r="AF49" s="289">
        <f t="shared" si="17"/>
        <v>21</v>
      </c>
      <c r="AG49" s="289">
        <f t="shared" si="17"/>
        <v>21</v>
      </c>
      <c r="AH49" s="289"/>
      <c r="AI49" s="289"/>
      <c r="AJ49" s="289"/>
      <c r="AK49" s="294">
        <f t="shared" si="18"/>
        <v>513</v>
      </c>
      <c r="AL49" s="158"/>
    </row>
    <row r="50" ht="14.25" customHeight="1">
      <c r="A50" s="166"/>
      <c r="B50" s="167"/>
      <c r="C50" s="168"/>
      <c r="D50" s="169" t="s">
        <v>161</v>
      </c>
      <c r="E50" s="169"/>
      <c r="F50" s="170"/>
      <c r="G50" s="295">
        <f t="shared" ref="G50:AG50" si="19">COUNTA(G21:G37,G27,G39:G40)</f>
        <v>7</v>
      </c>
      <c r="H50" s="295">
        <f t="shared" si="19"/>
        <v>7</v>
      </c>
      <c r="I50" s="295">
        <f t="shared" si="19"/>
        <v>9</v>
      </c>
      <c r="J50" s="295">
        <f t="shared" si="19"/>
        <v>7</v>
      </c>
      <c r="K50" s="295">
        <f t="shared" si="19"/>
        <v>10</v>
      </c>
      <c r="L50" s="295">
        <f t="shared" si="19"/>
        <v>10</v>
      </c>
      <c r="M50" s="295">
        <f t="shared" si="19"/>
        <v>8</v>
      </c>
      <c r="N50" s="295">
        <f t="shared" si="19"/>
        <v>8</v>
      </c>
      <c r="O50" s="295">
        <f t="shared" si="19"/>
        <v>7</v>
      </c>
      <c r="P50" s="295">
        <f t="shared" si="19"/>
        <v>8</v>
      </c>
      <c r="Q50" s="295">
        <f t="shared" si="19"/>
        <v>8</v>
      </c>
      <c r="R50" s="295">
        <f t="shared" si="19"/>
        <v>10</v>
      </c>
      <c r="S50" s="295">
        <f t="shared" si="19"/>
        <v>9</v>
      </c>
      <c r="T50" s="295">
        <f t="shared" si="19"/>
        <v>9</v>
      </c>
      <c r="U50" s="295">
        <f t="shared" si="19"/>
        <v>8</v>
      </c>
      <c r="V50" s="295">
        <f t="shared" si="19"/>
        <v>6</v>
      </c>
      <c r="W50" s="295">
        <f t="shared" si="19"/>
        <v>8</v>
      </c>
      <c r="X50" s="295">
        <f t="shared" si="19"/>
        <v>8</v>
      </c>
      <c r="Y50" s="295">
        <f t="shared" si="19"/>
        <v>9</v>
      </c>
      <c r="Z50" s="295">
        <f t="shared" si="19"/>
        <v>10</v>
      </c>
      <c r="AA50" s="295">
        <f t="shared" si="19"/>
        <v>9</v>
      </c>
      <c r="AB50" s="295">
        <f t="shared" si="19"/>
        <v>7</v>
      </c>
      <c r="AC50" s="295">
        <f t="shared" si="19"/>
        <v>7</v>
      </c>
      <c r="AD50" s="295">
        <f t="shared" si="19"/>
        <v>8</v>
      </c>
      <c r="AE50" s="295">
        <f t="shared" si="19"/>
        <v>8</v>
      </c>
      <c r="AF50" s="295">
        <f t="shared" si="19"/>
        <v>11</v>
      </c>
      <c r="AG50" s="295">
        <f t="shared" si="19"/>
        <v>10</v>
      </c>
      <c r="AH50" s="295"/>
      <c r="AI50" s="295"/>
      <c r="AJ50" s="295"/>
      <c r="AK50" s="301">
        <f t="shared" si="18"/>
        <v>226</v>
      </c>
      <c r="AL50" s="173">
        <f>AL48*AK52</f>
        <v>292500</v>
      </c>
    </row>
    <row r="51" ht="14.25" customHeight="1">
      <c r="A51" s="174"/>
      <c r="B51" s="175"/>
      <c r="C51" s="176"/>
      <c r="D51" s="177" t="s">
        <v>162</v>
      </c>
      <c r="E51" s="177"/>
      <c r="F51" s="178"/>
      <c r="G51" s="302">
        <f t="shared" ref="G51:AG51" si="20">COUNTA(#REF!,#REF!,G27,#REF!)</f>
        <v>3</v>
      </c>
      <c r="H51" s="302">
        <f t="shared" si="20"/>
        <v>3</v>
      </c>
      <c r="I51" s="302">
        <f t="shared" si="20"/>
        <v>4</v>
      </c>
      <c r="J51" s="302">
        <f t="shared" si="20"/>
        <v>3</v>
      </c>
      <c r="K51" s="302">
        <f t="shared" si="20"/>
        <v>3</v>
      </c>
      <c r="L51" s="302">
        <f t="shared" si="20"/>
        <v>4</v>
      </c>
      <c r="M51" s="302">
        <f t="shared" si="20"/>
        <v>3</v>
      </c>
      <c r="N51" s="302">
        <f t="shared" si="20"/>
        <v>3</v>
      </c>
      <c r="O51" s="302">
        <f t="shared" si="20"/>
        <v>4</v>
      </c>
      <c r="P51" s="302">
        <f t="shared" si="20"/>
        <v>3</v>
      </c>
      <c r="Q51" s="302">
        <f t="shared" si="20"/>
        <v>3</v>
      </c>
      <c r="R51" s="302">
        <f t="shared" si="20"/>
        <v>4</v>
      </c>
      <c r="S51" s="302">
        <f t="shared" si="20"/>
        <v>3</v>
      </c>
      <c r="T51" s="302">
        <f t="shared" si="20"/>
        <v>3</v>
      </c>
      <c r="U51" s="302">
        <f t="shared" si="20"/>
        <v>4</v>
      </c>
      <c r="V51" s="302">
        <f t="shared" si="20"/>
        <v>3</v>
      </c>
      <c r="W51" s="302">
        <f t="shared" si="20"/>
        <v>3</v>
      </c>
      <c r="X51" s="302">
        <f t="shared" si="20"/>
        <v>4</v>
      </c>
      <c r="Y51" s="302">
        <f t="shared" si="20"/>
        <v>3</v>
      </c>
      <c r="Z51" s="302">
        <f t="shared" si="20"/>
        <v>3</v>
      </c>
      <c r="AA51" s="302">
        <f t="shared" si="20"/>
        <v>4</v>
      </c>
      <c r="AB51" s="302">
        <f t="shared" si="20"/>
        <v>3</v>
      </c>
      <c r="AC51" s="302">
        <f t="shared" si="20"/>
        <v>3</v>
      </c>
      <c r="AD51" s="302">
        <f t="shared" si="20"/>
        <v>4</v>
      </c>
      <c r="AE51" s="302">
        <f t="shared" si="20"/>
        <v>4</v>
      </c>
      <c r="AF51" s="302">
        <f t="shared" si="20"/>
        <v>4</v>
      </c>
      <c r="AG51" s="302">
        <f t="shared" si="20"/>
        <v>4</v>
      </c>
      <c r="AH51" s="302"/>
      <c r="AI51" s="302"/>
      <c r="AJ51" s="302"/>
      <c r="AK51" s="302">
        <f t="shared" si="18"/>
        <v>92</v>
      </c>
      <c r="AL51" s="180"/>
    </row>
    <row r="52" ht="14.25" customHeight="1">
      <c r="A52" s="146" t="s">
        <v>163</v>
      </c>
      <c r="B52" s="147"/>
      <c r="C52" s="147"/>
      <c r="D52" s="147"/>
      <c r="E52" s="147"/>
      <c r="F52" s="148"/>
      <c r="G52" s="144">
        <f t="shared" ref="G52:AG52" si="21">SUM(G48:G51)</f>
        <v>40</v>
      </c>
      <c r="H52" s="144">
        <f t="shared" si="21"/>
        <v>39</v>
      </c>
      <c r="I52" s="144">
        <f t="shared" si="21"/>
        <v>47</v>
      </c>
      <c r="J52" s="144">
        <f t="shared" si="21"/>
        <v>41</v>
      </c>
      <c r="K52" s="144">
        <f t="shared" si="21"/>
        <v>46</v>
      </c>
      <c r="L52" s="144">
        <f t="shared" si="21"/>
        <v>47</v>
      </c>
      <c r="M52" s="144">
        <f t="shared" si="21"/>
        <v>44</v>
      </c>
      <c r="N52" s="144">
        <f t="shared" si="21"/>
        <v>41</v>
      </c>
      <c r="O52" s="144">
        <f t="shared" si="21"/>
        <v>39</v>
      </c>
      <c r="P52" s="144">
        <f t="shared" si="21"/>
        <v>45</v>
      </c>
      <c r="Q52" s="144">
        <f t="shared" si="21"/>
        <v>42</v>
      </c>
      <c r="R52" s="144">
        <f t="shared" si="21"/>
        <v>47</v>
      </c>
      <c r="S52" s="144">
        <f t="shared" si="21"/>
        <v>45</v>
      </c>
      <c r="T52" s="144">
        <f t="shared" si="21"/>
        <v>45</v>
      </c>
      <c r="U52" s="144">
        <f t="shared" si="21"/>
        <v>42</v>
      </c>
      <c r="V52" s="144">
        <f t="shared" si="21"/>
        <v>37</v>
      </c>
      <c r="W52" s="144">
        <f t="shared" si="21"/>
        <v>42</v>
      </c>
      <c r="X52" s="144">
        <f t="shared" si="21"/>
        <v>43</v>
      </c>
      <c r="Y52" s="144">
        <f t="shared" si="21"/>
        <v>45</v>
      </c>
      <c r="Z52" s="144">
        <f t="shared" si="21"/>
        <v>46</v>
      </c>
      <c r="AA52" s="144">
        <f t="shared" si="21"/>
        <v>46</v>
      </c>
      <c r="AB52" s="144">
        <f t="shared" si="21"/>
        <v>40</v>
      </c>
      <c r="AC52" s="144">
        <f t="shared" si="21"/>
        <v>38</v>
      </c>
      <c r="AD52" s="144">
        <f t="shared" si="21"/>
        <v>43</v>
      </c>
      <c r="AE52" s="144">
        <f t="shared" si="21"/>
        <v>44</v>
      </c>
      <c r="AF52" s="144">
        <f t="shared" si="21"/>
        <v>49</v>
      </c>
      <c r="AG52" s="144">
        <f t="shared" si="21"/>
        <v>47</v>
      </c>
      <c r="AH52" s="144"/>
      <c r="AI52" s="144"/>
      <c r="AJ52" s="144"/>
      <c r="AK52" s="144">
        <f>SUM(AK48:AK51)</f>
        <v>1170</v>
      </c>
      <c r="AL52" s="181"/>
    </row>
    <row r="53" ht="14.25" customHeight="1">
      <c r="A53" s="2"/>
      <c r="B53" s="182" t="s">
        <v>164</v>
      </c>
      <c r="C53" s="182"/>
      <c r="D53" s="182"/>
      <c r="E53" s="18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5"/>
      <c r="V53" s="4"/>
      <c r="W53" s="4"/>
      <c r="X53" s="4"/>
      <c r="Y53" s="4"/>
      <c r="Z53" s="5"/>
      <c r="AA53" s="5"/>
      <c r="AB53" s="5"/>
      <c r="AC53" s="4"/>
      <c r="AD53" s="4"/>
      <c r="AE53" s="4"/>
      <c r="AF53" s="4"/>
      <c r="AG53" s="5"/>
      <c r="AH53" s="5"/>
      <c r="AI53" s="5"/>
      <c r="AJ53" s="5"/>
      <c r="AK53" s="2"/>
      <c r="AL53" s="183"/>
    </row>
    <row r="54" ht="14.25" customHeight="1">
      <c r="A54" s="2"/>
      <c r="B54" s="182" t="s">
        <v>165</v>
      </c>
      <c r="C54" s="2"/>
      <c r="D54" s="2"/>
      <c r="E54" s="2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11"/>
      <c r="AL54" s="2"/>
    </row>
    <row r="55" ht="14.25" customHeight="1">
      <c r="A55" s="2"/>
      <c r="B55" s="182" t="s">
        <v>166</v>
      </c>
      <c r="C55" s="184"/>
      <c r="D55" s="184"/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11"/>
      <c r="AL55" s="2"/>
    </row>
    <row r="56" ht="14.25" customHeight="1">
      <c r="A56" s="2"/>
      <c r="B56" s="182"/>
      <c r="C56" s="184"/>
      <c r="D56" s="184"/>
      <c r="E56" s="4" t="s">
        <v>167</v>
      </c>
      <c r="G56" s="463"/>
      <c r="H56" s="463"/>
      <c r="I56" s="5"/>
      <c r="J56" s="5"/>
      <c r="K56" s="5"/>
      <c r="L56" s="5"/>
      <c r="M56" s="5"/>
      <c r="N56" s="5"/>
      <c r="O56" s="5"/>
      <c r="P56" s="5" t="s">
        <v>168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11"/>
      <c r="AL56" s="2"/>
    </row>
    <row r="57" ht="14.25" customHeight="1">
      <c r="A57" s="2"/>
      <c r="B57" s="3"/>
      <c r="C57" s="2"/>
      <c r="D57" s="2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11"/>
      <c r="AL57" s="11"/>
    </row>
    <row r="58" ht="14.25" customHeight="1">
      <c r="A58" s="2"/>
      <c r="B58" s="3"/>
      <c r="C58" s="2"/>
      <c r="D58" s="2"/>
      <c r="E58" s="4" t="s">
        <v>169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 t="s">
        <v>170</v>
      </c>
      <c r="T58" s="5"/>
      <c r="U58" s="5"/>
      <c r="V58" s="5" t="s">
        <v>171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11"/>
      <c r="AL58" s="11"/>
    </row>
    <row r="59" ht="14.25" customHeight="1">
      <c r="A59" s="2"/>
      <c r="B59" s="3"/>
      <c r="C59" s="2"/>
      <c r="D59" s="2"/>
      <c r="E59" s="2"/>
      <c r="F59" s="18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4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11"/>
      <c r="AL59" s="11"/>
    </row>
    <row r="60" ht="30.75" customHeight="1">
      <c r="A60" s="2"/>
      <c r="B60" s="3"/>
      <c r="C60" s="2"/>
      <c r="D60" s="2"/>
      <c r="E60" s="185" t="s">
        <v>172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 t="s">
        <v>170</v>
      </c>
      <c r="T60" s="5"/>
      <c r="U60" s="5"/>
      <c r="V60" s="5" t="s">
        <v>171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1"/>
      <c r="AL60" s="11"/>
    </row>
    <row r="61" ht="14.25" customHeight="1">
      <c r="A61" s="11"/>
      <c r="B61" s="3"/>
      <c r="C61" s="2"/>
      <c r="D61" s="186"/>
      <c r="E61" s="2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1"/>
      <c r="AL61" s="11"/>
    </row>
    <row r="62" ht="14.25" customHeight="1">
      <c r="F62" s="187"/>
    </row>
    <row r="63" ht="14.25" customHeight="1">
      <c r="F63" s="187"/>
    </row>
    <row r="64" ht="14.25" customHeight="1">
      <c r="F64" s="187"/>
    </row>
    <row r="65" ht="14.25" customHeight="1">
      <c r="F65" s="187"/>
    </row>
    <row r="66" ht="15.75" customHeight="1">
      <c r="F66" s="187"/>
    </row>
    <row r="67" ht="14.25" customHeight="1">
      <c r="F67" s="187"/>
    </row>
    <row r="68" ht="14.2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K6:AK7"/>
    <mergeCell ref="AL6:AL7"/>
    <mergeCell ref="B44:F44"/>
    <mergeCell ref="B45:F45"/>
    <mergeCell ref="B46:F46"/>
    <mergeCell ref="A52:F52"/>
    <mergeCell ref="E56:F56"/>
    <mergeCell ref="P56:W56"/>
    <mergeCell ref="E58:F58"/>
    <mergeCell ref="E60:F60"/>
    <mergeCell ref="F6:F7"/>
    <mergeCell ref="F22:F29"/>
    <mergeCell ref="A35:A36"/>
    <mergeCell ref="B35:B36"/>
    <mergeCell ref="C35:C36"/>
    <mergeCell ref="D35:D36"/>
    <mergeCell ref="F35:F3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5.43"/>
    <col customWidth="1" min="6" max="6" width="7.43"/>
    <col customWidth="1" min="7" max="7" width="4.29"/>
    <col customWidth="1" min="8" max="8" width="4.57"/>
    <col customWidth="1" min="9" max="9" width="5.0"/>
    <col customWidth="1" min="10" max="10" width="5.71"/>
    <col customWidth="1" min="11" max="11" width="5.43"/>
    <col customWidth="1" min="12" max="12" width="5.71"/>
    <col customWidth="1" min="13" max="13" width="4.71"/>
    <col customWidth="1" min="14" max="14" width="4.43"/>
    <col customWidth="1" min="15" max="15" width="4.71"/>
    <col customWidth="1" min="16" max="16" width="5.29"/>
    <col customWidth="1" min="17" max="17" width="4.57"/>
    <col customWidth="1" min="18" max="18" width="5.71"/>
    <col customWidth="1" min="19" max="19" width="5.86"/>
    <col customWidth="1" min="20" max="20" width="5.29"/>
    <col customWidth="1" min="21" max="21" width="4.57"/>
    <col customWidth="1" min="22" max="22" width="5.29"/>
    <col customWidth="1" min="23" max="23" width="5.0"/>
    <col customWidth="1" min="24" max="24" width="5.71"/>
    <col customWidth="1" min="25" max="25" width="5.0"/>
    <col customWidth="1" min="26" max="26" width="5.29"/>
    <col customWidth="1" min="27" max="28" width="4.57"/>
    <col customWidth="1" min="29" max="29" width="4.71"/>
    <col customWidth="1" min="30" max="30" width="5.71"/>
    <col customWidth="1" min="31" max="31" width="4.57"/>
    <col customWidth="1" min="32" max="32" width="4.71"/>
    <col customWidth="1" min="33" max="33" width="5.29"/>
    <col customWidth="1" min="34" max="34" width="4.57"/>
    <col customWidth="1" min="35" max="35" width="4.71"/>
    <col customWidth="1" min="36" max="37" width="4.57"/>
    <col customWidth="1" min="38" max="38" width="9.0"/>
    <col customWidth="1" min="39" max="39" width="17.43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312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F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f t="shared" si="1"/>
        <v>24</v>
      </c>
      <c r="AE6" s="15">
        <f t="shared" si="1"/>
        <v>25</v>
      </c>
      <c r="AF6" s="15">
        <f t="shared" si="1"/>
        <v>26</v>
      </c>
      <c r="AG6" s="15">
        <v>27.0</v>
      </c>
      <c r="AH6" s="15">
        <v>28.0</v>
      </c>
      <c r="AI6" s="15">
        <v>29.0</v>
      </c>
      <c r="AJ6" s="15">
        <v>30.0</v>
      </c>
      <c r="AK6" s="15">
        <v>31.0</v>
      </c>
      <c r="AL6" s="13" t="s">
        <v>14</v>
      </c>
      <c r="AM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248</v>
      </c>
      <c r="H7" s="446" t="s">
        <v>249</v>
      </c>
      <c r="I7" s="446" t="s">
        <v>250</v>
      </c>
      <c r="J7" s="446" t="s">
        <v>251</v>
      </c>
      <c r="K7" s="446" t="s">
        <v>252</v>
      </c>
      <c r="L7" s="446" t="s">
        <v>253</v>
      </c>
      <c r="M7" s="446" t="s">
        <v>247</v>
      </c>
      <c r="N7" s="446" t="s">
        <v>248</v>
      </c>
      <c r="O7" s="446" t="s">
        <v>249</v>
      </c>
      <c r="P7" s="446" t="s">
        <v>250</v>
      </c>
      <c r="Q7" s="446" t="s">
        <v>251</v>
      </c>
      <c r="R7" s="446" t="s">
        <v>252</v>
      </c>
      <c r="S7" s="446" t="s">
        <v>253</v>
      </c>
      <c r="T7" s="446" t="s">
        <v>247</v>
      </c>
      <c r="U7" s="446" t="s">
        <v>248</v>
      </c>
      <c r="V7" s="446" t="s">
        <v>249</v>
      </c>
      <c r="W7" s="446" t="s">
        <v>250</v>
      </c>
      <c r="X7" s="446" t="s">
        <v>251</v>
      </c>
      <c r="Y7" s="446" t="s">
        <v>252</v>
      </c>
      <c r="Z7" s="446" t="s">
        <v>253</v>
      </c>
      <c r="AA7" s="446" t="s">
        <v>247</v>
      </c>
      <c r="AB7" s="446" t="s">
        <v>248</v>
      </c>
      <c r="AC7" s="446" t="s">
        <v>249</v>
      </c>
      <c r="AD7" s="446" t="s">
        <v>250</v>
      </c>
      <c r="AE7" s="446" t="s">
        <v>251</v>
      </c>
      <c r="AF7" s="446" t="s">
        <v>252</v>
      </c>
      <c r="AG7" s="446" t="s">
        <v>253</v>
      </c>
      <c r="AH7" s="446" t="s">
        <v>247</v>
      </c>
      <c r="AI7" s="446" t="s">
        <v>248</v>
      </c>
      <c r="AJ7" s="446" t="s">
        <v>249</v>
      </c>
      <c r="AK7" s="446" t="s">
        <v>250</v>
      </c>
      <c r="AL7" s="17"/>
      <c r="AM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60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10" t="s">
        <v>205</v>
      </c>
      <c r="I9" s="210"/>
      <c r="J9" s="209" t="s">
        <v>205</v>
      </c>
      <c r="K9" s="209" t="s">
        <v>205</v>
      </c>
      <c r="L9" s="209" t="s">
        <v>205</v>
      </c>
      <c r="M9" s="209" t="s">
        <v>205</v>
      </c>
      <c r="N9" s="209" t="s">
        <v>205</v>
      </c>
      <c r="O9" s="210" t="s">
        <v>205</v>
      </c>
      <c r="P9" s="210"/>
      <c r="Q9" s="209" t="s">
        <v>205</v>
      </c>
      <c r="R9" s="209" t="s">
        <v>205</v>
      </c>
      <c r="S9" s="209" t="s">
        <v>205</v>
      </c>
      <c r="T9" s="209" t="s">
        <v>205</v>
      </c>
      <c r="U9" s="209" t="s">
        <v>205</v>
      </c>
      <c r="V9" s="210" t="s">
        <v>205</v>
      </c>
      <c r="W9" s="210"/>
      <c r="X9" s="209" t="s">
        <v>205</v>
      </c>
      <c r="Y9" s="209" t="s">
        <v>205</v>
      </c>
      <c r="Z9" s="209" t="s">
        <v>205</v>
      </c>
      <c r="AA9" s="209" t="s">
        <v>205</v>
      </c>
      <c r="AB9" s="209" t="s">
        <v>205</v>
      </c>
      <c r="AC9" s="210" t="s">
        <v>205</v>
      </c>
      <c r="AD9" s="210"/>
      <c r="AE9" s="209" t="s">
        <v>205</v>
      </c>
      <c r="AF9" s="209" t="s">
        <v>205</v>
      </c>
      <c r="AG9" s="209" t="s">
        <v>205</v>
      </c>
      <c r="AH9" s="209" t="s">
        <v>205</v>
      </c>
      <c r="AI9" s="209" t="s">
        <v>205</v>
      </c>
      <c r="AJ9" s="110">
        <v>12.0</v>
      </c>
      <c r="AK9" s="110"/>
      <c r="AL9" s="211">
        <f>COUNTA(G9:AJ9)</f>
        <v>26</v>
      </c>
      <c r="AM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25</v>
      </c>
      <c r="F10" s="28" t="s">
        <v>30</v>
      </c>
      <c r="G10" s="24">
        <v>9.0</v>
      </c>
      <c r="H10" s="110">
        <v>9.0</v>
      </c>
      <c r="I10" s="110">
        <v>9.0</v>
      </c>
      <c r="J10" s="24">
        <v>9.0</v>
      </c>
      <c r="K10" s="24"/>
      <c r="L10" s="24"/>
      <c r="M10" s="24">
        <v>9.0</v>
      </c>
      <c r="N10" s="24">
        <v>9.0</v>
      </c>
      <c r="O10" s="110">
        <v>9.0</v>
      </c>
      <c r="P10" s="110">
        <v>9.0</v>
      </c>
      <c r="Q10" s="24">
        <v>9.0</v>
      </c>
      <c r="R10" s="24"/>
      <c r="S10" s="24"/>
      <c r="T10" s="24">
        <v>9.0</v>
      </c>
      <c r="U10" s="24">
        <v>9.0</v>
      </c>
      <c r="V10" s="110">
        <v>9.0</v>
      </c>
      <c r="W10" s="110">
        <v>9.0</v>
      </c>
      <c r="X10" s="24">
        <v>9.0</v>
      </c>
      <c r="Y10" s="24"/>
      <c r="Z10" s="24"/>
      <c r="AA10" s="24">
        <v>9.0</v>
      </c>
      <c r="AB10" s="24">
        <v>9.0</v>
      </c>
      <c r="AC10" s="110">
        <v>9.0</v>
      </c>
      <c r="AD10" s="110">
        <v>9.0</v>
      </c>
      <c r="AE10" s="24">
        <v>9.0</v>
      </c>
      <c r="AF10" s="24"/>
      <c r="AG10" s="24"/>
      <c r="AH10" s="24">
        <v>9.0</v>
      </c>
      <c r="AI10" s="24">
        <v>9.0</v>
      </c>
      <c r="AJ10" s="110">
        <v>9.0</v>
      </c>
      <c r="AK10" s="110">
        <v>9.0</v>
      </c>
      <c r="AL10" s="211">
        <f t="shared" ref="AL10:AL13" si="2">COUNTA(G10:AK10)</f>
        <v>23</v>
      </c>
      <c r="AM10" s="57">
        <f t="shared" ref="AM10:AM13" si="3">SUM(G10:AK10)</f>
        <v>207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>
        <v>9.0</v>
      </c>
      <c r="H11" s="110">
        <v>9.0</v>
      </c>
      <c r="I11" s="110">
        <v>9.0</v>
      </c>
      <c r="J11" s="24">
        <v>9.0</v>
      </c>
      <c r="K11" s="24"/>
      <c r="L11" s="24"/>
      <c r="M11" s="24">
        <v>9.0</v>
      </c>
      <c r="N11" s="24">
        <v>9.0</v>
      </c>
      <c r="O11" s="110">
        <v>9.0</v>
      </c>
      <c r="P11" s="110">
        <v>9.0</v>
      </c>
      <c r="Q11" s="24">
        <v>9.0</v>
      </c>
      <c r="R11" s="24"/>
      <c r="S11" s="24"/>
      <c r="T11" s="24">
        <v>9.0</v>
      </c>
      <c r="U11" s="24">
        <v>9.0</v>
      </c>
      <c r="V11" s="110">
        <v>9.0</v>
      </c>
      <c r="W11" s="110">
        <v>9.0</v>
      </c>
      <c r="X11" s="24">
        <v>9.0</v>
      </c>
      <c r="Y11" s="24"/>
      <c r="Z11" s="24"/>
      <c r="AA11" s="24">
        <v>9.0</v>
      </c>
      <c r="AB11" s="24">
        <v>9.0</v>
      </c>
      <c r="AC11" s="110">
        <v>9.0</v>
      </c>
      <c r="AD11" s="110">
        <v>9.0</v>
      </c>
      <c r="AE11" s="24">
        <v>9.0</v>
      </c>
      <c r="AF11" s="24"/>
      <c r="AG11" s="24"/>
      <c r="AH11" s="24">
        <v>9.0</v>
      </c>
      <c r="AI11" s="24">
        <v>9.0</v>
      </c>
      <c r="AJ11" s="110">
        <v>9.0</v>
      </c>
      <c r="AK11" s="110">
        <v>9.0</v>
      </c>
      <c r="AL11" s="211">
        <f t="shared" si="2"/>
        <v>23</v>
      </c>
      <c r="AM11" s="57">
        <f t="shared" si="3"/>
        <v>207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180</v>
      </c>
      <c r="E12" s="27" t="s">
        <v>33</v>
      </c>
      <c r="F12" s="28" t="s">
        <v>30</v>
      </c>
      <c r="G12" s="24">
        <v>9.0</v>
      </c>
      <c r="H12" s="110">
        <v>9.0</v>
      </c>
      <c r="I12" s="110">
        <v>9.0</v>
      </c>
      <c r="J12" s="24">
        <v>9.0</v>
      </c>
      <c r="K12" s="24"/>
      <c r="L12" s="24"/>
      <c r="M12" s="24">
        <v>9.0</v>
      </c>
      <c r="N12" s="24">
        <v>9.0</v>
      </c>
      <c r="O12" s="110">
        <v>9.0</v>
      </c>
      <c r="P12" s="110">
        <v>9.0</v>
      </c>
      <c r="Q12" s="24">
        <v>9.0</v>
      </c>
      <c r="R12" s="24"/>
      <c r="S12" s="24"/>
      <c r="T12" s="24">
        <v>9.0</v>
      </c>
      <c r="U12" s="24">
        <v>9.0</v>
      </c>
      <c r="V12" s="110">
        <v>9.0</v>
      </c>
      <c r="W12" s="110">
        <v>9.0</v>
      </c>
      <c r="X12" s="24">
        <v>9.0</v>
      </c>
      <c r="Y12" s="24"/>
      <c r="Z12" s="24"/>
      <c r="AA12" s="24">
        <v>9.0</v>
      </c>
      <c r="AB12" s="24">
        <v>9.0</v>
      </c>
      <c r="AC12" s="110">
        <v>9.0</v>
      </c>
      <c r="AD12" s="110">
        <v>9.0</v>
      </c>
      <c r="AE12" s="24">
        <v>9.0</v>
      </c>
      <c r="AF12" s="24"/>
      <c r="AG12" s="24"/>
      <c r="AH12" s="24">
        <v>9.0</v>
      </c>
      <c r="AI12" s="24">
        <v>9.0</v>
      </c>
      <c r="AJ12" s="110">
        <v>9.0</v>
      </c>
      <c r="AK12" s="110">
        <v>9.0</v>
      </c>
      <c r="AL12" s="211">
        <f t="shared" si="2"/>
        <v>23</v>
      </c>
      <c r="AM12" s="57">
        <f t="shared" si="3"/>
        <v>207</v>
      </c>
    </row>
    <row r="13" ht="14.25" customHeight="1">
      <c r="A13" s="34">
        <v>8.0</v>
      </c>
      <c r="B13" s="25" t="s">
        <v>38</v>
      </c>
      <c r="C13" s="27">
        <v>1.0</v>
      </c>
      <c r="D13" s="37" t="s">
        <v>305</v>
      </c>
      <c r="E13" s="27" t="s">
        <v>40</v>
      </c>
      <c r="F13" s="28" t="s">
        <v>30</v>
      </c>
      <c r="G13" s="24">
        <v>10.0</v>
      </c>
      <c r="H13" s="110">
        <v>10.0</v>
      </c>
      <c r="I13" s="110">
        <v>10.0</v>
      </c>
      <c r="J13" s="24">
        <v>10.0</v>
      </c>
      <c r="K13" s="24"/>
      <c r="L13" s="24">
        <v>10.0</v>
      </c>
      <c r="M13" s="24"/>
      <c r="N13" s="24">
        <v>10.0</v>
      </c>
      <c r="O13" s="110">
        <v>10.0</v>
      </c>
      <c r="P13" s="110">
        <v>10.0</v>
      </c>
      <c r="Q13" s="24">
        <v>10.0</v>
      </c>
      <c r="R13" s="24"/>
      <c r="S13" s="24">
        <v>10.0</v>
      </c>
      <c r="T13" s="24"/>
      <c r="U13" s="24">
        <v>10.0</v>
      </c>
      <c r="V13" s="110">
        <v>10.0</v>
      </c>
      <c r="W13" s="110">
        <v>10.0</v>
      </c>
      <c r="X13" s="24">
        <v>10.0</v>
      </c>
      <c r="Y13" s="24"/>
      <c r="Z13" s="24">
        <v>10.0</v>
      </c>
      <c r="AA13" s="24"/>
      <c r="AB13" s="24">
        <v>10.0</v>
      </c>
      <c r="AC13" s="110">
        <v>10.0</v>
      </c>
      <c r="AD13" s="110">
        <v>10.0</v>
      </c>
      <c r="AE13" s="24">
        <v>10.0</v>
      </c>
      <c r="AF13" s="24"/>
      <c r="AG13" s="24">
        <v>10.0</v>
      </c>
      <c r="AH13" s="24"/>
      <c r="AI13" s="24">
        <v>10.0</v>
      </c>
      <c r="AJ13" s="110">
        <v>10.0</v>
      </c>
      <c r="AK13" s="110">
        <v>10.0</v>
      </c>
      <c r="AL13" s="211">
        <f t="shared" si="2"/>
        <v>23</v>
      </c>
      <c r="AM13" s="57">
        <f t="shared" si="3"/>
        <v>230</v>
      </c>
    </row>
    <row r="14" ht="14.25" customHeight="1">
      <c r="A14" s="19"/>
      <c r="B14" s="20" t="s">
        <v>41</v>
      </c>
      <c r="C14" s="21"/>
      <c r="D14" s="20" t="s">
        <v>41</v>
      </c>
      <c r="E14" s="21"/>
      <c r="F14" s="3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2"/>
      <c r="AD14" s="212"/>
      <c r="AE14" s="212"/>
      <c r="AF14" s="212"/>
      <c r="AG14" s="212"/>
      <c r="AH14" s="212"/>
      <c r="AI14" s="212"/>
      <c r="AJ14" s="212"/>
      <c r="AK14" s="212"/>
      <c r="AL14" s="21"/>
      <c r="AM14" s="45"/>
    </row>
    <row r="15" ht="14.25" customHeight="1">
      <c r="A15" s="24">
        <v>9.0</v>
      </c>
      <c r="B15" s="25" t="s">
        <v>306</v>
      </c>
      <c r="C15" s="26">
        <v>1.0</v>
      </c>
      <c r="D15" s="36" t="s">
        <v>307</v>
      </c>
      <c r="E15" s="26" t="s">
        <v>55</v>
      </c>
      <c r="F15" s="47" t="s">
        <v>65</v>
      </c>
      <c r="G15" s="26">
        <v>12.0</v>
      </c>
      <c r="H15" s="213">
        <v>12.0</v>
      </c>
      <c r="I15" s="213">
        <v>12.0</v>
      </c>
      <c r="J15" s="26">
        <v>12.0</v>
      </c>
      <c r="K15" s="26"/>
      <c r="L15" s="26">
        <v>12.0</v>
      </c>
      <c r="M15" s="26">
        <v>12.0</v>
      </c>
      <c r="N15" s="26">
        <v>12.0</v>
      </c>
      <c r="O15" s="213">
        <v>12.0</v>
      </c>
      <c r="P15" s="213">
        <v>12.0</v>
      </c>
      <c r="Q15" s="26">
        <v>12.0</v>
      </c>
      <c r="R15" s="26"/>
      <c r="S15" s="26">
        <v>12.0</v>
      </c>
      <c r="T15" s="26">
        <v>12.0</v>
      </c>
      <c r="U15" s="26">
        <v>12.0</v>
      </c>
      <c r="V15" s="213">
        <v>12.0</v>
      </c>
      <c r="W15" s="213">
        <v>12.0</v>
      </c>
      <c r="X15" s="26">
        <v>12.0</v>
      </c>
      <c r="Y15" s="461"/>
      <c r="Z15" s="26">
        <v>12.0</v>
      </c>
      <c r="AA15" s="26">
        <v>12.0</v>
      </c>
      <c r="AB15" s="26">
        <v>12.0</v>
      </c>
      <c r="AC15" s="213">
        <v>12.0</v>
      </c>
      <c r="AD15" s="213">
        <v>12.0</v>
      </c>
      <c r="AE15" s="26">
        <v>12.0</v>
      </c>
      <c r="AF15" s="26"/>
      <c r="AG15" s="26">
        <v>12.0</v>
      </c>
      <c r="AH15" s="26">
        <v>12.0</v>
      </c>
      <c r="AI15" s="26">
        <v>12.0</v>
      </c>
      <c r="AJ15" s="467">
        <v>12.0</v>
      </c>
      <c r="AK15" s="467">
        <v>12.0</v>
      </c>
      <c r="AL15" s="211">
        <f t="shared" ref="AL15:AL16" si="4">COUNTA(G15:AK15)</f>
        <v>27</v>
      </c>
      <c r="AM15" s="57">
        <f>SUM(G15:AJ15)</f>
        <v>312</v>
      </c>
    </row>
    <row r="16" ht="14.25" customHeight="1">
      <c r="A16" s="34">
        <v>10.0</v>
      </c>
      <c r="B16" s="35" t="s">
        <v>49</v>
      </c>
      <c r="C16" s="27">
        <v>1.0</v>
      </c>
      <c r="D16" s="36" t="s">
        <v>59</v>
      </c>
      <c r="E16" s="27" t="s">
        <v>51</v>
      </c>
      <c r="F16" s="47" t="s">
        <v>46</v>
      </c>
      <c r="G16" s="24">
        <v>24.0</v>
      </c>
      <c r="H16" s="110"/>
      <c r="I16" s="110">
        <v>24.0</v>
      </c>
      <c r="J16" s="24"/>
      <c r="K16" s="24">
        <v>24.0</v>
      </c>
      <c r="L16" s="24"/>
      <c r="M16" s="24">
        <v>24.0</v>
      </c>
      <c r="N16" s="24"/>
      <c r="O16" s="110">
        <v>24.0</v>
      </c>
      <c r="P16" s="110"/>
      <c r="Q16" s="24">
        <v>24.0</v>
      </c>
      <c r="R16" s="24"/>
      <c r="S16" s="24">
        <v>24.0</v>
      </c>
      <c r="T16" s="24"/>
      <c r="U16" s="24">
        <v>24.0</v>
      </c>
      <c r="V16" s="110"/>
      <c r="W16" s="110">
        <v>24.0</v>
      </c>
      <c r="X16" s="24"/>
      <c r="Y16" s="24">
        <v>24.0</v>
      </c>
      <c r="Z16" s="24"/>
      <c r="AA16" s="24">
        <v>24.0</v>
      </c>
      <c r="AB16" s="24"/>
      <c r="AC16" s="110">
        <v>24.0</v>
      </c>
      <c r="AD16" s="110"/>
      <c r="AE16" s="24">
        <v>24.0</v>
      </c>
      <c r="AF16" s="24"/>
      <c r="AG16" s="24">
        <v>24.0</v>
      </c>
      <c r="AH16" s="24"/>
      <c r="AI16" s="24">
        <v>24.0</v>
      </c>
      <c r="AJ16" s="110"/>
      <c r="AK16" s="110">
        <v>24.0</v>
      </c>
      <c r="AL16" s="211">
        <f t="shared" si="4"/>
        <v>16</v>
      </c>
      <c r="AM16" s="452">
        <f>SUM(G16:AK16)</f>
        <v>384</v>
      </c>
    </row>
    <row r="17" ht="14.25" customHeight="1">
      <c r="A17" s="34">
        <v>11.0</v>
      </c>
      <c r="B17" s="35" t="s">
        <v>49</v>
      </c>
      <c r="C17" s="27">
        <v>1.0</v>
      </c>
      <c r="D17" s="36" t="s">
        <v>308</v>
      </c>
      <c r="E17" s="27" t="s">
        <v>51</v>
      </c>
      <c r="F17" s="47" t="s">
        <v>46</v>
      </c>
      <c r="G17" s="24"/>
      <c r="H17" s="110">
        <v>24.0</v>
      </c>
      <c r="I17" s="110"/>
      <c r="J17" s="24">
        <v>24.0</v>
      </c>
      <c r="K17" s="24"/>
      <c r="L17" s="24">
        <v>24.0</v>
      </c>
      <c r="M17" s="24"/>
      <c r="N17" s="24">
        <v>24.0</v>
      </c>
      <c r="O17" s="110"/>
      <c r="P17" s="110">
        <v>24.0</v>
      </c>
      <c r="Q17" s="24"/>
      <c r="R17" s="24">
        <v>24.0</v>
      </c>
      <c r="S17" s="24"/>
      <c r="T17" s="24">
        <v>24.0</v>
      </c>
      <c r="U17" s="24"/>
      <c r="V17" s="110">
        <v>24.0</v>
      </c>
      <c r="W17" s="110"/>
      <c r="X17" s="24">
        <v>24.0</v>
      </c>
      <c r="Y17" s="24"/>
      <c r="Z17" s="24">
        <v>24.0</v>
      </c>
      <c r="AA17" s="24"/>
      <c r="AB17" s="24">
        <v>24.0</v>
      </c>
      <c r="AC17" s="110"/>
      <c r="AD17" s="110">
        <v>24.0</v>
      </c>
      <c r="AE17" s="24"/>
      <c r="AF17" s="24">
        <v>24.0</v>
      </c>
      <c r="AG17" s="24"/>
      <c r="AH17" s="24">
        <v>24.0</v>
      </c>
      <c r="AI17" s="24"/>
      <c r="AJ17" s="110">
        <v>24.0</v>
      </c>
      <c r="AK17" s="110"/>
      <c r="AL17" s="211">
        <f>COUNTA(G17:AJ17)</f>
        <v>15</v>
      </c>
      <c r="AM17" s="452">
        <f>SUM(G17:AJ17)</f>
        <v>360</v>
      </c>
    </row>
    <row r="18" ht="14.25" customHeight="1">
      <c r="A18" s="34">
        <v>12.0</v>
      </c>
      <c r="B18" s="35" t="s">
        <v>62</v>
      </c>
      <c r="C18" s="27">
        <v>1.0</v>
      </c>
      <c r="D18" s="36" t="s">
        <v>54</v>
      </c>
      <c r="E18" s="27" t="s">
        <v>292</v>
      </c>
      <c r="F18" s="47" t="s">
        <v>46</v>
      </c>
      <c r="G18" s="24">
        <v>12.0</v>
      </c>
      <c r="H18" s="110">
        <v>12.0</v>
      </c>
      <c r="I18" s="110">
        <v>12.0</v>
      </c>
      <c r="J18" s="24"/>
      <c r="K18" s="24">
        <v>12.0</v>
      </c>
      <c r="L18" s="24">
        <v>12.0</v>
      </c>
      <c r="M18" s="24">
        <v>12.0</v>
      </c>
      <c r="N18" s="24">
        <v>12.0</v>
      </c>
      <c r="O18" s="110">
        <v>12.0</v>
      </c>
      <c r="P18" s="110">
        <v>12.0</v>
      </c>
      <c r="Q18" s="24"/>
      <c r="R18" s="24">
        <v>12.0</v>
      </c>
      <c r="S18" s="24">
        <v>12.0</v>
      </c>
      <c r="T18" s="24">
        <v>12.0</v>
      </c>
      <c r="U18" s="24">
        <v>12.0</v>
      </c>
      <c r="V18" s="110">
        <v>12.0</v>
      </c>
      <c r="W18" s="110">
        <v>12.0</v>
      </c>
      <c r="X18" s="24"/>
      <c r="Y18" s="24">
        <v>12.0</v>
      </c>
      <c r="Z18" s="24">
        <v>12.0</v>
      </c>
      <c r="AA18" s="24">
        <v>12.0</v>
      </c>
      <c r="AB18" s="24">
        <v>12.0</v>
      </c>
      <c r="AC18" s="110">
        <v>12.0</v>
      </c>
      <c r="AD18" s="110">
        <v>12.0</v>
      </c>
      <c r="AE18" s="24"/>
      <c r="AF18" s="24">
        <v>12.0</v>
      </c>
      <c r="AG18" s="24">
        <v>12.0</v>
      </c>
      <c r="AH18" s="24">
        <v>12.0</v>
      </c>
      <c r="AI18" s="24">
        <v>12.0</v>
      </c>
      <c r="AJ18" s="110">
        <v>12.0</v>
      </c>
      <c r="AK18" s="110">
        <v>12.0</v>
      </c>
      <c r="AL18" s="211">
        <f t="shared" ref="AL18:AL20" si="5">COUNTA(G18:AK18)</f>
        <v>27</v>
      </c>
      <c r="AM18" s="452">
        <f t="shared" ref="AM18:AM20" si="6">SUM(G18:AK18)</f>
        <v>324</v>
      </c>
    </row>
    <row r="19" ht="14.25" customHeight="1">
      <c r="A19" s="34">
        <v>13.0</v>
      </c>
      <c r="B19" s="35" t="s">
        <v>67</v>
      </c>
      <c r="C19" s="27">
        <v>1.0</v>
      </c>
      <c r="D19" s="36" t="s">
        <v>243</v>
      </c>
      <c r="E19" s="27" t="s">
        <v>70</v>
      </c>
      <c r="F19" s="28" t="s">
        <v>30</v>
      </c>
      <c r="G19" s="24">
        <v>12.0</v>
      </c>
      <c r="H19" s="110">
        <v>12.0</v>
      </c>
      <c r="I19" s="110"/>
      <c r="J19" s="24"/>
      <c r="K19" s="24">
        <v>12.0</v>
      </c>
      <c r="L19" s="24">
        <v>12.0</v>
      </c>
      <c r="M19" s="24">
        <v>12.0</v>
      </c>
      <c r="N19" s="24">
        <v>12.0</v>
      </c>
      <c r="O19" s="110">
        <v>12.0</v>
      </c>
      <c r="P19" s="110"/>
      <c r="Q19" s="24"/>
      <c r="R19" s="24">
        <v>12.0</v>
      </c>
      <c r="S19" s="24">
        <v>12.0</v>
      </c>
      <c r="T19" s="24">
        <v>12.0</v>
      </c>
      <c r="U19" s="24">
        <v>12.0</v>
      </c>
      <c r="V19" s="110">
        <v>12.0</v>
      </c>
      <c r="W19" s="110"/>
      <c r="X19" s="24"/>
      <c r="Y19" s="24">
        <v>12.0</v>
      </c>
      <c r="Z19" s="24">
        <v>12.0</v>
      </c>
      <c r="AA19" s="24">
        <v>12.0</v>
      </c>
      <c r="AB19" s="24">
        <v>12.0</v>
      </c>
      <c r="AC19" s="110">
        <v>12.0</v>
      </c>
      <c r="AD19" s="110"/>
      <c r="AE19" s="24"/>
      <c r="AF19" s="24">
        <v>12.0</v>
      </c>
      <c r="AG19" s="24">
        <v>12.0</v>
      </c>
      <c r="AH19" s="24">
        <v>12.0</v>
      </c>
      <c r="AI19" s="24">
        <v>12.0</v>
      </c>
      <c r="AJ19" s="110">
        <v>12.0</v>
      </c>
      <c r="AK19" s="110"/>
      <c r="AL19" s="211">
        <f t="shared" si="5"/>
        <v>22</v>
      </c>
      <c r="AM19" s="452">
        <f t="shared" si="6"/>
        <v>264</v>
      </c>
    </row>
    <row r="20" ht="14.25" customHeight="1">
      <c r="A20" s="34">
        <v>14.0</v>
      </c>
      <c r="B20" s="35" t="s">
        <v>71</v>
      </c>
      <c r="C20" s="27"/>
      <c r="D20" s="36" t="s">
        <v>76</v>
      </c>
      <c r="E20" s="27" t="s">
        <v>73</v>
      </c>
      <c r="F20" s="28" t="s">
        <v>26</v>
      </c>
      <c r="G20" s="24">
        <v>12.0</v>
      </c>
      <c r="H20" s="110">
        <v>12.0</v>
      </c>
      <c r="I20" s="110">
        <v>12.0</v>
      </c>
      <c r="J20" s="24"/>
      <c r="K20" s="24">
        <v>12.0</v>
      </c>
      <c r="L20" s="24">
        <v>12.0</v>
      </c>
      <c r="M20" s="24">
        <v>12.0</v>
      </c>
      <c r="N20" s="24">
        <v>12.0</v>
      </c>
      <c r="O20" s="110">
        <v>12.0</v>
      </c>
      <c r="P20" s="110">
        <v>12.0</v>
      </c>
      <c r="Q20" s="24"/>
      <c r="R20" s="24">
        <v>12.0</v>
      </c>
      <c r="S20" s="24">
        <v>12.0</v>
      </c>
      <c r="T20" s="24">
        <v>12.0</v>
      </c>
      <c r="U20" s="24">
        <v>12.0</v>
      </c>
      <c r="V20" s="110">
        <v>12.0</v>
      </c>
      <c r="W20" s="110">
        <v>12.0</v>
      </c>
      <c r="X20" s="24"/>
      <c r="Y20" s="24">
        <v>12.0</v>
      </c>
      <c r="Z20" s="24">
        <v>12.0</v>
      </c>
      <c r="AA20" s="24">
        <v>12.0</v>
      </c>
      <c r="AB20" s="24">
        <v>12.0</v>
      </c>
      <c r="AC20" s="110">
        <v>12.0</v>
      </c>
      <c r="AD20" s="110">
        <v>12.0</v>
      </c>
      <c r="AE20" s="24"/>
      <c r="AF20" s="24">
        <v>12.0</v>
      </c>
      <c r="AG20" s="24">
        <v>12.0</v>
      </c>
      <c r="AH20" s="24">
        <v>12.0</v>
      </c>
      <c r="AI20" s="24">
        <v>12.0</v>
      </c>
      <c r="AJ20" s="110">
        <v>12.0</v>
      </c>
      <c r="AK20" s="110">
        <v>12.0</v>
      </c>
      <c r="AL20" s="211">
        <f t="shared" si="5"/>
        <v>27</v>
      </c>
      <c r="AM20" s="452">
        <f t="shared" si="6"/>
        <v>324</v>
      </c>
    </row>
    <row r="21" ht="14.25" customHeight="1">
      <c r="A21" s="19"/>
      <c r="B21" s="20" t="s">
        <v>78</v>
      </c>
      <c r="C21" s="21"/>
      <c r="D21" s="77" t="s">
        <v>78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55"/>
    </row>
    <row r="22" ht="14.25" customHeight="1">
      <c r="A22" s="34">
        <v>15.0</v>
      </c>
      <c r="B22" s="35" t="s">
        <v>86</v>
      </c>
      <c r="C22" s="27">
        <v>1.0</v>
      </c>
      <c r="D22" s="37" t="s">
        <v>82</v>
      </c>
      <c r="E22" s="27" t="s">
        <v>83</v>
      </c>
      <c r="F22" s="250" t="s">
        <v>85</v>
      </c>
      <c r="G22" s="24">
        <v>24.0</v>
      </c>
      <c r="H22" s="110"/>
      <c r="I22" s="110"/>
      <c r="J22" s="24">
        <v>24.0</v>
      </c>
      <c r="K22" s="24"/>
      <c r="L22" s="24"/>
      <c r="M22" s="24">
        <v>24.0</v>
      </c>
      <c r="N22" s="24"/>
      <c r="O22" s="110"/>
      <c r="P22" s="110">
        <v>24.0</v>
      </c>
      <c r="Q22" s="24"/>
      <c r="R22" s="24"/>
      <c r="S22" s="24">
        <v>24.0</v>
      </c>
      <c r="T22" s="24"/>
      <c r="U22" s="24"/>
      <c r="V22" s="110">
        <v>24.0</v>
      </c>
      <c r="W22" s="110"/>
      <c r="X22" s="24"/>
      <c r="Y22" s="24">
        <v>24.0</v>
      </c>
      <c r="Z22" s="24"/>
      <c r="AA22" s="24"/>
      <c r="AB22" s="24">
        <v>24.0</v>
      </c>
      <c r="AC22" s="110"/>
      <c r="AD22" s="110"/>
      <c r="AE22" s="24">
        <v>24.0</v>
      </c>
      <c r="AF22" s="24"/>
      <c r="AG22" s="24"/>
      <c r="AH22" s="24">
        <v>24.0</v>
      </c>
      <c r="AI22" s="24"/>
      <c r="AJ22" s="110"/>
      <c r="AK22" s="110">
        <v>24.0</v>
      </c>
      <c r="AL22" s="211">
        <v>11.0</v>
      </c>
      <c r="AM22" s="452">
        <f>SUM(G22:AL22)</f>
        <v>275</v>
      </c>
    </row>
    <row r="23" ht="14.25" customHeight="1">
      <c r="A23" s="34">
        <v>16.0</v>
      </c>
      <c r="B23" s="35" t="s">
        <v>86</v>
      </c>
      <c r="C23" s="27">
        <v>1.0</v>
      </c>
      <c r="D23" s="37" t="s">
        <v>320</v>
      </c>
      <c r="E23" s="27" t="s">
        <v>83</v>
      </c>
      <c r="F23" s="88"/>
      <c r="G23" s="24"/>
      <c r="H23" s="110">
        <v>24.0</v>
      </c>
      <c r="I23" s="110"/>
      <c r="J23" s="24"/>
      <c r="K23" s="24">
        <v>24.0</v>
      </c>
      <c r="L23" s="24"/>
      <c r="M23" s="24"/>
      <c r="N23" s="24">
        <v>24.0</v>
      </c>
      <c r="O23" s="110"/>
      <c r="P23" s="110"/>
      <c r="Q23" s="24">
        <v>24.0</v>
      </c>
      <c r="R23" s="24"/>
      <c r="S23" s="24"/>
      <c r="T23" s="24">
        <v>24.0</v>
      </c>
      <c r="U23" s="24"/>
      <c r="V23" s="110"/>
      <c r="W23" s="110">
        <v>24.0</v>
      </c>
      <c r="X23" s="24"/>
      <c r="Y23" s="24"/>
      <c r="Z23" s="24">
        <v>24.0</v>
      </c>
      <c r="AA23" s="24"/>
      <c r="AB23" s="24"/>
      <c r="AC23" s="110">
        <v>24.0</v>
      </c>
      <c r="AD23" s="110"/>
      <c r="AE23" s="24"/>
      <c r="AF23" s="24">
        <v>24.0</v>
      </c>
      <c r="AG23" s="24"/>
      <c r="AH23" s="24"/>
      <c r="AI23" s="24">
        <v>24.0</v>
      </c>
      <c r="AJ23" s="110"/>
      <c r="AK23" s="110"/>
      <c r="AL23" s="211">
        <f t="shared" ref="AL23:AL25" si="7">COUNTA(G23:AJ23)</f>
        <v>10</v>
      </c>
      <c r="AM23" s="452">
        <f t="shared" ref="AM23:AM25" si="8">SUM(G23:AJ23)</f>
        <v>240</v>
      </c>
    </row>
    <row r="24" ht="14.25" customHeight="1">
      <c r="A24" s="34">
        <v>17.0</v>
      </c>
      <c r="B24" s="35" t="s">
        <v>86</v>
      </c>
      <c r="C24" s="65">
        <v>1.0</v>
      </c>
      <c r="D24" s="37" t="s">
        <v>198</v>
      </c>
      <c r="E24" s="27" t="s">
        <v>83</v>
      </c>
      <c r="F24" s="88"/>
      <c r="G24" s="24"/>
      <c r="H24" s="110"/>
      <c r="I24" s="110">
        <v>24.0</v>
      </c>
      <c r="J24" s="24"/>
      <c r="K24" s="24"/>
      <c r="L24" s="24">
        <v>24.0</v>
      </c>
      <c r="M24" s="24"/>
      <c r="N24" s="24"/>
      <c r="O24" s="110">
        <v>24.0</v>
      </c>
      <c r="P24" s="110"/>
      <c r="Q24" s="24"/>
      <c r="R24" s="24">
        <v>24.0</v>
      </c>
      <c r="S24" s="24"/>
      <c r="T24" s="24"/>
      <c r="U24" s="24">
        <v>24.0</v>
      </c>
      <c r="V24" s="110"/>
      <c r="W24" s="110"/>
      <c r="X24" s="24">
        <v>24.0</v>
      </c>
      <c r="Y24" s="24"/>
      <c r="Z24" s="24"/>
      <c r="AA24" s="24">
        <v>24.0</v>
      </c>
      <c r="AB24" s="24"/>
      <c r="AC24" s="110"/>
      <c r="AD24" s="110">
        <v>24.0</v>
      </c>
      <c r="AE24" s="24"/>
      <c r="AF24" s="24"/>
      <c r="AG24" s="24">
        <v>24.0</v>
      </c>
      <c r="AH24" s="24"/>
      <c r="AI24" s="24"/>
      <c r="AJ24" s="110">
        <v>24.0</v>
      </c>
      <c r="AK24" s="110"/>
      <c r="AL24" s="211">
        <f t="shared" si="7"/>
        <v>10</v>
      </c>
      <c r="AM24" s="452">
        <f t="shared" si="8"/>
        <v>240</v>
      </c>
    </row>
    <row r="25" ht="14.25" customHeight="1">
      <c r="A25" s="34">
        <v>18.0</v>
      </c>
      <c r="B25" s="35" t="s">
        <v>95</v>
      </c>
      <c r="C25" s="65">
        <v>1.0</v>
      </c>
      <c r="D25" s="90" t="s">
        <v>321</v>
      </c>
      <c r="E25" s="27" t="s">
        <v>83</v>
      </c>
      <c r="F25" s="88"/>
      <c r="G25" s="24">
        <v>24.0</v>
      </c>
      <c r="H25" s="110"/>
      <c r="I25" s="110"/>
      <c r="J25" s="24">
        <v>24.0</v>
      </c>
      <c r="K25" s="24"/>
      <c r="L25" s="24">
        <v>17.0</v>
      </c>
      <c r="M25" s="24">
        <v>17.0</v>
      </c>
      <c r="N25" s="24">
        <v>17.0</v>
      </c>
      <c r="O25" s="110">
        <v>17.0</v>
      </c>
      <c r="P25" s="110">
        <v>17.0</v>
      </c>
      <c r="Q25" s="24"/>
      <c r="R25" s="24"/>
      <c r="S25" s="24">
        <v>24.0</v>
      </c>
      <c r="T25" s="24"/>
      <c r="U25" s="24"/>
      <c r="V25" s="110">
        <v>24.0</v>
      </c>
      <c r="W25" s="110"/>
      <c r="X25" s="24"/>
      <c r="Y25" s="24">
        <v>24.0</v>
      </c>
      <c r="Z25" s="24"/>
      <c r="AA25" s="24"/>
      <c r="AB25" s="24">
        <v>24.0</v>
      </c>
      <c r="AC25" s="110"/>
      <c r="AD25" s="110"/>
      <c r="AE25" s="24">
        <v>24.0</v>
      </c>
      <c r="AF25" s="24"/>
      <c r="AG25" s="24"/>
      <c r="AH25" s="24">
        <v>24.0</v>
      </c>
      <c r="AI25" s="24"/>
      <c r="AJ25" s="110"/>
      <c r="AK25" s="110">
        <v>24.0</v>
      </c>
      <c r="AL25" s="211">
        <f t="shared" si="7"/>
        <v>13</v>
      </c>
      <c r="AM25" s="457">
        <f t="shared" si="8"/>
        <v>277</v>
      </c>
    </row>
    <row r="26" ht="14.25" customHeight="1">
      <c r="A26" s="34">
        <v>19.0</v>
      </c>
      <c r="B26" s="35" t="s">
        <v>95</v>
      </c>
      <c r="C26" s="65">
        <v>1.0</v>
      </c>
      <c r="D26" s="90" t="s">
        <v>212</v>
      </c>
      <c r="E26" s="27" t="s">
        <v>83</v>
      </c>
      <c r="F26" s="88"/>
      <c r="G26" s="24"/>
      <c r="H26" s="110">
        <v>24.0</v>
      </c>
      <c r="I26" s="110"/>
      <c r="J26" s="24"/>
      <c r="K26" s="24">
        <v>24.0</v>
      </c>
      <c r="L26" s="24"/>
      <c r="M26" s="24"/>
      <c r="N26" s="24">
        <v>24.0</v>
      </c>
      <c r="O26" s="110"/>
      <c r="P26" s="110"/>
      <c r="Q26" s="24">
        <v>24.0</v>
      </c>
      <c r="R26" s="24"/>
      <c r="S26" s="24"/>
      <c r="T26" s="24">
        <v>24.0</v>
      </c>
      <c r="U26" s="24"/>
      <c r="V26" s="110"/>
      <c r="W26" s="110">
        <v>24.0</v>
      </c>
      <c r="X26" s="24"/>
      <c r="Y26" s="24"/>
      <c r="Z26" s="24">
        <v>17.0</v>
      </c>
      <c r="AA26" s="24">
        <v>17.0</v>
      </c>
      <c r="AB26" s="24">
        <v>17.0</v>
      </c>
      <c r="AC26" s="110">
        <v>17.0</v>
      </c>
      <c r="AD26" s="110">
        <v>17.0</v>
      </c>
      <c r="AE26" s="24"/>
      <c r="AF26" s="24"/>
      <c r="AG26" s="24">
        <v>24.0</v>
      </c>
      <c r="AH26" s="24"/>
      <c r="AI26" s="24"/>
      <c r="AJ26" s="110">
        <v>24.0</v>
      </c>
      <c r="AK26" s="110"/>
      <c r="AL26" s="211">
        <f t="shared" ref="AL26:AL27" si="9">COUNTA(G26:AK26)</f>
        <v>13</v>
      </c>
      <c r="AM26" s="457">
        <f t="shared" ref="AM26:AM27" si="10">SUM(G26:AK26)</f>
        <v>277</v>
      </c>
    </row>
    <row r="27" ht="14.25" customHeight="1">
      <c r="A27" s="34">
        <v>20.0</v>
      </c>
      <c r="B27" s="35" t="s">
        <v>95</v>
      </c>
      <c r="C27" s="65">
        <v>1.0</v>
      </c>
      <c r="D27" s="90" t="s">
        <v>311</v>
      </c>
      <c r="E27" s="27" t="s">
        <v>83</v>
      </c>
      <c r="F27" s="88"/>
      <c r="G27" s="24">
        <v>17.0</v>
      </c>
      <c r="H27" s="110">
        <v>17.0</v>
      </c>
      <c r="I27" s="110">
        <v>17.0</v>
      </c>
      <c r="J27" s="24"/>
      <c r="K27" s="24"/>
      <c r="L27" s="24">
        <v>24.0</v>
      </c>
      <c r="M27" s="24"/>
      <c r="N27" s="24"/>
      <c r="O27" s="110">
        <v>24.0</v>
      </c>
      <c r="P27" s="110"/>
      <c r="Q27" s="24"/>
      <c r="R27" s="24">
        <v>24.0</v>
      </c>
      <c r="S27" s="24"/>
      <c r="T27" s="24"/>
      <c r="U27" s="24">
        <v>24.0</v>
      </c>
      <c r="V27" s="110"/>
      <c r="W27" s="110"/>
      <c r="X27" s="24">
        <v>24.0</v>
      </c>
      <c r="Y27" s="24"/>
      <c r="Z27" s="24"/>
      <c r="AA27" s="24">
        <v>24.0</v>
      </c>
      <c r="AB27" s="24"/>
      <c r="AC27" s="110"/>
      <c r="AD27" s="110">
        <v>24.0</v>
      </c>
      <c r="AE27" s="24"/>
      <c r="AF27" s="24"/>
      <c r="AG27" s="24">
        <v>24.0</v>
      </c>
      <c r="AH27" s="24"/>
      <c r="AI27" s="24"/>
      <c r="AJ27" s="110">
        <v>17.0</v>
      </c>
      <c r="AK27" s="110">
        <v>17.0</v>
      </c>
      <c r="AL27" s="211">
        <f t="shared" si="9"/>
        <v>13</v>
      </c>
      <c r="AM27" s="457">
        <f t="shared" si="10"/>
        <v>277</v>
      </c>
    </row>
    <row r="28" ht="14.25" customHeight="1">
      <c r="A28" s="34">
        <v>21.0</v>
      </c>
      <c r="B28" s="97" t="s">
        <v>95</v>
      </c>
      <c r="C28" s="65">
        <v>1.0</v>
      </c>
      <c r="D28" s="189" t="s">
        <v>310</v>
      </c>
      <c r="E28" s="27" t="s">
        <v>322</v>
      </c>
      <c r="F28" s="17"/>
      <c r="G28" s="24"/>
      <c r="H28" s="110">
        <v>24.0</v>
      </c>
      <c r="I28" s="110"/>
      <c r="J28" s="24"/>
      <c r="K28" s="24">
        <v>24.0</v>
      </c>
      <c r="L28" s="24"/>
      <c r="M28" s="24"/>
      <c r="N28" s="24">
        <v>24.0</v>
      </c>
      <c r="O28" s="110"/>
      <c r="P28" s="110"/>
      <c r="Q28" s="24">
        <v>24.0</v>
      </c>
      <c r="R28" s="24"/>
      <c r="S28" s="24">
        <v>17.0</v>
      </c>
      <c r="T28" s="24">
        <v>17.0</v>
      </c>
      <c r="U28" s="24">
        <v>17.0</v>
      </c>
      <c r="V28" s="110">
        <v>17.0</v>
      </c>
      <c r="W28" s="110">
        <v>17.0</v>
      </c>
      <c r="X28" s="24"/>
      <c r="Y28" s="24"/>
      <c r="Z28" s="24">
        <v>24.0</v>
      </c>
      <c r="AA28" s="24"/>
      <c r="AB28" s="24"/>
      <c r="AC28" s="110">
        <v>24.0</v>
      </c>
      <c r="AD28" s="110"/>
      <c r="AE28" s="24"/>
      <c r="AF28" s="24">
        <v>24.0</v>
      </c>
      <c r="AG28" s="24"/>
      <c r="AH28" s="24"/>
      <c r="AI28" s="24">
        <v>24.0</v>
      </c>
      <c r="AJ28" s="110"/>
      <c r="AK28" s="110"/>
      <c r="AL28" s="211">
        <f>COUNTA(G28:AJ28)</f>
        <v>13</v>
      </c>
      <c r="AM28" s="458">
        <f>SUM(G28:AJ28)</f>
        <v>277</v>
      </c>
    </row>
    <row r="29" ht="14.25" customHeight="1">
      <c r="A29" s="106">
        <v>22.0</v>
      </c>
      <c r="B29" s="64" t="s">
        <v>184</v>
      </c>
      <c r="C29" s="101">
        <v>1.0</v>
      </c>
      <c r="D29" s="64" t="s">
        <v>323</v>
      </c>
      <c r="E29" s="101" t="s">
        <v>105</v>
      </c>
      <c r="F29" s="103">
        <v>0.4</v>
      </c>
      <c r="G29" s="106"/>
      <c r="H29" s="107"/>
      <c r="I29" s="107"/>
      <c r="J29" s="106">
        <v>17.0</v>
      </c>
      <c r="K29" s="106">
        <v>17.0</v>
      </c>
      <c r="L29" s="106">
        <v>17.0</v>
      </c>
      <c r="M29" s="106"/>
      <c r="N29" s="106"/>
      <c r="O29" s="107"/>
      <c r="P29" s="107"/>
      <c r="Q29" s="106">
        <v>17.0</v>
      </c>
      <c r="R29" s="106">
        <v>17.0</v>
      </c>
      <c r="S29" s="106">
        <v>17.0</v>
      </c>
      <c r="T29" s="106"/>
      <c r="U29" s="106"/>
      <c r="V29" s="107"/>
      <c r="W29" s="107"/>
      <c r="X29" s="106">
        <v>17.0</v>
      </c>
      <c r="Y29" s="106">
        <v>17.0</v>
      </c>
      <c r="Z29" s="106">
        <v>17.0</v>
      </c>
      <c r="AA29" s="106"/>
      <c r="AB29" s="106"/>
      <c r="AC29" s="107"/>
      <c r="AD29" s="107"/>
      <c r="AE29" s="106">
        <v>17.0</v>
      </c>
      <c r="AF29" s="106">
        <v>17.0</v>
      </c>
      <c r="AG29" s="106">
        <v>17.0</v>
      </c>
      <c r="AH29" s="106"/>
      <c r="AI29" s="106"/>
      <c r="AJ29" s="107"/>
      <c r="AK29" s="107">
        <v>17.0</v>
      </c>
      <c r="AL29" s="459">
        <f>COUNTA(F29:AK29)</f>
        <v>14</v>
      </c>
      <c r="AM29" s="460">
        <f>SUM(F29:AK29)</f>
        <v>221.4</v>
      </c>
    </row>
    <row r="30" ht="14.25" customHeight="1">
      <c r="A30" s="119">
        <v>23.0</v>
      </c>
      <c r="B30" s="137" t="s">
        <v>184</v>
      </c>
      <c r="C30" s="129">
        <v>1.0</v>
      </c>
      <c r="D30" s="130" t="s">
        <v>323</v>
      </c>
      <c r="E30" s="121" t="s">
        <v>105</v>
      </c>
      <c r="F30" s="103">
        <v>0.4</v>
      </c>
      <c r="G30" s="106"/>
      <c r="H30" s="107"/>
      <c r="I30" s="107"/>
      <c r="J30" s="106">
        <v>17.0</v>
      </c>
      <c r="K30" s="106">
        <v>17.0</v>
      </c>
      <c r="L30" s="106"/>
      <c r="M30" s="106"/>
      <c r="N30" s="106"/>
      <c r="O30" s="107"/>
      <c r="P30" s="107"/>
      <c r="Q30" s="106">
        <v>17.0</v>
      </c>
      <c r="R30" s="106">
        <v>17.0</v>
      </c>
      <c r="S30" s="106"/>
      <c r="T30" s="106"/>
      <c r="U30" s="106"/>
      <c r="V30" s="107"/>
      <c r="W30" s="107"/>
      <c r="X30" s="106">
        <v>17.0</v>
      </c>
      <c r="Y30" s="106">
        <v>17.0</v>
      </c>
      <c r="Z30" s="106"/>
      <c r="AA30" s="106"/>
      <c r="AB30" s="106"/>
      <c r="AC30" s="107"/>
      <c r="AD30" s="107"/>
      <c r="AE30" s="106">
        <v>17.0</v>
      </c>
      <c r="AF30" s="106">
        <v>17.0</v>
      </c>
      <c r="AG30" s="106"/>
      <c r="AH30" s="106"/>
      <c r="AI30" s="106"/>
      <c r="AJ30" s="107"/>
      <c r="AK30" s="107"/>
      <c r="AL30" s="459">
        <f>COUNTA(F30:AJ30)</f>
        <v>9</v>
      </c>
      <c r="AM30" s="460">
        <f>SUM(F30:AJ30)</f>
        <v>136.4</v>
      </c>
    </row>
    <row r="31" ht="14.25" customHeight="1">
      <c r="A31" s="34">
        <v>24.0</v>
      </c>
      <c r="B31" s="36" t="s">
        <v>109</v>
      </c>
      <c r="C31" s="65">
        <v>1.0</v>
      </c>
      <c r="D31" s="90" t="s">
        <v>300</v>
      </c>
      <c r="E31" s="27" t="s">
        <v>111</v>
      </c>
      <c r="F31" s="118" t="s">
        <v>26</v>
      </c>
      <c r="G31" s="24">
        <v>12.0</v>
      </c>
      <c r="H31" s="110">
        <v>12.0</v>
      </c>
      <c r="I31" s="110">
        <v>12.0</v>
      </c>
      <c r="J31" s="24">
        <v>12.0</v>
      </c>
      <c r="K31" s="24">
        <v>12.0</v>
      </c>
      <c r="L31" s="24">
        <v>12.0</v>
      </c>
      <c r="M31" s="24"/>
      <c r="N31" s="24">
        <v>12.0</v>
      </c>
      <c r="O31" s="110">
        <v>12.0</v>
      </c>
      <c r="P31" s="110">
        <v>12.0</v>
      </c>
      <c r="Q31" s="24">
        <v>12.0</v>
      </c>
      <c r="R31" s="24">
        <v>12.0</v>
      </c>
      <c r="S31" s="24">
        <v>12.0</v>
      </c>
      <c r="T31" s="24"/>
      <c r="U31" s="24">
        <v>12.0</v>
      </c>
      <c r="V31" s="110">
        <v>12.0</v>
      </c>
      <c r="W31" s="110">
        <v>12.0</v>
      </c>
      <c r="X31" s="24">
        <v>12.0</v>
      </c>
      <c r="Y31" s="24">
        <v>12.0</v>
      </c>
      <c r="Z31" s="24">
        <v>12.0</v>
      </c>
      <c r="AA31" s="24"/>
      <c r="AB31" s="24">
        <v>12.0</v>
      </c>
      <c r="AC31" s="110">
        <v>12.0</v>
      </c>
      <c r="AD31" s="110">
        <v>12.0</v>
      </c>
      <c r="AE31" s="24">
        <v>12.0</v>
      </c>
      <c r="AF31" s="24">
        <v>12.0</v>
      </c>
      <c r="AG31" s="24">
        <v>12.0</v>
      </c>
      <c r="AH31" s="24"/>
      <c r="AI31" s="24">
        <v>12.0</v>
      </c>
      <c r="AJ31" s="110">
        <v>12.0</v>
      </c>
      <c r="AK31" s="110">
        <v>12.0</v>
      </c>
      <c r="AL31" s="211">
        <f t="shared" ref="AL31:AL36" si="11">COUNTA(G31:AK31)</f>
        <v>27</v>
      </c>
      <c r="AM31" s="57">
        <f t="shared" ref="AM31:AM36" si="12">SUM(G31:AK31)</f>
        <v>324</v>
      </c>
    </row>
    <row r="32" ht="14.25" customHeight="1">
      <c r="A32" s="34">
        <v>25.0</v>
      </c>
      <c r="B32" s="35" t="s">
        <v>135</v>
      </c>
      <c r="C32" s="65">
        <v>1.0</v>
      </c>
      <c r="D32" s="90"/>
      <c r="E32" s="27" t="s">
        <v>111</v>
      </c>
      <c r="F32" s="118" t="s">
        <v>26</v>
      </c>
      <c r="G32" s="24">
        <v>12.0</v>
      </c>
      <c r="H32" s="110">
        <v>12.0</v>
      </c>
      <c r="I32" s="110">
        <v>12.0</v>
      </c>
      <c r="J32" s="24">
        <v>12.0</v>
      </c>
      <c r="K32" s="24"/>
      <c r="L32" s="24">
        <v>12.0</v>
      </c>
      <c r="M32" s="24">
        <v>12.0</v>
      </c>
      <c r="N32" s="24">
        <v>12.0</v>
      </c>
      <c r="O32" s="110">
        <v>12.0</v>
      </c>
      <c r="P32" s="110">
        <v>12.0</v>
      </c>
      <c r="Q32" s="24">
        <v>12.0</v>
      </c>
      <c r="R32" s="24"/>
      <c r="S32" s="24">
        <v>12.0</v>
      </c>
      <c r="T32" s="24">
        <v>12.0</v>
      </c>
      <c r="U32" s="24">
        <v>12.0</v>
      </c>
      <c r="V32" s="110">
        <v>12.0</v>
      </c>
      <c r="W32" s="110">
        <v>12.0</v>
      </c>
      <c r="X32" s="24">
        <v>12.0</v>
      </c>
      <c r="Y32" s="24"/>
      <c r="Z32" s="24">
        <v>12.0</v>
      </c>
      <c r="AA32" s="24">
        <v>12.0</v>
      </c>
      <c r="AB32" s="24">
        <v>12.0</v>
      </c>
      <c r="AC32" s="110">
        <v>12.0</v>
      </c>
      <c r="AD32" s="110">
        <v>12.0</v>
      </c>
      <c r="AE32" s="24">
        <v>12.0</v>
      </c>
      <c r="AF32" s="24"/>
      <c r="AG32" s="24">
        <v>12.0</v>
      </c>
      <c r="AH32" s="24">
        <v>12.0</v>
      </c>
      <c r="AI32" s="24">
        <v>12.0</v>
      </c>
      <c r="AJ32" s="110">
        <v>12.0</v>
      </c>
      <c r="AK32" s="110">
        <v>12.0</v>
      </c>
      <c r="AL32" s="211">
        <f t="shared" si="11"/>
        <v>27</v>
      </c>
      <c r="AM32" s="57">
        <f t="shared" si="12"/>
        <v>324</v>
      </c>
    </row>
    <row r="33" ht="14.25" customHeight="1">
      <c r="A33" s="34">
        <v>26.0</v>
      </c>
      <c r="B33" s="35" t="s">
        <v>135</v>
      </c>
      <c r="C33" s="65">
        <v>1.0</v>
      </c>
      <c r="D33" s="90" t="s">
        <v>297</v>
      </c>
      <c r="E33" s="27" t="s">
        <v>73</v>
      </c>
      <c r="F33" s="123" t="s">
        <v>26</v>
      </c>
      <c r="G33" s="24">
        <v>12.0</v>
      </c>
      <c r="H33" s="110"/>
      <c r="I33" s="110">
        <v>12.0</v>
      </c>
      <c r="J33" s="24">
        <v>12.0</v>
      </c>
      <c r="K33" s="24">
        <v>12.0</v>
      </c>
      <c r="L33" s="24"/>
      <c r="M33" s="24">
        <v>12.0</v>
      </c>
      <c r="N33" s="24">
        <v>12.0</v>
      </c>
      <c r="O33" s="110">
        <v>12.0</v>
      </c>
      <c r="P33" s="110">
        <v>12.0</v>
      </c>
      <c r="Q33" s="24">
        <v>12.0</v>
      </c>
      <c r="R33" s="24">
        <v>12.0</v>
      </c>
      <c r="S33" s="24"/>
      <c r="T33" s="24">
        <v>12.0</v>
      </c>
      <c r="U33" s="24">
        <v>12.0</v>
      </c>
      <c r="V33" s="110">
        <v>12.0</v>
      </c>
      <c r="W33" s="110">
        <v>12.0</v>
      </c>
      <c r="X33" s="24">
        <v>12.0</v>
      </c>
      <c r="Y33" s="24">
        <v>12.0</v>
      </c>
      <c r="Z33" s="24"/>
      <c r="AA33" s="24">
        <v>12.0</v>
      </c>
      <c r="AB33" s="24">
        <v>12.0</v>
      </c>
      <c r="AC33" s="110">
        <v>12.0</v>
      </c>
      <c r="AD33" s="110">
        <v>12.0</v>
      </c>
      <c r="AE33" s="24">
        <v>12.0</v>
      </c>
      <c r="AF33" s="24">
        <v>12.0</v>
      </c>
      <c r="AG33" s="24"/>
      <c r="AH33" s="24">
        <v>12.0</v>
      </c>
      <c r="AI33" s="24">
        <v>12.0</v>
      </c>
      <c r="AJ33" s="110">
        <v>12.0</v>
      </c>
      <c r="AK33" s="110">
        <v>12.0</v>
      </c>
      <c r="AL33" s="211">
        <f t="shared" si="11"/>
        <v>26</v>
      </c>
      <c r="AM33" s="57">
        <f t="shared" si="12"/>
        <v>312</v>
      </c>
    </row>
    <row r="34" ht="26.25" customHeight="1">
      <c r="A34" s="465">
        <v>27.0</v>
      </c>
      <c r="B34" s="128" t="s">
        <v>314</v>
      </c>
      <c r="C34" s="129">
        <v>1.0</v>
      </c>
      <c r="D34" s="130" t="s">
        <v>324</v>
      </c>
      <c r="E34" s="129" t="s">
        <v>125</v>
      </c>
      <c r="F34" s="250"/>
      <c r="G34" s="106"/>
      <c r="H34" s="107"/>
      <c r="I34" s="107"/>
      <c r="J34" s="106"/>
      <c r="K34" s="106">
        <v>12.0</v>
      </c>
      <c r="L34" s="106">
        <v>12.0</v>
      </c>
      <c r="M34" s="106">
        <v>12.0</v>
      </c>
      <c r="N34" s="106"/>
      <c r="O34" s="107"/>
      <c r="P34" s="107"/>
      <c r="Q34" s="106"/>
      <c r="R34" s="106">
        <v>12.0</v>
      </c>
      <c r="S34" s="106">
        <v>12.0</v>
      </c>
      <c r="T34" s="106">
        <v>12.0</v>
      </c>
      <c r="U34" s="106"/>
      <c r="V34" s="107"/>
      <c r="W34" s="107"/>
      <c r="X34" s="106"/>
      <c r="Y34" s="106">
        <v>12.0</v>
      </c>
      <c r="Z34" s="106">
        <v>12.0</v>
      </c>
      <c r="AA34" s="106">
        <v>12.0</v>
      </c>
      <c r="AB34" s="106"/>
      <c r="AC34" s="107"/>
      <c r="AD34" s="107"/>
      <c r="AE34" s="106"/>
      <c r="AF34" s="106">
        <v>12.0</v>
      </c>
      <c r="AG34" s="106">
        <v>12.0</v>
      </c>
      <c r="AH34" s="106">
        <v>12.0</v>
      </c>
      <c r="AI34" s="106"/>
      <c r="AJ34" s="107"/>
      <c r="AK34" s="107"/>
      <c r="AL34" s="459">
        <f t="shared" si="11"/>
        <v>12</v>
      </c>
      <c r="AM34" s="466">
        <f t="shared" si="12"/>
        <v>144</v>
      </c>
    </row>
    <row r="35" ht="30.0" customHeight="1">
      <c r="A35" s="17"/>
      <c r="B35" s="17"/>
      <c r="C35" s="17"/>
      <c r="D35" s="17"/>
      <c r="E35" s="121" t="s">
        <v>315</v>
      </c>
      <c r="F35" s="17"/>
      <c r="G35" s="106"/>
      <c r="H35" s="107"/>
      <c r="I35" s="107"/>
      <c r="J35" s="106"/>
      <c r="K35" s="106"/>
      <c r="L35" s="106"/>
      <c r="M35" s="106">
        <v>12.0</v>
      </c>
      <c r="N35" s="106">
        <v>12.0</v>
      </c>
      <c r="O35" s="107">
        <v>12.0</v>
      </c>
      <c r="P35" s="107">
        <v>12.0</v>
      </c>
      <c r="Q35" s="106"/>
      <c r="R35" s="106"/>
      <c r="S35" s="106"/>
      <c r="T35" s="106">
        <v>12.0</v>
      </c>
      <c r="U35" s="106">
        <v>12.0</v>
      </c>
      <c r="V35" s="107">
        <v>12.0</v>
      </c>
      <c r="W35" s="107">
        <v>12.0</v>
      </c>
      <c r="X35" s="106"/>
      <c r="Y35" s="106"/>
      <c r="Z35" s="106"/>
      <c r="AA35" s="106">
        <v>12.0</v>
      </c>
      <c r="AB35" s="106">
        <v>12.0</v>
      </c>
      <c r="AC35" s="107">
        <v>12.0</v>
      </c>
      <c r="AD35" s="107">
        <v>12.0</v>
      </c>
      <c r="AE35" s="106"/>
      <c r="AF35" s="106"/>
      <c r="AG35" s="106"/>
      <c r="AH35" s="106">
        <v>12.0</v>
      </c>
      <c r="AI35" s="106">
        <v>12.0</v>
      </c>
      <c r="AJ35" s="107">
        <v>12.0</v>
      </c>
      <c r="AK35" s="107">
        <v>12.0</v>
      </c>
      <c r="AL35" s="459">
        <f t="shared" si="11"/>
        <v>16</v>
      </c>
      <c r="AM35" s="466">
        <f t="shared" si="12"/>
        <v>192</v>
      </c>
    </row>
    <row r="36" ht="21.0" customHeight="1">
      <c r="A36" s="34">
        <v>28.0</v>
      </c>
      <c r="B36" s="35" t="s">
        <v>144</v>
      </c>
      <c r="C36" s="27">
        <v>1.0</v>
      </c>
      <c r="D36" s="36" t="s">
        <v>325</v>
      </c>
      <c r="E36" s="27" t="s">
        <v>133</v>
      </c>
      <c r="F36" s="123" t="s">
        <v>26</v>
      </c>
      <c r="G36" s="24">
        <v>12.0</v>
      </c>
      <c r="H36" s="110">
        <v>12.0</v>
      </c>
      <c r="I36" s="110">
        <v>12.0</v>
      </c>
      <c r="J36" s="24">
        <v>12.0</v>
      </c>
      <c r="K36" s="24">
        <v>12.0</v>
      </c>
      <c r="L36" s="24">
        <v>12.0</v>
      </c>
      <c r="M36" s="24"/>
      <c r="N36" s="24">
        <v>12.0</v>
      </c>
      <c r="O36" s="110">
        <v>12.0</v>
      </c>
      <c r="P36" s="110">
        <v>12.0</v>
      </c>
      <c r="Q36" s="24">
        <v>12.0</v>
      </c>
      <c r="R36" s="24">
        <v>12.0</v>
      </c>
      <c r="S36" s="24">
        <v>12.0</v>
      </c>
      <c r="T36" s="24"/>
      <c r="U36" s="24">
        <v>12.0</v>
      </c>
      <c r="V36" s="110">
        <v>12.0</v>
      </c>
      <c r="W36" s="110">
        <v>12.0</v>
      </c>
      <c r="X36" s="24">
        <v>12.0</v>
      </c>
      <c r="Y36" s="24">
        <v>12.0</v>
      </c>
      <c r="Z36" s="24">
        <v>12.0</v>
      </c>
      <c r="AA36" s="24"/>
      <c r="AB36" s="24">
        <v>12.0</v>
      </c>
      <c r="AC36" s="110">
        <v>12.0</v>
      </c>
      <c r="AD36" s="110">
        <v>12.0</v>
      </c>
      <c r="AE36" s="24">
        <v>12.0</v>
      </c>
      <c r="AF36" s="24">
        <v>12.0</v>
      </c>
      <c r="AG36" s="24">
        <v>12.0</v>
      </c>
      <c r="AH36" s="24"/>
      <c r="AI36" s="24">
        <v>12.0</v>
      </c>
      <c r="AJ36" s="110">
        <v>12.0</v>
      </c>
      <c r="AK36" s="110">
        <v>12.0</v>
      </c>
      <c r="AL36" s="211">
        <f t="shared" si="11"/>
        <v>27</v>
      </c>
      <c r="AM36" s="57">
        <f t="shared" si="12"/>
        <v>324</v>
      </c>
    </row>
    <row r="37" ht="19.5" customHeight="1">
      <c r="A37" s="34">
        <v>30.0</v>
      </c>
      <c r="B37" s="35" t="s">
        <v>136</v>
      </c>
      <c r="C37" s="27">
        <v>1.0</v>
      </c>
      <c r="D37" s="36" t="s">
        <v>326</v>
      </c>
      <c r="E37" s="26" t="s">
        <v>327</v>
      </c>
      <c r="F37" s="28" t="s">
        <v>26</v>
      </c>
      <c r="G37" s="24">
        <v>10.0</v>
      </c>
      <c r="H37" s="110" t="s">
        <v>317</v>
      </c>
      <c r="I37" s="110">
        <v>10.0</v>
      </c>
      <c r="J37" s="24">
        <v>10.0</v>
      </c>
      <c r="K37" s="24" t="s">
        <v>317</v>
      </c>
      <c r="L37" s="24">
        <v>10.0</v>
      </c>
      <c r="M37" s="24">
        <v>10.0</v>
      </c>
      <c r="N37" s="24" t="s">
        <v>317</v>
      </c>
      <c r="O37" s="110">
        <v>10.0</v>
      </c>
      <c r="P37" s="110">
        <v>10.0</v>
      </c>
      <c r="Q37" s="24" t="s">
        <v>317</v>
      </c>
      <c r="R37" s="24">
        <v>10.0</v>
      </c>
      <c r="S37" s="24">
        <v>10.0</v>
      </c>
      <c r="T37" s="24" t="s">
        <v>317</v>
      </c>
      <c r="U37" s="24">
        <v>10.0</v>
      </c>
      <c r="V37" s="110">
        <v>10.0</v>
      </c>
      <c r="W37" s="110" t="s">
        <v>317</v>
      </c>
      <c r="X37" s="24">
        <v>10.0</v>
      </c>
      <c r="Y37" s="24">
        <v>10.0</v>
      </c>
      <c r="Z37" s="24" t="s">
        <v>317</v>
      </c>
      <c r="AA37" s="24">
        <v>10.0</v>
      </c>
      <c r="AB37" s="24">
        <v>10.0</v>
      </c>
      <c r="AC37" s="110" t="s">
        <v>317</v>
      </c>
      <c r="AD37" s="110">
        <v>10.0</v>
      </c>
      <c r="AE37" s="24">
        <v>10.0</v>
      </c>
      <c r="AF37" s="24" t="s">
        <v>317</v>
      </c>
      <c r="AG37" s="24">
        <v>10.0</v>
      </c>
      <c r="AH37" s="24">
        <v>10.0</v>
      </c>
      <c r="AI37" s="24" t="s">
        <v>317</v>
      </c>
      <c r="AJ37" s="110">
        <v>10.0</v>
      </c>
      <c r="AK37" s="110">
        <v>10.0</v>
      </c>
      <c r="AL37" s="461">
        <v>26.0</v>
      </c>
      <c r="AM37" s="57">
        <f>SUM(G37:AL37)</f>
        <v>236</v>
      </c>
    </row>
    <row r="38" ht="14.25" customHeight="1">
      <c r="A38" s="21"/>
      <c r="B38" s="21" t="s">
        <v>140</v>
      </c>
      <c r="C38" s="21"/>
      <c r="D38" s="21" t="s">
        <v>140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2"/>
      <c r="AD38" s="212"/>
      <c r="AE38" s="212"/>
      <c r="AF38" s="212"/>
      <c r="AG38" s="212"/>
      <c r="AH38" s="212"/>
      <c r="AI38" s="212"/>
      <c r="AJ38" s="212"/>
      <c r="AK38" s="212"/>
      <c r="AL38" s="21"/>
      <c r="AM38" s="45"/>
    </row>
    <row r="39" ht="14.25" customHeight="1">
      <c r="A39" s="34">
        <v>31.0</v>
      </c>
      <c r="B39" s="35" t="s">
        <v>140</v>
      </c>
      <c r="C39" s="27">
        <v>1.0</v>
      </c>
      <c r="D39" s="117" t="s">
        <v>145</v>
      </c>
      <c r="E39" s="139" t="s">
        <v>51</v>
      </c>
      <c r="F39" s="28" t="s">
        <v>85</v>
      </c>
      <c r="G39" s="24"/>
      <c r="H39" s="110"/>
      <c r="I39" s="110">
        <v>24.0</v>
      </c>
      <c r="J39" s="24"/>
      <c r="K39" s="24"/>
      <c r="L39" s="24">
        <v>24.0</v>
      </c>
      <c r="M39" s="24"/>
      <c r="N39" s="24"/>
      <c r="O39" s="110">
        <v>24.0</v>
      </c>
      <c r="P39" s="110"/>
      <c r="Q39" s="24"/>
      <c r="R39" s="24">
        <v>24.0</v>
      </c>
      <c r="S39" s="24"/>
      <c r="T39" s="24"/>
      <c r="U39" s="24">
        <v>24.0</v>
      </c>
      <c r="V39" s="110"/>
      <c r="W39" s="110"/>
      <c r="X39" s="24">
        <v>24.0</v>
      </c>
      <c r="Y39" s="24"/>
      <c r="Z39" s="24"/>
      <c r="AA39" s="24">
        <v>24.0</v>
      </c>
      <c r="AB39" s="24"/>
      <c r="AC39" s="110"/>
      <c r="AD39" s="110">
        <v>24.0</v>
      </c>
      <c r="AE39" s="24"/>
      <c r="AF39" s="24"/>
      <c r="AG39" s="24">
        <v>24.0</v>
      </c>
      <c r="AH39" s="24"/>
      <c r="AI39" s="24"/>
      <c r="AJ39" s="110">
        <v>24.0</v>
      </c>
      <c r="AK39" s="110"/>
      <c r="AL39" s="211">
        <f t="shared" ref="AL39:AL41" si="13">COUNTA(G39:AJ39)</f>
        <v>10</v>
      </c>
      <c r="AM39" s="57">
        <f t="shared" ref="AM39:AM41" si="14">SUM(G39:AJ39)</f>
        <v>240</v>
      </c>
    </row>
    <row r="40" ht="14.25" customHeight="1">
      <c r="A40" s="24">
        <v>32.0</v>
      </c>
      <c r="B40" s="35" t="s">
        <v>140</v>
      </c>
      <c r="C40" s="27">
        <v>1.0</v>
      </c>
      <c r="D40" s="117" t="s">
        <v>318</v>
      </c>
      <c r="E40" s="139" t="s">
        <v>51</v>
      </c>
      <c r="F40" s="28" t="s">
        <v>85</v>
      </c>
      <c r="G40" s="24"/>
      <c r="H40" s="110">
        <v>24.0</v>
      </c>
      <c r="I40" s="110"/>
      <c r="J40" s="24"/>
      <c r="K40" s="24">
        <v>24.0</v>
      </c>
      <c r="L40" s="24"/>
      <c r="M40" s="24"/>
      <c r="N40" s="24">
        <v>24.0</v>
      </c>
      <c r="O40" s="110"/>
      <c r="P40" s="110"/>
      <c r="Q40" s="24">
        <v>24.0</v>
      </c>
      <c r="R40" s="24"/>
      <c r="S40" s="24"/>
      <c r="T40" s="24">
        <v>24.0</v>
      </c>
      <c r="U40" s="24"/>
      <c r="V40" s="110"/>
      <c r="W40" s="110">
        <v>24.0</v>
      </c>
      <c r="X40" s="24"/>
      <c r="Y40" s="24"/>
      <c r="Z40" s="24">
        <v>24.0</v>
      </c>
      <c r="AA40" s="24"/>
      <c r="AB40" s="24"/>
      <c r="AC40" s="110">
        <v>24.0</v>
      </c>
      <c r="AD40" s="110"/>
      <c r="AE40" s="24"/>
      <c r="AF40" s="24">
        <v>24.0</v>
      </c>
      <c r="AG40" s="24"/>
      <c r="AH40" s="24"/>
      <c r="AI40" s="24">
        <v>24.0</v>
      </c>
      <c r="AJ40" s="110"/>
      <c r="AK40" s="110"/>
      <c r="AL40" s="211">
        <f t="shared" si="13"/>
        <v>10</v>
      </c>
      <c r="AM40" s="57">
        <f t="shared" si="14"/>
        <v>240</v>
      </c>
    </row>
    <row r="41" ht="14.25" customHeight="1">
      <c r="A41" s="24">
        <v>33.0</v>
      </c>
      <c r="B41" s="35" t="s">
        <v>140</v>
      </c>
      <c r="C41" s="27">
        <v>1.0</v>
      </c>
      <c r="D41" s="117" t="s">
        <v>319</v>
      </c>
      <c r="E41" s="139" t="s">
        <v>51</v>
      </c>
      <c r="F41" s="28" t="s">
        <v>85</v>
      </c>
      <c r="G41" s="24">
        <v>24.0</v>
      </c>
      <c r="H41" s="110"/>
      <c r="I41" s="110"/>
      <c r="J41" s="24">
        <v>24.0</v>
      </c>
      <c r="K41" s="24"/>
      <c r="L41" s="24"/>
      <c r="M41" s="24">
        <v>24.0</v>
      </c>
      <c r="N41" s="24"/>
      <c r="O41" s="110"/>
      <c r="P41" s="110">
        <v>24.0</v>
      </c>
      <c r="Q41" s="24"/>
      <c r="R41" s="24"/>
      <c r="S41" s="24">
        <v>24.0</v>
      </c>
      <c r="T41" s="24"/>
      <c r="U41" s="24"/>
      <c r="V41" s="110">
        <v>24.0</v>
      </c>
      <c r="W41" s="110"/>
      <c r="X41" s="24"/>
      <c r="Y41" s="24">
        <v>24.0</v>
      </c>
      <c r="Z41" s="24"/>
      <c r="AA41" s="24"/>
      <c r="AB41" s="24">
        <v>24.0</v>
      </c>
      <c r="AC41" s="110"/>
      <c r="AD41" s="110"/>
      <c r="AE41" s="24">
        <v>24.0</v>
      </c>
      <c r="AF41" s="24"/>
      <c r="AG41" s="24"/>
      <c r="AH41" s="24">
        <v>24.0</v>
      </c>
      <c r="AI41" s="24"/>
      <c r="AJ41" s="110"/>
      <c r="AK41" s="110"/>
      <c r="AL41" s="211">
        <f t="shared" si="13"/>
        <v>10</v>
      </c>
      <c r="AM41" s="57">
        <f t="shared" si="14"/>
        <v>240</v>
      </c>
    </row>
    <row r="42" ht="14.25" customHeight="1">
      <c r="A42" s="142"/>
      <c r="B42" s="143" t="s">
        <v>151</v>
      </c>
      <c r="C42" s="144">
        <v>33.0</v>
      </c>
      <c r="D42" s="143" t="s">
        <v>152</v>
      </c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21"/>
      <c r="AM42" s="45"/>
    </row>
    <row r="43" ht="14.25" customHeight="1">
      <c r="A43" s="142"/>
      <c r="B43" s="146" t="s">
        <v>154</v>
      </c>
      <c r="C43" s="147"/>
      <c r="D43" s="147"/>
      <c r="E43" s="147"/>
      <c r="F43" s="148"/>
      <c r="G43" s="144" t="s">
        <v>155</v>
      </c>
      <c r="H43" s="144" t="s">
        <v>155</v>
      </c>
      <c r="I43" s="144" t="s">
        <v>155</v>
      </c>
      <c r="J43" s="144" t="s">
        <v>155</v>
      </c>
      <c r="K43" s="144" t="s">
        <v>155</v>
      </c>
      <c r="L43" s="144" t="s">
        <v>155</v>
      </c>
      <c r="M43" s="144" t="s">
        <v>155</v>
      </c>
      <c r="N43" s="144" t="s">
        <v>155</v>
      </c>
      <c r="O43" s="144" t="s">
        <v>155</v>
      </c>
      <c r="P43" s="144" t="s">
        <v>155</v>
      </c>
      <c r="Q43" s="144" t="s">
        <v>155</v>
      </c>
      <c r="R43" s="144" t="s">
        <v>155</v>
      </c>
      <c r="S43" s="144" t="s">
        <v>155</v>
      </c>
      <c r="T43" s="144" t="s">
        <v>155</v>
      </c>
      <c r="U43" s="144" t="s">
        <v>155</v>
      </c>
      <c r="V43" s="144" t="s">
        <v>155</v>
      </c>
      <c r="W43" s="144" t="s">
        <v>155</v>
      </c>
      <c r="X43" s="144" t="s">
        <v>155</v>
      </c>
      <c r="Y43" s="144" t="s">
        <v>155</v>
      </c>
      <c r="Z43" s="144" t="s">
        <v>155</v>
      </c>
      <c r="AA43" s="144" t="s">
        <v>155</v>
      </c>
      <c r="AB43" s="144" t="s">
        <v>155</v>
      </c>
      <c r="AC43" s="144" t="s">
        <v>155</v>
      </c>
      <c r="AD43" s="144" t="s">
        <v>155</v>
      </c>
      <c r="AE43" s="144" t="s">
        <v>155</v>
      </c>
      <c r="AF43" s="144" t="s">
        <v>155</v>
      </c>
      <c r="AG43" s="144" t="s">
        <v>155</v>
      </c>
      <c r="AH43" s="144" t="s">
        <v>155</v>
      </c>
      <c r="AI43" s="144" t="s">
        <v>155</v>
      </c>
      <c r="AJ43" s="144" t="s">
        <v>155</v>
      </c>
      <c r="AK43" s="144" t="s">
        <v>155</v>
      </c>
      <c r="AL43" s="21"/>
      <c r="AM43" s="45"/>
    </row>
    <row r="44" ht="14.25" customHeight="1">
      <c r="A44" s="142"/>
      <c r="B44" s="146" t="s">
        <v>156</v>
      </c>
      <c r="C44" s="147"/>
      <c r="D44" s="147"/>
      <c r="E44" s="147"/>
      <c r="F44" s="148"/>
      <c r="G44" s="144">
        <f t="shared" ref="G44:AK44" si="15">COUNTA(#REF!,#REF!,#REF!,#REF!,#REF!)</f>
        <v>5</v>
      </c>
      <c r="H44" s="144">
        <f t="shared" si="15"/>
        <v>5</v>
      </c>
      <c r="I44" s="144">
        <f t="shared" si="15"/>
        <v>5</v>
      </c>
      <c r="J44" s="144">
        <f t="shared" si="15"/>
        <v>5</v>
      </c>
      <c r="K44" s="144">
        <f t="shared" si="15"/>
        <v>5</v>
      </c>
      <c r="L44" s="144">
        <f t="shared" si="15"/>
        <v>5</v>
      </c>
      <c r="M44" s="144">
        <f t="shared" si="15"/>
        <v>5</v>
      </c>
      <c r="N44" s="144">
        <f t="shared" si="15"/>
        <v>5</v>
      </c>
      <c r="O44" s="144">
        <f t="shared" si="15"/>
        <v>5</v>
      </c>
      <c r="P44" s="144">
        <f t="shared" si="15"/>
        <v>5</v>
      </c>
      <c r="Q44" s="144">
        <f t="shared" si="15"/>
        <v>5</v>
      </c>
      <c r="R44" s="144">
        <f t="shared" si="15"/>
        <v>5</v>
      </c>
      <c r="S44" s="144">
        <f t="shared" si="15"/>
        <v>5</v>
      </c>
      <c r="T44" s="144">
        <f t="shared" si="15"/>
        <v>5</v>
      </c>
      <c r="U44" s="144">
        <f t="shared" si="15"/>
        <v>5</v>
      </c>
      <c r="V44" s="144">
        <f t="shared" si="15"/>
        <v>5</v>
      </c>
      <c r="W44" s="144">
        <f t="shared" si="15"/>
        <v>5</v>
      </c>
      <c r="X44" s="144">
        <f t="shared" si="15"/>
        <v>5</v>
      </c>
      <c r="Y44" s="144">
        <f t="shared" si="15"/>
        <v>5</v>
      </c>
      <c r="Z44" s="144">
        <f t="shared" si="15"/>
        <v>5</v>
      </c>
      <c r="AA44" s="144">
        <f t="shared" si="15"/>
        <v>5</v>
      </c>
      <c r="AB44" s="144">
        <f t="shared" si="15"/>
        <v>5</v>
      </c>
      <c r="AC44" s="144">
        <f t="shared" si="15"/>
        <v>5</v>
      </c>
      <c r="AD44" s="144">
        <f t="shared" si="15"/>
        <v>5</v>
      </c>
      <c r="AE44" s="144">
        <f t="shared" si="15"/>
        <v>5</v>
      </c>
      <c r="AF44" s="144">
        <f t="shared" si="15"/>
        <v>5</v>
      </c>
      <c r="AG44" s="144">
        <f t="shared" si="15"/>
        <v>5</v>
      </c>
      <c r="AH44" s="144">
        <f t="shared" si="15"/>
        <v>5</v>
      </c>
      <c r="AI44" s="144">
        <f t="shared" si="15"/>
        <v>5</v>
      </c>
      <c r="AJ44" s="144">
        <f t="shared" si="15"/>
        <v>5</v>
      </c>
      <c r="AK44" s="144">
        <f t="shared" si="15"/>
        <v>5</v>
      </c>
      <c r="AL44" s="21"/>
      <c r="AM44" s="45"/>
    </row>
    <row r="45" ht="14.25" customHeight="1">
      <c r="A45" s="142"/>
      <c r="B45" s="146" t="s">
        <v>157</v>
      </c>
      <c r="C45" s="147"/>
      <c r="D45" s="147"/>
      <c r="E45" s="147"/>
      <c r="F45" s="148"/>
      <c r="G45" s="269">
        <f t="shared" ref="G45:AK45" si="16">COUNTA(#REF!,#REF!)</f>
        <v>2</v>
      </c>
      <c r="H45" s="269">
        <f t="shared" si="16"/>
        <v>2</v>
      </c>
      <c r="I45" s="269">
        <f t="shared" si="16"/>
        <v>2</v>
      </c>
      <c r="J45" s="269">
        <f t="shared" si="16"/>
        <v>2</v>
      </c>
      <c r="K45" s="269">
        <f t="shared" si="16"/>
        <v>2</v>
      </c>
      <c r="L45" s="269">
        <f t="shared" si="16"/>
        <v>2</v>
      </c>
      <c r="M45" s="269">
        <f t="shared" si="16"/>
        <v>2</v>
      </c>
      <c r="N45" s="269">
        <f t="shared" si="16"/>
        <v>2</v>
      </c>
      <c r="O45" s="269">
        <f t="shared" si="16"/>
        <v>2</v>
      </c>
      <c r="P45" s="269">
        <f t="shared" si="16"/>
        <v>2</v>
      </c>
      <c r="Q45" s="269">
        <f t="shared" si="16"/>
        <v>2</v>
      </c>
      <c r="R45" s="269">
        <f t="shared" si="16"/>
        <v>2</v>
      </c>
      <c r="S45" s="269">
        <f t="shared" si="16"/>
        <v>2</v>
      </c>
      <c r="T45" s="269">
        <f t="shared" si="16"/>
        <v>2</v>
      </c>
      <c r="U45" s="269">
        <f t="shared" si="16"/>
        <v>2</v>
      </c>
      <c r="V45" s="269">
        <f t="shared" si="16"/>
        <v>2</v>
      </c>
      <c r="W45" s="269">
        <f t="shared" si="16"/>
        <v>2</v>
      </c>
      <c r="X45" s="269">
        <f t="shared" si="16"/>
        <v>2</v>
      </c>
      <c r="Y45" s="269">
        <f t="shared" si="16"/>
        <v>2</v>
      </c>
      <c r="Z45" s="269">
        <f t="shared" si="16"/>
        <v>2</v>
      </c>
      <c r="AA45" s="269">
        <f t="shared" si="16"/>
        <v>2</v>
      </c>
      <c r="AB45" s="269">
        <f t="shared" si="16"/>
        <v>2</v>
      </c>
      <c r="AC45" s="269">
        <f t="shared" si="16"/>
        <v>2</v>
      </c>
      <c r="AD45" s="269">
        <f t="shared" si="16"/>
        <v>2</v>
      </c>
      <c r="AE45" s="269">
        <f t="shared" si="16"/>
        <v>2</v>
      </c>
      <c r="AF45" s="269">
        <f t="shared" si="16"/>
        <v>2</v>
      </c>
      <c r="AG45" s="269">
        <f t="shared" si="16"/>
        <v>2</v>
      </c>
      <c r="AH45" s="269">
        <f t="shared" si="16"/>
        <v>2</v>
      </c>
      <c r="AI45" s="269">
        <f t="shared" si="16"/>
        <v>2</v>
      </c>
      <c r="AJ45" s="269">
        <f t="shared" si="16"/>
        <v>2</v>
      </c>
      <c r="AK45" s="269">
        <f t="shared" si="16"/>
        <v>2</v>
      </c>
      <c r="AL45" s="21"/>
      <c r="AM45" s="45"/>
    </row>
    <row r="46" ht="14.25" customHeight="1">
      <c r="A46" s="2"/>
      <c r="B46" s="3"/>
      <c r="C46" s="2"/>
      <c r="D46" s="2"/>
      <c r="E46" s="2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280"/>
      <c r="AM46" s="11"/>
    </row>
    <row r="47" ht="14.25" customHeight="1">
      <c r="A47" s="152"/>
      <c r="B47" s="153"/>
      <c r="C47" s="154"/>
      <c r="D47" s="155" t="s">
        <v>159</v>
      </c>
      <c r="E47" s="155"/>
      <c r="F47" s="156"/>
      <c r="G47" s="213">
        <f t="shared" ref="G47:AG47" si="17">COUNTA(G10,G11:G14,#REF!,G22:G23,G38,G21:G36,G28)</f>
        <v>13</v>
      </c>
      <c r="H47" s="213">
        <f t="shared" si="17"/>
        <v>14</v>
      </c>
      <c r="I47" s="213">
        <f t="shared" si="17"/>
        <v>11</v>
      </c>
      <c r="J47" s="213">
        <f t="shared" si="17"/>
        <v>14</v>
      </c>
      <c r="K47" s="213">
        <f t="shared" si="17"/>
        <v>12</v>
      </c>
      <c r="L47" s="213">
        <f t="shared" si="17"/>
        <v>10</v>
      </c>
      <c r="M47" s="213">
        <f t="shared" si="17"/>
        <v>11</v>
      </c>
      <c r="N47" s="213">
        <f t="shared" si="17"/>
        <v>16</v>
      </c>
      <c r="O47" s="213">
        <f t="shared" si="17"/>
        <v>13</v>
      </c>
      <c r="P47" s="213">
        <f t="shared" si="17"/>
        <v>13</v>
      </c>
      <c r="Q47" s="213">
        <f t="shared" si="17"/>
        <v>16</v>
      </c>
      <c r="R47" s="213">
        <f t="shared" si="17"/>
        <v>9</v>
      </c>
      <c r="S47" s="213">
        <f t="shared" si="17"/>
        <v>12</v>
      </c>
      <c r="T47" s="213">
        <f t="shared" si="17"/>
        <v>13</v>
      </c>
      <c r="U47" s="213">
        <f t="shared" si="17"/>
        <v>14</v>
      </c>
      <c r="V47" s="213">
        <f t="shared" si="17"/>
        <v>15</v>
      </c>
      <c r="W47" s="213">
        <f t="shared" si="17"/>
        <v>15</v>
      </c>
      <c r="X47" s="213">
        <f t="shared" si="17"/>
        <v>13</v>
      </c>
      <c r="Y47" s="213">
        <f t="shared" si="17"/>
        <v>10</v>
      </c>
      <c r="Z47" s="213">
        <f t="shared" si="17"/>
        <v>12</v>
      </c>
      <c r="AA47" s="213">
        <f t="shared" si="17"/>
        <v>11</v>
      </c>
      <c r="AB47" s="213">
        <f t="shared" si="17"/>
        <v>14</v>
      </c>
      <c r="AC47" s="213">
        <f t="shared" si="17"/>
        <v>15</v>
      </c>
      <c r="AD47" s="213">
        <f t="shared" si="17"/>
        <v>13</v>
      </c>
      <c r="AE47" s="213">
        <f t="shared" si="17"/>
        <v>14</v>
      </c>
      <c r="AF47" s="213">
        <f t="shared" si="17"/>
        <v>11</v>
      </c>
      <c r="AG47" s="213">
        <f t="shared" si="17"/>
        <v>10</v>
      </c>
      <c r="AH47" s="213"/>
      <c r="AI47" s="213"/>
      <c r="AJ47" s="213"/>
      <c r="AK47" s="213"/>
      <c r="AL47" s="287">
        <f t="shared" ref="AL47:AL50" si="19">SUM(G47:AJ47)</f>
        <v>344</v>
      </c>
      <c r="AM47" s="158">
        <v>250.0</v>
      </c>
    </row>
    <row r="48" ht="14.25" customHeight="1">
      <c r="A48" s="159"/>
      <c r="B48" s="160"/>
      <c r="C48" s="161"/>
      <c r="D48" s="162" t="s">
        <v>160</v>
      </c>
      <c r="E48" s="162"/>
      <c r="F48" s="163"/>
      <c r="G48" s="289">
        <f>COUNTA(G10,#REF!,#REF!,H14,G21:G36,G22:G38)</f>
        <v>18</v>
      </c>
      <c r="H48" s="289">
        <f>COUNTA(H10,#REF!,#REF!,#REF!,H21:H36,H22:H38)</f>
        <v>19</v>
      </c>
      <c r="I48" s="289">
        <f t="shared" ref="I48:AG48" si="18">COUNTA(I10,#REF!,#REF!,I14,I21:I36,I22:I38)</f>
        <v>16</v>
      </c>
      <c r="J48" s="289">
        <f t="shared" si="18"/>
        <v>20</v>
      </c>
      <c r="K48" s="289">
        <f t="shared" si="18"/>
        <v>21</v>
      </c>
      <c r="L48" s="289">
        <f t="shared" si="18"/>
        <v>19</v>
      </c>
      <c r="M48" s="289">
        <f t="shared" si="18"/>
        <v>16</v>
      </c>
      <c r="N48" s="289">
        <f t="shared" si="18"/>
        <v>22</v>
      </c>
      <c r="O48" s="289">
        <f t="shared" si="18"/>
        <v>20</v>
      </c>
      <c r="P48" s="289">
        <f t="shared" si="18"/>
        <v>18</v>
      </c>
      <c r="Q48" s="289">
        <f t="shared" si="18"/>
        <v>22</v>
      </c>
      <c r="R48" s="289">
        <f t="shared" si="18"/>
        <v>19</v>
      </c>
      <c r="S48" s="289">
        <f t="shared" si="18"/>
        <v>19</v>
      </c>
      <c r="T48" s="289">
        <f t="shared" si="18"/>
        <v>18</v>
      </c>
      <c r="U48" s="289">
        <f t="shared" si="18"/>
        <v>20</v>
      </c>
      <c r="V48" s="289">
        <f t="shared" si="18"/>
        <v>20</v>
      </c>
      <c r="W48" s="289">
        <f t="shared" si="18"/>
        <v>20</v>
      </c>
      <c r="X48" s="289">
        <f t="shared" si="18"/>
        <v>20</v>
      </c>
      <c r="Y48" s="289">
        <f t="shared" si="18"/>
        <v>19</v>
      </c>
      <c r="Z48" s="289">
        <f t="shared" si="18"/>
        <v>19</v>
      </c>
      <c r="AA48" s="289">
        <f t="shared" si="18"/>
        <v>18</v>
      </c>
      <c r="AB48" s="289">
        <f t="shared" si="18"/>
        <v>20</v>
      </c>
      <c r="AC48" s="289">
        <f t="shared" si="18"/>
        <v>20</v>
      </c>
      <c r="AD48" s="289">
        <f t="shared" si="18"/>
        <v>20</v>
      </c>
      <c r="AE48" s="289">
        <f t="shared" si="18"/>
        <v>20</v>
      </c>
      <c r="AF48" s="289">
        <f t="shared" si="18"/>
        <v>19</v>
      </c>
      <c r="AG48" s="289">
        <f t="shared" si="18"/>
        <v>19</v>
      </c>
      <c r="AH48" s="289"/>
      <c r="AI48" s="289"/>
      <c r="AJ48" s="289"/>
      <c r="AK48" s="289"/>
      <c r="AL48" s="294">
        <f t="shared" si="19"/>
        <v>521</v>
      </c>
      <c r="AM48" s="158"/>
    </row>
    <row r="49" ht="14.25" customHeight="1">
      <c r="A49" s="166"/>
      <c r="B49" s="167"/>
      <c r="C49" s="168"/>
      <c r="D49" s="169" t="s">
        <v>161</v>
      </c>
      <c r="E49" s="169"/>
      <c r="F49" s="170"/>
      <c r="G49" s="295">
        <f t="shared" ref="G49:AG49" si="20">COUNTA(G21:G36,G28,G38:G39)</f>
        <v>7</v>
      </c>
      <c r="H49" s="295">
        <f t="shared" si="20"/>
        <v>8</v>
      </c>
      <c r="I49" s="295">
        <f t="shared" si="20"/>
        <v>7</v>
      </c>
      <c r="J49" s="295">
        <f t="shared" si="20"/>
        <v>8</v>
      </c>
      <c r="K49" s="295">
        <f t="shared" si="20"/>
        <v>10</v>
      </c>
      <c r="L49" s="295">
        <f t="shared" si="20"/>
        <v>9</v>
      </c>
      <c r="M49" s="295">
        <f t="shared" si="20"/>
        <v>6</v>
      </c>
      <c r="N49" s="295">
        <f t="shared" si="20"/>
        <v>10</v>
      </c>
      <c r="O49" s="295">
        <f t="shared" si="20"/>
        <v>9</v>
      </c>
      <c r="P49" s="295">
        <f t="shared" si="20"/>
        <v>7</v>
      </c>
      <c r="Q49" s="295">
        <f t="shared" si="20"/>
        <v>10</v>
      </c>
      <c r="R49" s="295">
        <f t="shared" si="20"/>
        <v>9</v>
      </c>
      <c r="S49" s="295">
        <f t="shared" si="20"/>
        <v>9</v>
      </c>
      <c r="T49" s="295">
        <f t="shared" si="20"/>
        <v>8</v>
      </c>
      <c r="U49" s="295">
        <f t="shared" si="20"/>
        <v>10</v>
      </c>
      <c r="V49" s="295">
        <f t="shared" si="20"/>
        <v>9</v>
      </c>
      <c r="W49" s="295">
        <f t="shared" si="20"/>
        <v>9</v>
      </c>
      <c r="X49" s="295">
        <f t="shared" si="20"/>
        <v>9</v>
      </c>
      <c r="Y49" s="295">
        <f t="shared" si="20"/>
        <v>8</v>
      </c>
      <c r="Z49" s="295">
        <f t="shared" si="20"/>
        <v>9</v>
      </c>
      <c r="AA49" s="295">
        <f t="shared" si="20"/>
        <v>8</v>
      </c>
      <c r="AB49" s="295">
        <f t="shared" si="20"/>
        <v>8</v>
      </c>
      <c r="AC49" s="295">
        <f t="shared" si="20"/>
        <v>9</v>
      </c>
      <c r="AD49" s="295">
        <f t="shared" si="20"/>
        <v>9</v>
      </c>
      <c r="AE49" s="295">
        <f t="shared" si="20"/>
        <v>8</v>
      </c>
      <c r="AF49" s="295">
        <f t="shared" si="20"/>
        <v>9</v>
      </c>
      <c r="AG49" s="295">
        <f t="shared" si="20"/>
        <v>9</v>
      </c>
      <c r="AH49" s="295"/>
      <c r="AI49" s="295"/>
      <c r="AJ49" s="295"/>
      <c r="AK49" s="295"/>
      <c r="AL49" s="301">
        <f t="shared" si="19"/>
        <v>231</v>
      </c>
      <c r="AM49" s="173">
        <f>AM47*AL51</f>
        <v>297250</v>
      </c>
    </row>
    <row r="50" ht="14.25" customHeight="1">
      <c r="A50" s="174"/>
      <c r="B50" s="175"/>
      <c r="C50" s="176"/>
      <c r="D50" s="177" t="s">
        <v>162</v>
      </c>
      <c r="E50" s="177"/>
      <c r="F50" s="178"/>
      <c r="G50" s="302">
        <f t="shared" ref="G50:AG50" si="21">COUNTA(#REF!,#REF!,G28,#REF!)</f>
        <v>3</v>
      </c>
      <c r="H50" s="302">
        <f t="shared" si="21"/>
        <v>4</v>
      </c>
      <c r="I50" s="302">
        <f t="shared" si="21"/>
        <v>3</v>
      </c>
      <c r="J50" s="302">
        <f t="shared" si="21"/>
        <v>3</v>
      </c>
      <c r="K50" s="302">
        <f t="shared" si="21"/>
        <v>4</v>
      </c>
      <c r="L50" s="302">
        <f t="shared" si="21"/>
        <v>3</v>
      </c>
      <c r="M50" s="302">
        <f t="shared" si="21"/>
        <v>3</v>
      </c>
      <c r="N50" s="302">
        <f t="shared" si="21"/>
        <v>4</v>
      </c>
      <c r="O50" s="302">
        <f t="shared" si="21"/>
        <v>3</v>
      </c>
      <c r="P50" s="302">
        <f t="shared" si="21"/>
        <v>3</v>
      </c>
      <c r="Q50" s="302">
        <f t="shared" si="21"/>
        <v>4</v>
      </c>
      <c r="R50" s="302">
        <f t="shared" si="21"/>
        <v>3</v>
      </c>
      <c r="S50" s="302">
        <f t="shared" si="21"/>
        <v>4</v>
      </c>
      <c r="T50" s="302">
        <f t="shared" si="21"/>
        <v>4</v>
      </c>
      <c r="U50" s="302">
        <f t="shared" si="21"/>
        <v>4</v>
      </c>
      <c r="V50" s="302">
        <f t="shared" si="21"/>
        <v>4</v>
      </c>
      <c r="W50" s="302">
        <f t="shared" si="21"/>
        <v>4</v>
      </c>
      <c r="X50" s="302">
        <f t="shared" si="21"/>
        <v>3</v>
      </c>
      <c r="Y50" s="302">
        <f t="shared" si="21"/>
        <v>3</v>
      </c>
      <c r="Z50" s="302">
        <f t="shared" si="21"/>
        <v>4</v>
      </c>
      <c r="AA50" s="302">
        <f t="shared" si="21"/>
        <v>3</v>
      </c>
      <c r="AB50" s="302">
        <f t="shared" si="21"/>
        <v>3</v>
      </c>
      <c r="AC50" s="302">
        <f t="shared" si="21"/>
        <v>4</v>
      </c>
      <c r="AD50" s="302">
        <f t="shared" si="21"/>
        <v>3</v>
      </c>
      <c r="AE50" s="302">
        <f t="shared" si="21"/>
        <v>3</v>
      </c>
      <c r="AF50" s="302">
        <f t="shared" si="21"/>
        <v>4</v>
      </c>
      <c r="AG50" s="302">
        <f t="shared" si="21"/>
        <v>3</v>
      </c>
      <c r="AH50" s="302"/>
      <c r="AI50" s="302"/>
      <c r="AJ50" s="302"/>
      <c r="AK50" s="302"/>
      <c r="AL50" s="302">
        <f t="shared" si="19"/>
        <v>93</v>
      </c>
      <c r="AM50" s="180"/>
    </row>
    <row r="51" ht="14.25" customHeight="1">
      <c r="A51" s="146" t="s">
        <v>163</v>
      </c>
      <c r="B51" s="147"/>
      <c r="C51" s="147"/>
      <c r="D51" s="147"/>
      <c r="E51" s="147"/>
      <c r="F51" s="148"/>
      <c r="G51" s="144">
        <f t="shared" ref="G51:AG51" si="22">SUM(G47:G50)</f>
        <v>41</v>
      </c>
      <c r="H51" s="144">
        <f t="shared" si="22"/>
        <v>45</v>
      </c>
      <c r="I51" s="144">
        <f t="shared" si="22"/>
        <v>37</v>
      </c>
      <c r="J51" s="144">
        <f t="shared" si="22"/>
        <v>45</v>
      </c>
      <c r="K51" s="144">
        <f t="shared" si="22"/>
        <v>47</v>
      </c>
      <c r="L51" s="144">
        <f t="shared" si="22"/>
        <v>41</v>
      </c>
      <c r="M51" s="144">
        <f t="shared" si="22"/>
        <v>36</v>
      </c>
      <c r="N51" s="144">
        <f t="shared" si="22"/>
        <v>52</v>
      </c>
      <c r="O51" s="144">
        <f t="shared" si="22"/>
        <v>45</v>
      </c>
      <c r="P51" s="144">
        <f t="shared" si="22"/>
        <v>41</v>
      </c>
      <c r="Q51" s="144">
        <f t="shared" si="22"/>
        <v>52</v>
      </c>
      <c r="R51" s="144">
        <f t="shared" si="22"/>
        <v>40</v>
      </c>
      <c r="S51" s="144">
        <f t="shared" si="22"/>
        <v>44</v>
      </c>
      <c r="T51" s="144">
        <f t="shared" si="22"/>
        <v>43</v>
      </c>
      <c r="U51" s="144">
        <f t="shared" si="22"/>
        <v>48</v>
      </c>
      <c r="V51" s="144">
        <f t="shared" si="22"/>
        <v>48</v>
      </c>
      <c r="W51" s="144">
        <f t="shared" si="22"/>
        <v>48</v>
      </c>
      <c r="X51" s="144">
        <f t="shared" si="22"/>
        <v>45</v>
      </c>
      <c r="Y51" s="144">
        <f t="shared" si="22"/>
        <v>40</v>
      </c>
      <c r="Z51" s="144">
        <f t="shared" si="22"/>
        <v>44</v>
      </c>
      <c r="AA51" s="144">
        <f t="shared" si="22"/>
        <v>40</v>
      </c>
      <c r="AB51" s="144">
        <f t="shared" si="22"/>
        <v>45</v>
      </c>
      <c r="AC51" s="144">
        <f t="shared" si="22"/>
        <v>48</v>
      </c>
      <c r="AD51" s="144">
        <f t="shared" si="22"/>
        <v>45</v>
      </c>
      <c r="AE51" s="144">
        <f t="shared" si="22"/>
        <v>45</v>
      </c>
      <c r="AF51" s="144">
        <f t="shared" si="22"/>
        <v>43</v>
      </c>
      <c r="AG51" s="144">
        <f t="shared" si="22"/>
        <v>41</v>
      </c>
      <c r="AH51" s="144"/>
      <c r="AI51" s="144"/>
      <c r="AJ51" s="144"/>
      <c r="AK51" s="144"/>
      <c r="AL51" s="144">
        <f>SUM(AL47:AL50)</f>
        <v>1189</v>
      </c>
      <c r="AM51" s="181"/>
    </row>
    <row r="52" ht="14.25" customHeight="1">
      <c r="A52" s="2"/>
      <c r="B52" s="182" t="s">
        <v>164</v>
      </c>
      <c r="C52" s="182"/>
      <c r="D52" s="182"/>
      <c r="E52" s="18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5"/>
      <c r="V52" s="4"/>
      <c r="W52" s="4"/>
      <c r="X52" s="4"/>
      <c r="Y52" s="4"/>
      <c r="Z52" s="5"/>
      <c r="AA52" s="5"/>
      <c r="AB52" s="5"/>
      <c r="AC52" s="4"/>
      <c r="AD52" s="4"/>
      <c r="AE52" s="4"/>
      <c r="AF52" s="4"/>
      <c r="AG52" s="5"/>
      <c r="AH52" s="5"/>
      <c r="AI52" s="5"/>
      <c r="AJ52" s="5"/>
      <c r="AK52" s="5"/>
      <c r="AL52" s="2"/>
      <c r="AM52" s="183"/>
    </row>
    <row r="53" ht="14.25" customHeight="1">
      <c r="A53" s="2"/>
      <c r="B53" s="182" t="s">
        <v>165</v>
      </c>
      <c r="C53" s="2"/>
      <c r="D53" s="2"/>
      <c r="E53" s="2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11"/>
      <c r="AM53" s="2"/>
    </row>
    <row r="54" ht="14.25" customHeight="1">
      <c r="A54" s="2"/>
      <c r="B54" s="182" t="s">
        <v>166</v>
      </c>
      <c r="C54" s="184"/>
      <c r="D54" s="184"/>
      <c r="E54" s="2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11"/>
      <c r="AM54" s="2"/>
    </row>
    <row r="55" ht="14.25" customHeight="1">
      <c r="A55" s="2"/>
      <c r="B55" s="182"/>
      <c r="C55" s="184"/>
      <c r="D55" s="184"/>
      <c r="E55" s="4" t="s">
        <v>167</v>
      </c>
      <c r="G55" s="463"/>
      <c r="H55" s="463"/>
      <c r="I55" s="5"/>
      <c r="J55" s="5"/>
      <c r="K55" s="5"/>
      <c r="L55" s="5"/>
      <c r="M55" s="5"/>
      <c r="N55" s="5"/>
      <c r="O55" s="5"/>
      <c r="P55" s="5" t="s">
        <v>168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11"/>
      <c r="AM55" s="2"/>
    </row>
    <row r="56" ht="14.25" customHeight="1">
      <c r="A56" s="2"/>
      <c r="B56" s="3"/>
      <c r="C56" s="2"/>
      <c r="D56" s="2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11"/>
      <c r="AM56" s="11"/>
    </row>
    <row r="57" ht="14.25" customHeight="1">
      <c r="A57" s="2"/>
      <c r="B57" s="3"/>
      <c r="C57" s="2"/>
      <c r="D57" s="2"/>
      <c r="E57" s="4" t="s">
        <v>169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 t="s">
        <v>170</v>
      </c>
      <c r="T57" s="5"/>
      <c r="U57" s="5"/>
      <c r="V57" s="5" t="s">
        <v>171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11"/>
      <c r="AM57" s="11"/>
    </row>
    <row r="58" ht="14.25" customHeight="1">
      <c r="A58" s="2"/>
      <c r="B58" s="3"/>
      <c r="C58" s="2"/>
      <c r="D58" s="2"/>
      <c r="E58" s="2"/>
      <c r="F58" s="18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4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11"/>
      <c r="AM58" s="11"/>
    </row>
    <row r="59" ht="30.75" customHeight="1">
      <c r="A59" s="2"/>
      <c r="B59" s="3"/>
      <c r="C59" s="2"/>
      <c r="D59" s="2"/>
      <c r="E59" s="185" t="s">
        <v>172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 t="s">
        <v>170</v>
      </c>
      <c r="T59" s="5"/>
      <c r="U59" s="5"/>
      <c r="V59" s="5" t="s">
        <v>171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11"/>
      <c r="AM59" s="11"/>
    </row>
    <row r="60" ht="14.25" customHeight="1">
      <c r="A60" s="11"/>
      <c r="B60" s="3"/>
      <c r="C60" s="2"/>
      <c r="D60" s="186"/>
      <c r="E60" s="2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1"/>
      <c r="AM60" s="11"/>
    </row>
    <row r="61" ht="14.25" customHeight="1">
      <c r="F61" s="187"/>
    </row>
    <row r="62" ht="14.25" customHeight="1">
      <c r="F62" s="187"/>
    </row>
    <row r="63" ht="14.25" customHeight="1">
      <c r="F63" s="187"/>
    </row>
    <row r="64" ht="14.25" customHeight="1">
      <c r="F64" s="187"/>
    </row>
    <row r="65" ht="15.75" customHeight="1">
      <c r="F65" s="187"/>
    </row>
    <row r="66" ht="14.25" customHeight="1">
      <c r="F66" s="187"/>
    </row>
    <row r="67" ht="14.25" customHeight="1">
      <c r="F67" s="187"/>
    </row>
    <row r="68" ht="14.2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L6:AL7"/>
    <mergeCell ref="AM6:AM7"/>
    <mergeCell ref="B43:F43"/>
    <mergeCell ref="B44:F44"/>
    <mergeCell ref="B45:F45"/>
    <mergeCell ref="A51:F51"/>
    <mergeCell ref="E55:F55"/>
    <mergeCell ref="P55:W55"/>
    <mergeCell ref="E57:F57"/>
    <mergeCell ref="E59:F59"/>
    <mergeCell ref="F6:F7"/>
    <mergeCell ref="F22:F28"/>
    <mergeCell ref="A34:A35"/>
    <mergeCell ref="B34:B35"/>
    <mergeCell ref="C34:C35"/>
    <mergeCell ref="D34:D35"/>
    <mergeCell ref="F34:F35"/>
  </mergeCells>
  <printOptions/>
  <pageMargins bottom="0.38" footer="0.0" header="0.0" left="0.62" right="0.25" top="0.57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7.71"/>
    <col customWidth="1" min="6" max="6" width="7.43"/>
    <col customWidth="1" min="7" max="7" width="4.29"/>
    <col customWidth="1" min="8" max="8" width="4.57"/>
    <col customWidth="1" min="9" max="9" width="4.43"/>
    <col customWidth="1" min="10" max="10" width="5.0"/>
    <col customWidth="1" min="11" max="13" width="4.71"/>
    <col customWidth="1" min="14" max="14" width="4.43"/>
    <col customWidth="1" min="15" max="15" width="4.71"/>
    <col customWidth="1" min="16" max="16" width="4.29"/>
    <col customWidth="1" min="17" max="17" width="4.57"/>
    <col customWidth="1" min="18" max="20" width="5.71"/>
    <col customWidth="1" min="21" max="21" width="5.57"/>
    <col customWidth="1" min="22" max="22" width="5.29"/>
    <col customWidth="1" min="23" max="23" width="5.0"/>
    <col customWidth="1" min="24" max="24" width="5.71"/>
    <col customWidth="1" min="25" max="25" width="5.0"/>
    <col customWidth="1" min="26" max="26" width="5.29"/>
    <col customWidth="1" min="27" max="27" width="5.14"/>
    <col customWidth="1" min="28" max="28" width="4.71"/>
    <col customWidth="1" min="29" max="29" width="5.14"/>
    <col customWidth="1" min="30" max="30" width="5.71"/>
    <col customWidth="1" min="31" max="31" width="5.29"/>
    <col customWidth="1" min="32" max="32" width="4.71"/>
    <col customWidth="1" min="33" max="33" width="5.29"/>
    <col customWidth="1" min="34" max="34" width="4.57"/>
    <col customWidth="1" min="35" max="35" width="4.71"/>
    <col customWidth="1" min="36" max="37" width="4.57"/>
    <col customWidth="1" min="38" max="38" width="9.0"/>
    <col customWidth="1" min="39" max="39" width="17.43"/>
    <col customWidth="1" min="40" max="40" width="2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312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F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f t="shared" si="1"/>
        <v>24</v>
      </c>
      <c r="AE6" s="15">
        <f t="shared" si="1"/>
        <v>25</v>
      </c>
      <c r="AF6" s="15">
        <f t="shared" si="1"/>
        <v>26</v>
      </c>
      <c r="AG6" s="15">
        <v>27.0</v>
      </c>
      <c r="AH6" s="15">
        <v>28.0</v>
      </c>
      <c r="AI6" s="15">
        <v>29.0</v>
      </c>
      <c r="AJ6" s="15">
        <v>30.0</v>
      </c>
      <c r="AK6" s="15">
        <v>31.0</v>
      </c>
      <c r="AL6" s="13" t="s">
        <v>14</v>
      </c>
      <c r="AM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248</v>
      </c>
      <c r="H7" s="446" t="s">
        <v>249</v>
      </c>
      <c r="I7" s="446" t="s">
        <v>250</v>
      </c>
      <c r="J7" s="446" t="s">
        <v>251</v>
      </c>
      <c r="K7" s="446" t="s">
        <v>252</v>
      </c>
      <c r="L7" s="446" t="s">
        <v>253</v>
      </c>
      <c r="M7" s="446" t="s">
        <v>247</v>
      </c>
      <c r="N7" s="446" t="s">
        <v>248</v>
      </c>
      <c r="O7" s="446" t="s">
        <v>249</v>
      </c>
      <c r="P7" s="446" t="s">
        <v>250</v>
      </c>
      <c r="Q7" s="446" t="s">
        <v>251</v>
      </c>
      <c r="R7" s="446" t="s">
        <v>252</v>
      </c>
      <c r="S7" s="446" t="s">
        <v>253</v>
      </c>
      <c r="T7" s="446" t="s">
        <v>247</v>
      </c>
      <c r="U7" s="446" t="s">
        <v>248</v>
      </c>
      <c r="V7" s="446" t="s">
        <v>249</v>
      </c>
      <c r="W7" s="446" t="s">
        <v>250</v>
      </c>
      <c r="X7" s="446" t="s">
        <v>251</v>
      </c>
      <c r="Y7" s="446" t="s">
        <v>252</v>
      </c>
      <c r="Z7" s="446" t="s">
        <v>253</v>
      </c>
      <c r="AA7" s="446" t="s">
        <v>247</v>
      </c>
      <c r="AB7" s="446" t="s">
        <v>248</v>
      </c>
      <c r="AC7" s="446" t="s">
        <v>249</v>
      </c>
      <c r="AD7" s="446" t="s">
        <v>250</v>
      </c>
      <c r="AE7" s="446" t="s">
        <v>251</v>
      </c>
      <c r="AF7" s="446" t="s">
        <v>252</v>
      </c>
      <c r="AG7" s="446" t="s">
        <v>253</v>
      </c>
      <c r="AH7" s="446" t="s">
        <v>247</v>
      </c>
      <c r="AI7" s="446" t="s">
        <v>248</v>
      </c>
      <c r="AJ7" s="446" t="s">
        <v>249</v>
      </c>
      <c r="AK7" s="446" t="s">
        <v>250</v>
      </c>
      <c r="AL7" s="17"/>
      <c r="AM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60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10" t="s">
        <v>205</v>
      </c>
      <c r="I9" s="210"/>
      <c r="J9" s="209" t="s">
        <v>205</v>
      </c>
      <c r="K9" s="209" t="s">
        <v>205</v>
      </c>
      <c r="L9" s="209" t="s">
        <v>205</v>
      </c>
      <c r="M9" s="209" t="s">
        <v>205</v>
      </c>
      <c r="N9" s="209" t="s">
        <v>205</v>
      </c>
      <c r="O9" s="210" t="s">
        <v>205</v>
      </c>
      <c r="P9" s="210"/>
      <c r="Q9" s="209" t="s">
        <v>205</v>
      </c>
      <c r="R9" s="209" t="s">
        <v>205</v>
      </c>
      <c r="S9" s="209" t="s">
        <v>205</v>
      </c>
      <c r="T9" s="209" t="s">
        <v>205</v>
      </c>
      <c r="U9" s="209" t="s">
        <v>205</v>
      </c>
      <c r="V9" s="210" t="s">
        <v>205</v>
      </c>
      <c r="W9" s="210"/>
      <c r="X9" s="209" t="s">
        <v>205</v>
      </c>
      <c r="Y9" s="209" t="s">
        <v>205</v>
      </c>
      <c r="Z9" s="209" t="s">
        <v>205</v>
      </c>
      <c r="AA9" s="209" t="s">
        <v>205</v>
      </c>
      <c r="AB9" s="209" t="s">
        <v>205</v>
      </c>
      <c r="AC9" s="210" t="s">
        <v>205</v>
      </c>
      <c r="AD9" s="210"/>
      <c r="AE9" s="209" t="s">
        <v>205</v>
      </c>
      <c r="AF9" s="209" t="s">
        <v>205</v>
      </c>
      <c r="AG9" s="209" t="s">
        <v>205</v>
      </c>
      <c r="AH9" s="209" t="s">
        <v>205</v>
      </c>
      <c r="AI9" s="209" t="s">
        <v>205</v>
      </c>
      <c r="AJ9" s="110">
        <v>12.0</v>
      </c>
      <c r="AK9" s="110"/>
      <c r="AL9" s="211">
        <f>COUNTA(G9:AJ9)</f>
        <v>26</v>
      </c>
      <c r="AM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25</v>
      </c>
      <c r="F10" s="28" t="s">
        <v>30</v>
      </c>
      <c r="G10" s="24"/>
      <c r="H10" s="110"/>
      <c r="I10" s="110"/>
      <c r="J10" s="24"/>
      <c r="K10" s="24"/>
      <c r="L10" s="24"/>
      <c r="M10" s="24"/>
      <c r="N10" s="24"/>
      <c r="O10" s="110"/>
      <c r="P10" s="110"/>
      <c r="Q10" s="24"/>
      <c r="R10" s="24"/>
      <c r="S10" s="24"/>
      <c r="T10" s="24"/>
      <c r="U10" s="24"/>
      <c r="V10" s="110"/>
      <c r="W10" s="110"/>
      <c r="X10" s="24"/>
      <c r="Y10" s="24"/>
      <c r="Z10" s="24"/>
      <c r="AA10" s="24"/>
      <c r="AB10" s="24"/>
      <c r="AC10" s="110"/>
      <c r="AD10" s="110"/>
      <c r="AE10" s="24"/>
      <c r="AF10" s="24"/>
      <c r="AG10" s="24"/>
      <c r="AH10" s="24"/>
      <c r="AI10" s="24"/>
      <c r="AJ10" s="110"/>
      <c r="AK10" s="110"/>
      <c r="AL10" s="211">
        <f t="shared" ref="AL10:AL13" si="2">COUNTA(G10:AK10)</f>
        <v>0</v>
      </c>
      <c r="AM10" s="57">
        <f t="shared" ref="AM10:AM13" si="3">SUM(G10:AK10)</f>
        <v>0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/>
      <c r="H11" s="110"/>
      <c r="I11" s="110"/>
      <c r="J11" s="24"/>
      <c r="K11" s="24"/>
      <c r="L11" s="24"/>
      <c r="M11" s="24"/>
      <c r="N11" s="24"/>
      <c r="O11" s="110"/>
      <c r="P11" s="110"/>
      <c r="Q11" s="24"/>
      <c r="R11" s="24"/>
      <c r="S11" s="24"/>
      <c r="T11" s="24"/>
      <c r="U11" s="24"/>
      <c r="V11" s="110"/>
      <c r="W11" s="110"/>
      <c r="X11" s="24"/>
      <c r="Y11" s="24"/>
      <c r="Z11" s="24"/>
      <c r="AA11" s="24"/>
      <c r="AB11" s="24"/>
      <c r="AC11" s="110"/>
      <c r="AD11" s="110"/>
      <c r="AE11" s="24"/>
      <c r="AF11" s="24"/>
      <c r="AG11" s="24"/>
      <c r="AH11" s="24"/>
      <c r="AI11" s="24"/>
      <c r="AJ11" s="110"/>
      <c r="AK11" s="110"/>
      <c r="AL11" s="211">
        <f t="shared" si="2"/>
        <v>0</v>
      </c>
      <c r="AM11" s="57">
        <f t="shared" si="3"/>
        <v>0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180</v>
      </c>
      <c r="E12" s="27" t="s">
        <v>33</v>
      </c>
      <c r="F12" s="28" t="s">
        <v>30</v>
      </c>
      <c r="G12" s="24"/>
      <c r="H12" s="110"/>
      <c r="I12" s="110"/>
      <c r="J12" s="24"/>
      <c r="K12" s="24"/>
      <c r="L12" s="24"/>
      <c r="M12" s="24"/>
      <c r="N12" s="24"/>
      <c r="O12" s="110"/>
      <c r="P12" s="110"/>
      <c r="Q12" s="24"/>
      <c r="R12" s="24"/>
      <c r="S12" s="24"/>
      <c r="T12" s="24"/>
      <c r="U12" s="24"/>
      <c r="V12" s="110"/>
      <c r="W12" s="110"/>
      <c r="X12" s="24"/>
      <c r="Y12" s="24"/>
      <c r="Z12" s="24"/>
      <c r="AA12" s="24"/>
      <c r="AB12" s="24"/>
      <c r="AC12" s="110"/>
      <c r="AD12" s="110"/>
      <c r="AE12" s="24"/>
      <c r="AF12" s="24"/>
      <c r="AG12" s="24"/>
      <c r="AH12" s="24"/>
      <c r="AI12" s="24"/>
      <c r="AJ12" s="110"/>
      <c r="AK12" s="110"/>
      <c r="AL12" s="211">
        <f t="shared" si="2"/>
        <v>0</v>
      </c>
      <c r="AM12" s="57">
        <f t="shared" si="3"/>
        <v>0</v>
      </c>
    </row>
    <row r="13" ht="14.25" customHeight="1">
      <c r="A13" s="34">
        <v>8.0</v>
      </c>
      <c r="B13" s="25" t="s">
        <v>38</v>
      </c>
      <c r="C13" s="27">
        <v>1.0</v>
      </c>
      <c r="D13" s="37" t="s">
        <v>42</v>
      </c>
      <c r="E13" s="27" t="s">
        <v>40</v>
      </c>
      <c r="F13" s="28" t="s">
        <v>30</v>
      </c>
      <c r="G13" s="24">
        <v>12.0</v>
      </c>
      <c r="H13" s="110">
        <v>12.0</v>
      </c>
      <c r="I13" s="110"/>
      <c r="J13" s="24">
        <v>12.0</v>
      </c>
      <c r="K13" s="24">
        <v>12.0</v>
      </c>
      <c r="L13" s="24">
        <v>12.0</v>
      </c>
      <c r="M13" s="24">
        <v>12.0</v>
      </c>
      <c r="N13" s="24">
        <v>12.0</v>
      </c>
      <c r="O13" s="110">
        <v>12.0</v>
      </c>
      <c r="P13" s="110"/>
      <c r="Q13" s="24"/>
      <c r="R13" s="24">
        <v>12.0</v>
      </c>
      <c r="S13" s="24">
        <v>12.0</v>
      </c>
      <c r="T13" s="24">
        <v>12.0</v>
      </c>
      <c r="U13" s="24">
        <v>12.0</v>
      </c>
      <c r="V13" s="110">
        <v>12.0</v>
      </c>
      <c r="W13" s="110"/>
      <c r="X13" s="24">
        <v>12.0</v>
      </c>
      <c r="Y13" s="24"/>
      <c r="Z13" s="24">
        <v>12.0</v>
      </c>
      <c r="AA13" s="24">
        <v>12.0</v>
      </c>
      <c r="AB13" s="24">
        <v>12.0</v>
      </c>
      <c r="AC13" s="110">
        <v>12.0</v>
      </c>
      <c r="AD13" s="110">
        <v>12.0</v>
      </c>
      <c r="AE13" s="24"/>
      <c r="AF13" s="24">
        <v>12.0</v>
      </c>
      <c r="AG13" s="24"/>
      <c r="AH13" s="24">
        <v>12.0</v>
      </c>
      <c r="AI13" s="24">
        <v>12.0</v>
      </c>
      <c r="AJ13" s="110">
        <v>12.0</v>
      </c>
      <c r="AK13" s="110">
        <v>12.0</v>
      </c>
      <c r="AL13" s="211">
        <f t="shared" si="2"/>
        <v>24</v>
      </c>
      <c r="AM13" s="57">
        <f t="shared" si="3"/>
        <v>288</v>
      </c>
    </row>
    <row r="14" ht="14.25" customHeight="1">
      <c r="A14" s="19"/>
      <c r="B14" s="20" t="s">
        <v>41</v>
      </c>
      <c r="C14" s="21"/>
      <c r="D14" s="20" t="s">
        <v>41</v>
      </c>
      <c r="E14" s="21"/>
      <c r="F14" s="3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2"/>
      <c r="AD14" s="212"/>
      <c r="AE14" s="212"/>
      <c r="AF14" s="212"/>
      <c r="AG14" s="212"/>
      <c r="AH14" s="212"/>
      <c r="AI14" s="212"/>
      <c r="AJ14" s="212"/>
      <c r="AK14" s="212"/>
      <c r="AL14" s="21"/>
      <c r="AM14" s="45"/>
    </row>
    <row r="15" ht="14.25" customHeight="1">
      <c r="A15" s="24">
        <v>9.0</v>
      </c>
      <c r="B15" s="25" t="s">
        <v>306</v>
      </c>
      <c r="C15" s="26">
        <v>1.0</v>
      </c>
      <c r="D15" s="36" t="s">
        <v>307</v>
      </c>
      <c r="E15" s="26" t="s">
        <v>328</v>
      </c>
      <c r="F15" s="47" t="s">
        <v>65</v>
      </c>
      <c r="G15" s="26">
        <v>12.0</v>
      </c>
      <c r="H15" s="213"/>
      <c r="I15" s="213"/>
      <c r="J15" s="26"/>
      <c r="K15" s="26"/>
      <c r="L15" s="26"/>
      <c r="M15" s="26">
        <v>12.0</v>
      </c>
      <c r="N15" s="26">
        <v>12.0</v>
      </c>
      <c r="O15" s="213">
        <v>12.0</v>
      </c>
      <c r="P15" s="213">
        <v>12.0</v>
      </c>
      <c r="Q15" s="26"/>
      <c r="R15" s="26"/>
      <c r="S15" s="26">
        <v>12.0</v>
      </c>
      <c r="T15" s="26">
        <v>12.0</v>
      </c>
      <c r="U15" s="26"/>
      <c r="V15" s="213"/>
      <c r="W15" s="213"/>
      <c r="X15" s="26"/>
      <c r="Y15" s="461"/>
      <c r="Z15" s="26"/>
      <c r="AA15" s="26"/>
      <c r="AB15" s="26">
        <v>12.0</v>
      </c>
      <c r="AC15" s="213"/>
      <c r="AD15" s="213"/>
      <c r="AE15" s="26"/>
      <c r="AF15" s="26"/>
      <c r="AG15" s="26"/>
      <c r="AH15" s="26"/>
      <c r="AI15" s="26"/>
      <c r="AJ15" s="110"/>
      <c r="AK15" s="110"/>
      <c r="AL15" s="211">
        <f t="shared" ref="AL15:AL17" si="4">COUNTA(G15:AK15)</f>
        <v>8</v>
      </c>
      <c r="AM15" s="57">
        <f t="shared" ref="AM15:AM16" si="5">SUM(G15:AJ15)</f>
        <v>96</v>
      </c>
    </row>
    <row r="16" ht="14.25" customHeight="1">
      <c r="A16" s="24">
        <v>10.0</v>
      </c>
      <c r="B16" s="25" t="s">
        <v>329</v>
      </c>
      <c r="C16" s="26">
        <v>1.0</v>
      </c>
      <c r="D16" s="36" t="s">
        <v>330</v>
      </c>
      <c r="E16" s="26" t="s">
        <v>331</v>
      </c>
      <c r="F16" s="47" t="s">
        <v>46</v>
      </c>
      <c r="G16" s="26"/>
      <c r="H16" s="213"/>
      <c r="I16" s="213"/>
      <c r="J16" s="26"/>
      <c r="K16" s="26"/>
      <c r="L16" s="26"/>
      <c r="M16" s="26"/>
      <c r="N16" s="26"/>
      <c r="O16" s="213"/>
      <c r="P16" s="213"/>
      <c r="Q16" s="26"/>
      <c r="R16" s="26"/>
      <c r="S16" s="26"/>
      <c r="T16" s="26"/>
      <c r="U16" s="26"/>
      <c r="V16" s="213"/>
      <c r="W16" s="213"/>
      <c r="X16" s="26"/>
      <c r="Y16" s="461"/>
      <c r="Z16" s="26"/>
      <c r="AA16" s="26"/>
      <c r="AB16" s="26"/>
      <c r="AC16" s="213"/>
      <c r="AD16" s="213"/>
      <c r="AE16" s="26">
        <v>12.0</v>
      </c>
      <c r="AF16" s="26">
        <v>12.0</v>
      </c>
      <c r="AG16" s="26">
        <v>12.0</v>
      </c>
      <c r="AH16" s="26">
        <v>12.0</v>
      </c>
      <c r="AI16" s="26">
        <v>12.0</v>
      </c>
      <c r="AJ16" s="110">
        <v>12.0</v>
      </c>
      <c r="AK16" s="110">
        <v>12.0</v>
      </c>
      <c r="AL16" s="211">
        <f t="shared" si="4"/>
        <v>7</v>
      </c>
      <c r="AM16" s="57">
        <f t="shared" si="5"/>
        <v>72</v>
      </c>
    </row>
    <row r="17" ht="14.25" customHeight="1">
      <c r="A17" s="34">
        <v>11.0</v>
      </c>
      <c r="B17" s="35" t="s">
        <v>49</v>
      </c>
      <c r="C17" s="27">
        <v>1.0</v>
      </c>
      <c r="D17" s="36" t="s">
        <v>59</v>
      </c>
      <c r="E17" s="26" t="s">
        <v>332</v>
      </c>
      <c r="F17" s="47" t="s">
        <v>46</v>
      </c>
      <c r="G17" s="24">
        <v>24.0</v>
      </c>
      <c r="H17" s="110"/>
      <c r="I17" s="110">
        <v>24.0</v>
      </c>
      <c r="J17" s="24"/>
      <c r="K17" s="24">
        <v>24.0</v>
      </c>
      <c r="L17" s="24"/>
      <c r="M17" s="24"/>
      <c r="N17" s="24">
        <v>24.0</v>
      </c>
      <c r="O17" s="110"/>
      <c r="P17" s="110">
        <v>24.0</v>
      </c>
      <c r="Q17" s="24"/>
      <c r="R17" s="24">
        <v>24.0</v>
      </c>
      <c r="S17" s="24"/>
      <c r="T17" s="24">
        <v>24.0</v>
      </c>
      <c r="U17" s="24"/>
      <c r="V17" s="110"/>
      <c r="W17" s="110"/>
      <c r="X17" s="24"/>
      <c r="Y17" s="24"/>
      <c r="Z17" s="24"/>
      <c r="AA17" s="24"/>
      <c r="AB17" s="24"/>
      <c r="AC17" s="110"/>
      <c r="AD17" s="110"/>
      <c r="AE17" s="24"/>
      <c r="AF17" s="24"/>
      <c r="AG17" s="24"/>
      <c r="AH17" s="24"/>
      <c r="AI17" s="24"/>
      <c r="AJ17" s="110"/>
      <c r="AK17" s="110"/>
      <c r="AL17" s="211">
        <f t="shared" si="4"/>
        <v>7</v>
      </c>
      <c r="AM17" s="452">
        <f>SUM(G17:AK17)</f>
        <v>168</v>
      </c>
    </row>
    <row r="18" ht="14.25" customHeight="1">
      <c r="A18" s="34">
        <v>12.0</v>
      </c>
      <c r="B18" s="35" t="s">
        <v>49</v>
      </c>
      <c r="C18" s="27">
        <v>1.0</v>
      </c>
      <c r="D18" s="36" t="s">
        <v>307</v>
      </c>
      <c r="E18" s="26" t="s">
        <v>333</v>
      </c>
      <c r="F18" s="47" t="s">
        <v>46</v>
      </c>
      <c r="G18" s="24"/>
      <c r="H18" s="110">
        <v>24.0</v>
      </c>
      <c r="I18" s="110"/>
      <c r="J18" s="24">
        <v>24.0</v>
      </c>
      <c r="K18" s="24"/>
      <c r="L18" s="24">
        <v>24.0</v>
      </c>
      <c r="M18" s="24"/>
      <c r="N18" s="24"/>
      <c r="O18" s="110"/>
      <c r="P18" s="110"/>
      <c r="Q18" s="24"/>
      <c r="R18" s="24"/>
      <c r="S18" s="24"/>
      <c r="T18" s="24"/>
      <c r="U18" s="24">
        <v>24.0</v>
      </c>
      <c r="V18" s="110"/>
      <c r="W18" s="110">
        <v>24.0</v>
      </c>
      <c r="X18" s="24"/>
      <c r="Y18" s="24">
        <v>24.0</v>
      </c>
      <c r="Z18" s="24"/>
      <c r="AA18" s="24"/>
      <c r="AB18" s="24"/>
      <c r="AC18" s="110">
        <v>24.0</v>
      </c>
      <c r="AD18" s="110"/>
      <c r="AE18" s="24"/>
      <c r="AF18" s="24"/>
      <c r="AG18" s="24"/>
      <c r="AH18" s="24"/>
      <c r="AI18" s="24"/>
      <c r="AJ18" s="110"/>
      <c r="AK18" s="110"/>
      <c r="AL18" s="211">
        <f>COUNTA(G18:AJ18)</f>
        <v>7</v>
      </c>
      <c r="AM18" s="452">
        <f t="shared" ref="AM18:AM20" si="6">SUM(G18:AJ18)</f>
        <v>168</v>
      </c>
      <c r="AN18" s="73" t="s">
        <v>334</v>
      </c>
    </row>
    <row r="19" ht="14.25" customHeight="1">
      <c r="A19" s="468">
        <v>13.0</v>
      </c>
      <c r="B19" s="469" t="s">
        <v>49</v>
      </c>
      <c r="C19" s="470"/>
      <c r="D19" s="471" t="s">
        <v>272</v>
      </c>
      <c r="E19" s="470" t="s">
        <v>335</v>
      </c>
      <c r="F19" s="472" t="s">
        <v>46</v>
      </c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>
        <v>24.0</v>
      </c>
      <c r="AA19" s="468"/>
      <c r="AB19" s="468">
        <v>24.0</v>
      </c>
      <c r="AC19" s="468"/>
      <c r="AD19" s="468">
        <v>24.0</v>
      </c>
      <c r="AE19" s="468"/>
      <c r="AF19" s="468">
        <v>24.0</v>
      </c>
      <c r="AG19" s="468">
        <v>12.0</v>
      </c>
      <c r="AH19" s="468">
        <v>24.0</v>
      </c>
      <c r="AI19" s="468"/>
      <c r="AJ19" s="468"/>
      <c r="AK19" s="468"/>
      <c r="AL19" s="473">
        <v>5.5</v>
      </c>
      <c r="AM19" s="474">
        <f t="shared" si="6"/>
        <v>132</v>
      </c>
      <c r="AN19" s="475"/>
    </row>
    <row r="20" ht="14.25" customHeight="1">
      <c r="A20" s="34">
        <v>14.0</v>
      </c>
      <c r="B20" s="35" t="s">
        <v>62</v>
      </c>
      <c r="C20" s="27">
        <v>1.0</v>
      </c>
      <c r="D20" s="36" t="s">
        <v>54</v>
      </c>
      <c r="E20" s="26" t="s">
        <v>336</v>
      </c>
      <c r="F20" s="47" t="s">
        <v>46</v>
      </c>
      <c r="G20" s="24"/>
      <c r="H20" s="110"/>
      <c r="I20" s="110"/>
      <c r="J20" s="24"/>
      <c r="K20" s="24"/>
      <c r="L20" s="24"/>
      <c r="M20" s="24">
        <v>24.0</v>
      </c>
      <c r="N20" s="24"/>
      <c r="O20" s="110">
        <v>24.0</v>
      </c>
      <c r="P20" s="110"/>
      <c r="Q20" s="24">
        <v>24.0</v>
      </c>
      <c r="R20" s="24"/>
      <c r="S20" s="24">
        <v>24.0</v>
      </c>
      <c r="T20" s="24"/>
      <c r="U20" s="24">
        <v>12.0</v>
      </c>
      <c r="V20" s="110">
        <v>24.0</v>
      </c>
      <c r="W20" s="110"/>
      <c r="X20" s="24">
        <v>24.0</v>
      </c>
      <c r="Y20" s="24"/>
      <c r="Z20" s="24"/>
      <c r="AA20" s="24">
        <v>24.0</v>
      </c>
      <c r="AB20" s="24"/>
      <c r="AC20" s="110">
        <v>12.0</v>
      </c>
      <c r="AD20" s="110"/>
      <c r="AE20" s="24">
        <v>24.0</v>
      </c>
      <c r="AF20" s="24"/>
      <c r="AG20" s="24">
        <v>12.0</v>
      </c>
      <c r="AH20" s="24"/>
      <c r="AI20" s="24">
        <v>24.0</v>
      </c>
      <c r="AJ20" s="110"/>
      <c r="AK20" s="110">
        <v>24.0</v>
      </c>
      <c r="AL20" s="211">
        <f t="shared" ref="AL20:AL21" si="7">COUNTA(G20:AK20)</f>
        <v>13</v>
      </c>
      <c r="AM20" s="452">
        <f t="shared" si="6"/>
        <v>252</v>
      </c>
    </row>
    <row r="21" ht="14.25" customHeight="1">
      <c r="A21" s="34">
        <v>15.0</v>
      </c>
      <c r="B21" s="35" t="s">
        <v>67</v>
      </c>
      <c r="C21" s="27">
        <v>1.0</v>
      </c>
      <c r="D21" s="36" t="s">
        <v>243</v>
      </c>
      <c r="E21" s="26" t="s">
        <v>337</v>
      </c>
      <c r="F21" s="28" t="s">
        <v>30</v>
      </c>
      <c r="G21" s="24">
        <v>12.0</v>
      </c>
      <c r="H21" s="110">
        <v>12.0</v>
      </c>
      <c r="I21" s="110"/>
      <c r="J21" s="24"/>
      <c r="K21" s="24">
        <v>12.0</v>
      </c>
      <c r="L21" s="24">
        <v>12.0</v>
      </c>
      <c r="M21" s="24">
        <v>12.0</v>
      </c>
      <c r="N21" s="24">
        <v>12.0</v>
      </c>
      <c r="O21" s="110">
        <v>12.0</v>
      </c>
      <c r="P21" s="110"/>
      <c r="Q21" s="24"/>
      <c r="R21" s="24">
        <v>12.0</v>
      </c>
      <c r="S21" s="24">
        <v>12.0</v>
      </c>
      <c r="T21" s="24">
        <v>12.0</v>
      </c>
      <c r="U21" s="24">
        <v>12.0</v>
      </c>
      <c r="V21" s="110">
        <v>12.0</v>
      </c>
      <c r="W21" s="110">
        <v>12.0</v>
      </c>
      <c r="X21" s="24"/>
      <c r="Y21" s="24">
        <v>12.0</v>
      </c>
      <c r="Z21" s="24">
        <v>12.0</v>
      </c>
      <c r="AA21" s="24">
        <v>12.0</v>
      </c>
      <c r="AB21" s="24">
        <v>12.0</v>
      </c>
      <c r="AC21" s="110">
        <v>12.0</v>
      </c>
      <c r="AD21" s="110">
        <v>12.0</v>
      </c>
      <c r="AE21" s="24"/>
      <c r="AF21" s="24">
        <v>12.0</v>
      </c>
      <c r="AG21" s="24">
        <v>12.0</v>
      </c>
      <c r="AH21" s="24">
        <v>12.0</v>
      </c>
      <c r="AI21" s="24">
        <v>12.0</v>
      </c>
      <c r="AJ21" s="110">
        <v>12.0</v>
      </c>
      <c r="AK21" s="110">
        <v>12.0</v>
      </c>
      <c r="AL21" s="211">
        <f t="shared" si="7"/>
        <v>25</v>
      </c>
      <c r="AM21" s="452">
        <f t="shared" ref="AM21:AM22" si="8">SUM(G21:AK21)</f>
        <v>300</v>
      </c>
    </row>
    <row r="22" ht="14.25" customHeight="1">
      <c r="A22" s="34">
        <v>16.0</v>
      </c>
      <c r="B22" s="35" t="s">
        <v>71</v>
      </c>
      <c r="C22" s="27"/>
      <c r="D22" s="36" t="s">
        <v>76</v>
      </c>
      <c r="E22" s="26" t="s">
        <v>338</v>
      </c>
      <c r="F22" s="28" t="s">
        <v>26</v>
      </c>
      <c r="G22" s="24">
        <v>12.0</v>
      </c>
      <c r="H22" s="110">
        <v>12.0</v>
      </c>
      <c r="I22" s="110">
        <v>18.0</v>
      </c>
      <c r="J22" s="24">
        <v>12.0</v>
      </c>
      <c r="K22" s="24">
        <v>12.0</v>
      </c>
      <c r="L22" s="24">
        <v>12.0</v>
      </c>
      <c r="M22" s="24">
        <v>12.0</v>
      </c>
      <c r="N22" s="24">
        <v>12.0</v>
      </c>
      <c r="O22" s="110"/>
      <c r="P22" s="110">
        <v>18.0</v>
      </c>
      <c r="Q22" s="24"/>
      <c r="R22" s="24">
        <v>12.0</v>
      </c>
      <c r="S22" s="24">
        <v>12.0</v>
      </c>
      <c r="T22" s="24">
        <v>12.0</v>
      </c>
      <c r="U22" s="24">
        <v>12.0</v>
      </c>
      <c r="V22" s="110">
        <v>12.0</v>
      </c>
      <c r="W22" s="110">
        <v>18.0</v>
      </c>
      <c r="X22" s="106"/>
      <c r="Y22" s="24">
        <v>12.0</v>
      </c>
      <c r="Z22" s="24">
        <v>12.0</v>
      </c>
      <c r="AA22" s="24">
        <v>12.0</v>
      </c>
      <c r="AB22" s="24">
        <v>12.0</v>
      </c>
      <c r="AC22" s="110">
        <v>18.0</v>
      </c>
      <c r="AD22" s="110">
        <v>12.0</v>
      </c>
      <c r="AE22" s="24">
        <v>12.0</v>
      </c>
      <c r="AF22" s="24"/>
      <c r="AG22" s="24">
        <v>18.0</v>
      </c>
      <c r="AH22" s="24">
        <v>12.0</v>
      </c>
      <c r="AI22" s="24">
        <v>12.0</v>
      </c>
      <c r="AJ22" s="110">
        <v>12.0</v>
      </c>
      <c r="AK22" s="110"/>
      <c r="AL22" s="211">
        <v>28.5</v>
      </c>
      <c r="AM22" s="452">
        <f t="shared" si="8"/>
        <v>342</v>
      </c>
    </row>
    <row r="23" ht="14.25" customHeight="1">
      <c r="A23" s="19"/>
      <c r="B23" s="20" t="s">
        <v>78</v>
      </c>
      <c r="C23" s="21"/>
      <c r="D23" s="77" t="s">
        <v>78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455"/>
    </row>
    <row r="24" ht="14.25" customHeight="1">
      <c r="A24" s="34">
        <v>17.0</v>
      </c>
      <c r="B24" s="35" t="s">
        <v>86</v>
      </c>
      <c r="C24" s="27">
        <v>1.0</v>
      </c>
      <c r="D24" s="37" t="s">
        <v>82</v>
      </c>
      <c r="E24" s="27" t="s">
        <v>83</v>
      </c>
      <c r="F24" s="250" t="s">
        <v>85</v>
      </c>
      <c r="G24" s="24">
        <v>24.0</v>
      </c>
      <c r="H24" s="110"/>
      <c r="I24" s="110"/>
      <c r="J24" s="24">
        <v>24.0</v>
      </c>
      <c r="K24" s="24"/>
      <c r="L24" s="24"/>
      <c r="M24" s="24">
        <v>24.0</v>
      </c>
      <c r="N24" s="24"/>
      <c r="O24" s="110"/>
      <c r="P24" s="110">
        <v>24.0</v>
      </c>
      <c r="Q24" s="24"/>
      <c r="R24" s="24"/>
      <c r="S24" s="24">
        <v>24.0</v>
      </c>
      <c r="T24" s="24"/>
      <c r="U24" s="24"/>
      <c r="V24" s="107"/>
      <c r="W24" s="110"/>
      <c r="X24" s="24"/>
      <c r="Y24" s="24">
        <v>24.0</v>
      </c>
      <c r="Z24" s="24"/>
      <c r="AA24" s="24">
        <v>24.0</v>
      </c>
      <c r="AB24" s="476">
        <v>12.0</v>
      </c>
      <c r="AC24" s="476">
        <v>12.0</v>
      </c>
      <c r="AD24" s="476">
        <v>12.0</v>
      </c>
      <c r="AE24" s="24"/>
      <c r="AF24" s="24">
        <v>24.0</v>
      </c>
      <c r="AG24" s="24"/>
      <c r="AH24" s="24"/>
      <c r="AI24" s="24">
        <v>24.0</v>
      </c>
      <c r="AJ24" s="110"/>
      <c r="AK24" s="110"/>
      <c r="AL24" s="211">
        <v>11.0</v>
      </c>
      <c r="AM24" s="452">
        <f t="shared" ref="AM24:AM25" si="9">SUM(G24:AL24)</f>
        <v>263</v>
      </c>
    </row>
    <row r="25" ht="14.25" customHeight="1">
      <c r="A25" s="34">
        <v>18.0</v>
      </c>
      <c r="B25" s="35" t="s">
        <v>86</v>
      </c>
      <c r="C25" s="27">
        <v>1.0</v>
      </c>
      <c r="D25" s="37" t="s">
        <v>339</v>
      </c>
      <c r="E25" s="27" t="s">
        <v>83</v>
      </c>
      <c r="F25" s="88"/>
      <c r="G25" s="24"/>
      <c r="H25" s="107">
        <v>24.0</v>
      </c>
      <c r="I25" s="110"/>
      <c r="J25" s="24"/>
      <c r="K25" s="24">
        <v>24.0</v>
      </c>
      <c r="L25" s="24"/>
      <c r="M25" s="24"/>
      <c r="N25" s="24"/>
      <c r="O25" s="110"/>
      <c r="P25" s="110"/>
      <c r="Q25" s="24"/>
      <c r="R25" s="24"/>
      <c r="S25" s="24"/>
      <c r="T25" s="24"/>
      <c r="U25" s="24"/>
      <c r="V25" s="107"/>
      <c r="W25" s="110"/>
      <c r="X25" s="24"/>
      <c r="Y25" s="24"/>
      <c r="Z25" s="24"/>
      <c r="AA25" s="24"/>
      <c r="AB25" s="24"/>
      <c r="AC25" s="110"/>
      <c r="AD25" s="110"/>
      <c r="AE25" s="24"/>
      <c r="AF25" s="24"/>
      <c r="AG25" s="24"/>
      <c r="AH25" s="24"/>
      <c r="AI25" s="24"/>
      <c r="AJ25" s="110"/>
      <c r="AK25" s="110"/>
      <c r="AL25" s="211">
        <v>2.0</v>
      </c>
      <c r="AM25" s="452">
        <f t="shared" si="9"/>
        <v>50</v>
      </c>
    </row>
    <row r="26" ht="14.25" customHeight="1">
      <c r="A26" s="34">
        <v>19.0</v>
      </c>
      <c r="B26" s="35" t="s">
        <v>86</v>
      </c>
      <c r="C26" s="27">
        <v>1.0</v>
      </c>
      <c r="D26" s="37" t="s">
        <v>340</v>
      </c>
      <c r="E26" s="27" t="s">
        <v>83</v>
      </c>
      <c r="F26" s="88"/>
      <c r="G26" s="24"/>
      <c r="H26" s="107"/>
      <c r="I26" s="110"/>
      <c r="J26" s="24"/>
      <c r="K26" s="24"/>
      <c r="L26" s="24"/>
      <c r="M26" s="24"/>
      <c r="N26" s="24">
        <v>24.0</v>
      </c>
      <c r="O26" s="110"/>
      <c r="P26" s="110"/>
      <c r="Q26" s="24">
        <v>24.0</v>
      </c>
      <c r="R26" s="24"/>
      <c r="S26" s="24"/>
      <c r="T26" s="24">
        <v>24.0</v>
      </c>
      <c r="U26" s="24"/>
      <c r="V26" s="110"/>
      <c r="W26" s="110"/>
      <c r="X26" s="24"/>
      <c r="Y26" s="24"/>
      <c r="Z26" s="24"/>
      <c r="AA26" s="24"/>
      <c r="AB26" s="24"/>
      <c r="AC26" s="110"/>
      <c r="AD26" s="110"/>
      <c r="AE26" s="24"/>
      <c r="AF26" s="24"/>
      <c r="AG26" s="24"/>
      <c r="AH26" s="24"/>
      <c r="AI26" s="24"/>
      <c r="AJ26" s="110"/>
      <c r="AK26" s="110"/>
      <c r="AL26" s="211">
        <f t="shared" ref="AL26:AL27" si="10">COUNTA(G26:AJ26)</f>
        <v>3</v>
      </c>
      <c r="AM26" s="452">
        <f t="shared" ref="AM26:AM27" si="11">SUM(G26:AJ26)</f>
        <v>72</v>
      </c>
    </row>
    <row r="27" ht="14.25" customHeight="1">
      <c r="A27" s="34">
        <v>20.0</v>
      </c>
      <c r="B27" s="35" t="s">
        <v>86</v>
      </c>
      <c r="C27" s="65">
        <v>1.0</v>
      </c>
      <c r="D27" s="37" t="s">
        <v>198</v>
      </c>
      <c r="E27" s="27" t="s">
        <v>83</v>
      </c>
      <c r="F27" s="88"/>
      <c r="G27" s="24"/>
      <c r="H27" s="110"/>
      <c r="I27" s="110">
        <v>24.0</v>
      </c>
      <c r="J27" s="24"/>
      <c r="K27" s="24"/>
      <c r="L27" s="24">
        <v>24.0</v>
      </c>
      <c r="M27" s="24"/>
      <c r="N27" s="24"/>
      <c r="O27" s="110">
        <v>24.0</v>
      </c>
      <c r="P27" s="110"/>
      <c r="Q27" s="24"/>
      <c r="R27" s="24">
        <v>24.0</v>
      </c>
      <c r="S27" s="24"/>
      <c r="T27" s="24"/>
      <c r="U27" s="24">
        <v>24.0</v>
      </c>
      <c r="V27" s="110"/>
      <c r="W27" s="110">
        <v>24.0</v>
      </c>
      <c r="X27" s="24"/>
      <c r="Y27" s="24"/>
      <c r="Z27" s="24">
        <v>24.0</v>
      </c>
      <c r="AA27" s="24"/>
      <c r="AB27" s="24">
        <v>24.0</v>
      </c>
      <c r="AC27" s="110"/>
      <c r="AD27" s="110">
        <v>24.0</v>
      </c>
      <c r="AE27" s="24"/>
      <c r="AF27" s="24"/>
      <c r="AG27" s="24">
        <v>24.0</v>
      </c>
      <c r="AH27" s="24"/>
      <c r="AI27" s="24"/>
      <c r="AJ27" s="110">
        <v>24.0</v>
      </c>
      <c r="AK27" s="110"/>
      <c r="AL27" s="211">
        <f t="shared" si="10"/>
        <v>11</v>
      </c>
      <c r="AM27" s="452">
        <f t="shared" si="11"/>
        <v>264</v>
      </c>
    </row>
    <row r="28" ht="14.25" customHeight="1">
      <c r="A28" s="468">
        <v>21.0</v>
      </c>
      <c r="B28" s="469" t="s">
        <v>86</v>
      </c>
      <c r="C28" s="477">
        <v>1.0</v>
      </c>
      <c r="D28" s="478" t="s">
        <v>309</v>
      </c>
      <c r="E28" s="470" t="s">
        <v>83</v>
      </c>
      <c r="F28" s="8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>
        <v>24.0</v>
      </c>
      <c r="W28" s="468"/>
      <c r="X28" s="468">
        <v>24.0</v>
      </c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73">
        <v>2.0</v>
      </c>
      <c r="AM28" s="479">
        <f>SUM(T28:AL28)</f>
        <v>50</v>
      </c>
      <c r="AN28" s="475" t="s">
        <v>341</v>
      </c>
    </row>
    <row r="29" ht="14.25" customHeight="1">
      <c r="A29" s="468">
        <v>22.0</v>
      </c>
      <c r="B29" s="469" t="s">
        <v>86</v>
      </c>
      <c r="C29" s="477"/>
      <c r="D29" s="478" t="s">
        <v>212</v>
      </c>
      <c r="E29" s="470" t="s">
        <v>83</v>
      </c>
      <c r="F29" s="8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>
        <v>24.0</v>
      </c>
      <c r="Y29" s="468"/>
      <c r="Z29" s="468"/>
      <c r="AA29" s="468"/>
      <c r="AB29" s="468"/>
      <c r="AC29" s="468">
        <v>24.0</v>
      </c>
      <c r="AD29" s="468"/>
      <c r="AE29" s="468">
        <v>24.0</v>
      </c>
      <c r="AF29" s="468"/>
      <c r="AG29" s="468"/>
      <c r="AH29" s="468"/>
      <c r="AI29" s="468"/>
      <c r="AJ29" s="468"/>
      <c r="AK29" s="468"/>
      <c r="AL29" s="473">
        <v>3.0</v>
      </c>
      <c r="AM29" s="479">
        <f>SUM(W29:AL29)</f>
        <v>75</v>
      </c>
      <c r="AN29" s="475"/>
    </row>
    <row r="30" ht="14.25" customHeight="1">
      <c r="A30" s="34">
        <v>23.0</v>
      </c>
      <c r="B30" s="35" t="s">
        <v>86</v>
      </c>
      <c r="C30" s="65">
        <v>1.0</v>
      </c>
      <c r="D30" s="189" t="s">
        <v>299</v>
      </c>
      <c r="E30" s="27" t="s">
        <v>83</v>
      </c>
      <c r="F30" s="88"/>
      <c r="G30" s="24"/>
      <c r="H30" s="110"/>
      <c r="I30" s="110"/>
      <c r="J30" s="24"/>
      <c r="K30" s="24"/>
      <c r="L30" s="24"/>
      <c r="M30" s="24"/>
      <c r="N30" s="24"/>
      <c r="O30" s="110"/>
      <c r="P30" s="110"/>
      <c r="Q30" s="24"/>
      <c r="R30" s="24"/>
      <c r="S30" s="24"/>
      <c r="T30" s="24"/>
      <c r="U30" s="24"/>
      <c r="V30" s="110"/>
      <c r="W30" s="110"/>
      <c r="X30" s="24"/>
      <c r="Y30" s="24"/>
      <c r="Z30" s="24"/>
      <c r="AA30" s="24"/>
      <c r="AB30" s="24"/>
      <c r="AC30" s="110"/>
      <c r="AD30" s="110"/>
      <c r="AE30" s="24"/>
      <c r="AF30" s="24"/>
      <c r="AG30" s="24"/>
      <c r="AH30" s="24">
        <v>24.0</v>
      </c>
      <c r="AI30" s="24"/>
      <c r="AJ30" s="110"/>
      <c r="AK30" s="110">
        <v>24.0</v>
      </c>
      <c r="AL30" s="211">
        <v>2.0</v>
      </c>
      <c r="AM30" s="480">
        <f>SUM(AG30:AL30)</f>
        <v>50</v>
      </c>
    </row>
    <row r="31" ht="14.25" customHeight="1">
      <c r="A31" s="34">
        <v>24.0</v>
      </c>
      <c r="B31" s="35" t="s">
        <v>95</v>
      </c>
      <c r="C31" s="65">
        <v>1.0</v>
      </c>
      <c r="D31" s="90" t="s">
        <v>321</v>
      </c>
      <c r="E31" s="27" t="s">
        <v>83</v>
      </c>
      <c r="F31" s="88"/>
      <c r="G31" s="24">
        <v>24.0</v>
      </c>
      <c r="H31" s="110"/>
      <c r="I31" s="110"/>
      <c r="J31" s="24"/>
      <c r="K31" s="24">
        <v>24.0</v>
      </c>
      <c r="L31" s="24"/>
      <c r="M31" s="24"/>
      <c r="N31" s="24"/>
      <c r="O31" s="110">
        <v>24.0</v>
      </c>
      <c r="P31" s="110"/>
      <c r="Q31" s="24">
        <v>24.0</v>
      </c>
      <c r="R31" s="24"/>
      <c r="S31" s="24">
        <v>24.0</v>
      </c>
      <c r="T31" s="24"/>
      <c r="U31" s="24"/>
      <c r="V31" s="110"/>
      <c r="W31" s="110"/>
      <c r="X31" s="24"/>
      <c r="Y31" s="24"/>
      <c r="Z31" s="24"/>
      <c r="AA31" s="24"/>
      <c r="AB31" s="24"/>
      <c r="AC31" s="110"/>
      <c r="AD31" s="110"/>
      <c r="AE31" s="24"/>
      <c r="AF31" s="24"/>
      <c r="AG31" s="24"/>
      <c r="AH31" s="24"/>
      <c r="AI31" s="24"/>
      <c r="AJ31" s="110"/>
      <c r="AK31" s="110"/>
      <c r="AL31" s="211">
        <f>COUNTA(G31:AJ31)</f>
        <v>5</v>
      </c>
      <c r="AM31" s="457">
        <f>SUM(G31:AJ31)</f>
        <v>120</v>
      </c>
    </row>
    <row r="32" ht="14.25" customHeight="1">
      <c r="A32" s="34">
        <v>25.0</v>
      </c>
      <c r="B32" s="35" t="s">
        <v>95</v>
      </c>
      <c r="C32" s="65">
        <v>1.0</v>
      </c>
      <c r="D32" s="100" t="s">
        <v>212</v>
      </c>
      <c r="E32" s="27" t="s">
        <v>83</v>
      </c>
      <c r="F32" s="88"/>
      <c r="G32" s="24"/>
      <c r="H32" s="110">
        <v>24.0</v>
      </c>
      <c r="I32" s="110"/>
      <c r="J32" s="24">
        <v>24.0</v>
      </c>
      <c r="K32" s="24"/>
      <c r="L32" s="24"/>
      <c r="M32" s="24">
        <v>24.0</v>
      </c>
      <c r="N32" s="24"/>
      <c r="O32" s="110"/>
      <c r="P32" s="110">
        <v>24.0</v>
      </c>
      <c r="Q32" s="24"/>
      <c r="R32" s="24">
        <v>24.0</v>
      </c>
      <c r="S32" s="24"/>
      <c r="T32" s="24">
        <v>24.0</v>
      </c>
      <c r="U32" s="24"/>
      <c r="V32" s="110">
        <v>24.0</v>
      </c>
      <c r="W32" s="110"/>
      <c r="X32" s="24"/>
      <c r="Y32" s="24"/>
      <c r="Z32" s="24">
        <v>17.0</v>
      </c>
      <c r="AA32" s="24">
        <v>17.0</v>
      </c>
      <c r="AB32" s="24">
        <v>17.0</v>
      </c>
      <c r="AC32" s="110"/>
      <c r="AD32" s="110"/>
      <c r="AE32" s="24"/>
      <c r="AF32" s="24"/>
      <c r="AG32" s="24"/>
      <c r="AH32" s="24">
        <v>24.0</v>
      </c>
      <c r="AI32" s="24"/>
      <c r="AJ32" s="110"/>
      <c r="AK32" s="110">
        <v>24.0</v>
      </c>
      <c r="AL32" s="211">
        <f>COUNTA(G32:AK32)</f>
        <v>12</v>
      </c>
      <c r="AM32" s="457">
        <f>SUM(G32:AK32)</f>
        <v>267</v>
      </c>
      <c r="AN32" s="73" t="s">
        <v>342</v>
      </c>
    </row>
    <row r="33" ht="14.25" customHeight="1">
      <c r="A33" s="34">
        <v>26.0</v>
      </c>
      <c r="B33" s="35" t="s">
        <v>95</v>
      </c>
      <c r="C33" s="65">
        <v>1.0</v>
      </c>
      <c r="D33" s="100" t="s">
        <v>267</v>
      </c>
      <c r="E33" s="27" t="s">
        <v>83</v>
      </c>
      <c r="F33" s="88"/>
      <c r="G33" s="24">
        <v>17.0</v>
      </c>
      <c r="H33" s="110">
        <v>17.0</v>
      </c>
      <c r="I33" s="110">
        <v>17.0</v>
      </c>
      <c r="J33" s="24"/>
      <c r="K33" s="24">
        <v>17.0</v>
      </c>
      <c r="L33" s="24">
        <v>17.0</v>
      </c>
      <c r="M33" s="24">
        <v>17.0</v>
      </c>
      <c r="N33" s="24">
        <v>17.0</v>
      </c>
      <c r="O33" s="110">
        <v>17.0</v>
      </c>
      <c r="P33" s="110"/>
      <c r="Q33" s="24"/>
      <c r="R33" s="24"/>
      <c r="S33" s="24"/>
      <c r="T33" s="24">
        <v>17.0</v>
      </c>
      <c r="U33" s="106">
        <v>17.0</v>
      </c>
      <c r="V33" s="107">
        <v>17.0</v>
      </c>
      <c r="W33" s="107">
        <v>17.0</v>
      </c>
      <c r="X33" s="106"/>
      <c r="Y33" s="106"/>
      <c r="Z33" s="106"/>
      <c r="AA33" s="24">
        <v>17.0</v>
      </c>
      <c r="AB33" s="117"/>
      <c r="AC33" s="481"/>
      <c r="AD33" s="110">
        <v>17.0</v>
      </c>
      <c r="AE33" s="106"/>
      <c r="AF33" s="24"/>
      <c r="AG33" s="34">
        <v>24.0</v>
      </c>
      <c r="AH33" s="24"/>
      <c r="AI33" s="24"/>
      <c r="AJ33" s="110">
        <v>24.0</v>
      </c>
      <c r="AK33" s="110"/>
      <c r="AL33" s="211">
        <v>6.0</v>
      </c>
      <c r="AM33" s="457">
        <f>AJ33+AG33+AD33+W33+V33+U33</f>
        <v>116</v>
      </c>
    </row>
    <row r="34" ht="14.25" customHeight="1">
      <c r="A34" s="34">
        <v>27.0</v>
      </c>
      <c r="B34" s="97" t="s">
        <v>95</v>
      </c>
      <c r="C34" s="65">
        <v>1.0</v>
      </c>
      <c r="D34" s="482" t="s">
        <v>310</v>
      </c>
      <c r="E34" s="27" t="s">
        <v>83</v>
      </c>
      <c r="F34" s="17"/>
      <c r="G34" s="24"/>
      <c r="H34" s="110"/>
      <c r="I34" s="110">
        <v>24.0</v>
      </c>
      <c r="J34" s="24"/>
      <c r="K34" s="24"/>
      <c r="L34" s="24">
        <v>24.0</v>
      </c>
      <c r="M34" s="24"/>
      <c r="N34" s="24">
        <v>24.0</v>
      </c>
      <c r="O34" s="110"/>
      <c r="P34" s="110"/>
      <c r="Q34" s="24"/>
      <c r="R34" s="24"/>
      <c r="S34" s="24"/>
      <c r="T34" s="24"/>
      <c r="U34" s="24"/>
      <c r="V34" s="110"/>
      <c r="W34" s="110"/>
      <c r="X34" s="24"/>
      <c r="Y34" s="24"/>
      <c r="Z34" s="24"/>
      <c r="AA34" s="24">
        <v>24.0</v>
      </c>
      <c r="AB34" s="24"/>
      <c r="AC34" s="110"/>
      <c r="AD34" s="110">
        <v>24.0</v>
      </c>
      <c r="AE34" s="24"/>
      <c r="AF34" s="24"/>
      <c r="AG34" s="24">
        <v>17.0</v>
      </c>
      <c r="AH34" s="24">
        <v>17.0</v>
      </c>
      <c r="AI34" s="24">
        <v>17.0</v>
      </c>
      <c r="AJ34" s="110">
        <v>17.0</v>
      </c>
      <c r="AK34" s="110">
        <v>17.0</v>
      </c>
      <c r="AL34" s="211">
        <f>COUNTA(G34:AK34)</f>
        <v>10</v>
      </c>
      <c r="AM34" s="458">
        <f>SUM(G34:AK34)</f>
        <v>205</v>
      </c>
    </row>
    <row r="35" ht="14.25" customHeight="1">
      <c r="A35" s="34">
        <v>28.0</v>
      </c>
      <c r="B35" s="97" t="s">
        <v>95</v>
      </c>
      <c r="C35" s="65">
        <v>1.0</v>
      </c>
      <c r="D35" s="482" t="s">
        <v>100</v>
      </c>
      <c r="E35" s="27" t="s">
        <v>83</v>
      </c>
      <c r="F35" s="205"/>
      <c r="G35" s="24"/>
      <c r="H35" s="110"/>
      <c r="I35" s="110"/>
      <c r="J35" s="24"/>
      <c r="K35" s="24"/>
      <c r="L35" s="24"/>
      <c r="M35" s="24"/>
      <c r="N35" s="24"/>
      <c r="O35" s="110"/>
      <c r="P35" s="110"/>
      <c r="Q35" s="24"/>
      <c r="R35" s="24"/>
      <c r="S35" s="24"/>
      <c r="T35" s="24"/>
      <c r="U35" s="24">
        <v>24.0</v>
      </c>
      <c r="V35" s="110"/>
      <c r="W35" s="110">
        <v>24.0</v>
      </c>
      <c r="X35" s="24"/>
      <c r="Y35" s="24"/>
      <c r="Z35" s="24">
        <v>24.0</v>
      </c>
      <c r="AA35" s="24"/>
      <c r="AB35" s="24"/>
      <c r="AC35" s="110">
        <v>24.0</v>
      </c>
      <c r="AD35" s="110"/>
      <c r="AE35" s="24"/>
      <c r="AF35" s="24">
        <v>24.0</v>
      </c>
      <c r="AG35" s="24"/>
      <c r="AH35" s="24"/>
      <c r="AI35" s="24">
        <v>24.0</v>
      </c>
      <c r="AJ35" s="110"/>
      <c r="AK35" s="110"/>
      <c r="AL35" s="211">
        <v>6.0</v>
      </c>
      <c r="AM35" s="458">
        <f t="shared" ref="AM35:AM36" si="12">SUM(G35:AL35)</f>
        <v>150</v>
      </c>
    </row>
    <row r="36" ht="14.25" customHeight="1">
      <c r="A36" s="34">
        <v>29.0</v>
      </c>
      <c r="B36" s="97" t="s">
        <v>95</v>
      </c>
      <c r="C36" s="65">
        <v>1.0</v>
      </c>
      <c r="D36" s="189" t="s">
        <v>343</v>
      </c>
      <c r="E36" s="27" t="s">
        <v>83</v>
      </c>
      <c r="F36" s="205"/>
      <c r="G36" s="24"/>
      <c r="H36" s="110"/>
      <c r="I36" s="110"/>
      <c r="J36" s="24"/>
      <c r="K36" s="24"/>
      <c r="L36" s="24"/>
      <c r="M36" s="24"/>
      <c r="N36" s="24"/>
      <c r="O36" s="110"/>
      <c r="P36" s="110"/>
      <c r="Q36" s="24"/>
      <c r="R36" s="24"/>
      <c r="S36" s="24"/>
      <c r="T36" s="24"/>
      <c r="U36" s="24"/>
      <c r="V36" s="110"/>
      <c r="W36" s="110"/>
      <c r="X36" s="24"/>
      <c r="Y36" s="24">
        <v>24.0</v>
      </c>
      <c r="Z36" s="24"/>
      <c r="AA36" s="24"/>
      <c r="AB36" s="24">
        <v>24.0</v>
      </c>
      <c r="AC36" s="110"/>
      <c r="AD36" s="110"/>
      <c r="AE36" s="24">
        <v>24.0</v>
      </c>
      <c r="AF36" s="24"/>
      <c r="AG36" s="24"/>
      <c r="AH36" s="24"/>
      <c r="AI36" s="24"/>
      <c r="AJ36" s="110"/>
      <c r="AK36" s="110"/>
      <c r="AL36" s="211">
        <v>3.0</v>
      </c>
      <c r="AM36" s="458">
        <f t="shared" si="12"/>
        <v>75</v>
      </c>
    </row>
    <row r="37" ht="14.25" customHeight="1">
      <c r="A37" s="106">
        <v>30.0</v>
      </c>
      <c r="B37" s="64" t="s">
        <v>184</v>
      </c>
      <c r="C37" s="101">
        <v>1.0</v>
      </c>
      <c r="D37" s="64" t="s">
        <v>323</v>
      </c>
      <c r="E37" s="101" t="s">
        <v>105</v>
      </c>
      <c r="F37" s="103">
        <v>0.4</v>
      </c>
      <c r="G37" s="106">
        <v>17.0</v>
      </c>
      <c r="H37" s="107">
        <v>17.0</v>
      </c>
      <c r="I37" s="107">
        <v>17.0</v>
      </c>
      <c r="J37" s="106" t="s">
        <v>344</v>
      </c>
      <c r="K37" s="106"/>
      <c r="L37" s="106"/>
      <c r="M37" s="106"/>
      <c r="N37" s="106"/>
      <c r="O37" s="107">
        <v>17.0</v>
      </c>
      <c r="P37" s="107"/>
      <c r="Q37" s="106">
        <v>17.0</v>
      </c>
      <c r="R37" s="106"/>
      <c r="S37" s="106"/>
      <c r="T37" s="106"/>
      <c r="U37" s="106"/>
      <c r="V37" s="107"/>
      <c r="W37" s="107"/>
      <c r="X37" s="106"/>
      <c r="Y37" s="106"/>
      <c r="Z37" s="106"/>
      <c r="AA37" s="106"/>
      <c r="AB37" s="106"/>
      <c r="AC37" s="107"/>
      <c r="AD37" s="107"/>
      <c r="AE37" s="106"/>
      <c r="AF37" s="106"/>
      <c r="AG37" s="106"/>
      <c r="AH37" s="106"/>
      <c r="AI37" s="106">
        <v>17.0</v>
      </c>
      <c r="AJ37" s="107"/>
      <c r="AK37" s="107"/>
      <c r="AL37" s="459">
        <f>COUNTA(F37:AK37)</f>
        <v>8</v>
      </c>
      <c r="AM37" s="460">
        <f>SUM(F37:AK37)</f>
        <v>102.4</v>
      </c>
    </row>
    <row r="38" ht="14.25" customHeight="1">
      <c r="A38" s="119">
        <v>31.0</v>
      </c>
      <c r="B38" s="137" t="s">
        <v>184</v>
      </c>
      <c r="C38" s="129">
        <v>1.0</v>
      </c>
      <c r="D38" s="130" t="s">
        <v>323</v>
      </c>
      <c r="E38" s="121" t="s">
        <v>105</v>
      </c>
      <c r="F38" s="103">
        <v>0.4</v>
      </c>
      <c r="G38" s="106">
        <v>17.0</v>
      </c>
      <c r="H38" s="107">
        <v>17.0</v>
      </c>
      <c r="I38" s="107"/>
      <c r="J38" s="106"/>
      <c r="K38" s="106"/>
      <c r="L38" s="106"/>
      <c r="M38" s="106"/>
      <c r="N38" s="106"/>
      <c r="O38" s="107">
        <v>17.0</v>
      </c>
      <c r="P38" s="107"/>
      <c r="Q38" s="106"/>
      <c r="R38" s="106"/>
      <c r="S38" s="106"/>
      <c r="T38" s="106"/>
      <c r="U38" s="106"/>
      <c r="V38" s="107"/>
      <c r="W38" s="107"/>
      <c r="X38" s="106"/>
      <c r="Y38" s="106"/>
      <c r="Z38" s="106"/>
      <c r="AA38" s="106"/>
      <c r="AB38" s="106"/>
      <c r="AC38" s="107"/>
      <c r="AD38" s="107"/>
      <c r="AE38" s="106"/>
      <c r="AF38" s="106"/>
      <c r="AG38" s="106"/>
      <c r="AH38" s="106"/>
      <c r="AI38" s="106"/>
      <c r="AJ38" s="107"/>
      <c r="AK38" s="107"/>
      <c r="AL38" s="459">
        <f>COUNTA(F38:AJ38)</f>
        <v>4</v>
      </c>
      <c r="AM38" s="460">
        <f>SUM(F38:AJ38)</f>
        <v>51.4</v>
      </c>
    </row>
    <row r="39" ht="14.25" customHeight="1">
      <c r="A39" s="483">
        <v>32.0</v>
      </c>
      <c r="B39" s="484" t="s">
        <v>109</v>
      </c>
      <c r="C39" s="485">
        <v>1.0</v>
      </c>
      <c r="D39" s="486" t="s">
        <v>300</v>
      </c>
      <c r="E39" s="289" t="s">
        <v>111</v>
      </c>
      <c r="F39" s="487" t="s">
        <v>26</v>
      </c>
      <c r="G39" s="483">
        <v>12.0</v>
      </c>
      <c r="H39" s="483">
        <v>18.0</v>
      </c>
      <c r="I39" s="483">
        <v>18.0</v>
      </c>
      <c r="J39" s="483">
        <v>12.0</v>
      </c>
      <c r="K39" s="476">
        <v>12.0</v>
      </c>
      <c r="L39" s="483">
        <v>18.0</v>
      </c>
      <c r="M39" s="483">
        <v>6.0</v>
      </c>
      <c r="N39" s="476">
        <v>6.0</v>
      </c>
      <c r="O39" s="483">
        <v>18.0</v>
      </c>
      <c r="P39" s="483">
        <v>18.0</v>
      </c>
      <c r="Q39" s="483">
        <v>12.0</v>
      </c>
      <c r="R39" s="483">
        <v>12.0</v>
      </c>
      <c r="S39" s="483">
        <v>12.0</v>
      </c>
      <c r="T39" s="483">
        <v>6.0</v>
      </c>
      <c r="U39" s="483">
        <v>12.0</v>
      </c>
      <c r="V39" s="483">
        <v>12.0</v>
      </c>
      <c r="W39" s="483">
        <v>18.0</v>
      </c>
      <c r="X39" s="483">
        <v>12.0</v>
      </c>
      <c r="Y39" s="483">
        <v>12.0</v>
      </c>
      <c r="Z39" s="483">
        <v>12.0</v>
      </c>
      <c r="AA39" s="483">
        <v>12.0</v>
      </c>
      <c r="AB39" s="483">
        <v>18.0</v>
      </c>
      <c r="AC39" s="483">
        <v>18.0</v>
      </c>
      <c r="AD39" s="483">
        <v>12.0</v>
      </c>
      <c r="AE39" s="483">
        <v>12.0</v>
      </c>
      <c r="AF39" s="483">
        <v>12.0</v>
      </c>
      <c r="AG39" s="483">
        <v>18.0</v>
      </c>
      <c r="AH39" s="483">
        <v>12.0</v>
      </c>
      <c r="AI39" s="483">
        <v>12.0</v>
      </c>
      <c r="AJ39" s="483">
        <v>12.0</v>
      </c>
      <c r="AK39" s="483"/>
      <c r="AL39" s="294">
        <v>33.5</v>
      </c>
      <c r="AM39" s="163">
        <f t="shared" ref="AM39:AM40" si="13">SUM(G39:AK39)</f>
        <v>396</v>
      </c>
      <c r="AN39" s="488" t="s">
        <v>345</v>
      </c>
    </row>
    <row r="40" ht="14.25" customHeight="1">
      <c r="A40" s="34">
        <v>33.0</v>
      </c>
      <c r="B40" s="35" t="s">
        <v>135</v>
      </c>
      <c r="C40" s="65">
        <v>1.0</v>
      </c>
      <c r="D40" s="90" t="s">
        <v>324</v>
      </c>
      <c r="E40" s="27" t="s">
        <v>111</v>
      </c>
      <c r="F40" s="118" t="s">
        <v>26</v>
      </c>
      <c r="G40" s="24">
        <v>12.0</v>
      </c>
      <c r="H40" s="110">
        <v>12.0</v>
      </c>
      <c r="I40" s="110">
        <v>12.0</v>
      </c>
      <c r="J40" s="24">
        <v>12.0</v>
      </c>
      <c r="K40" s="24">
        <v>12.0</v>
      </c>
      <c r="L40" s="24">
        <v>12.0</v>
      </c>
      <c r="M40" s="489">
        <v>12.0</v>
      </c>
      <c r="N40" s="24"/>
      <c r="O40" s="110">
        <v>24.0</v>
      </c>
      <c r="P40" s="110"/>
      <c r="Q40" s="24"/>
      <c r="R40" s="24"/>
      <c r="S40" s="24"/>
      <c r="T40" s="24"/>
      <c r="U40" s="24"/>
      <c r="V40" s="110"/>
      <c r="W40" s="110"/>
      <c r="X40" s="24"/>
      <c r="Y40" s="24"/>
      <c r="Z40" s="24"/>
      <c r="AA40" s="24"/>
      <c r="AB40" s="24"/>
      <c r="AC40" s="110"/>
      <c r="AD40" s="110"/>
      <c r="AE40" s="24"/>
      <c r="AF40" s="24"/>
      <c r="AG40" s="24"/>
      <c r="AH40" s="24"/>
      <c r="AI40" s="24"/>
      <c r="AJ40" s="110"/>
      <c r="AK40" s="110"/>
      <c r="AL40" s="211">
        <v>9.0</v>
      </c>
      <c r="AM40" s="57">
        <f t="shared" si="13"/>
        <v>108</v>
      </c>
      <c r="AN40" s="73" t="s">
        <v>346</v>
      </c>
    </row>
    <row r="41" ht="14.25" customHeight="1">
      <c r="A41" s="34">
        <v>34.0</v>
      </c>
      <c r="B41" s="35" t="s">
        <v>347</v>
      </c>
      <c r="C41" s="65">
        <v>1.0</v>
      </c>
      <c r="D41" s="90" t="s">
        <v>348</v>
      </c>
      <c r="E41" s="27" t="s">
        <v>111</v>
      </c>
      <c r="F41" s="118" t="s">
        <v>26</v>
      </c>
      <c r="G41" s="24"/>
      <c r="H41" s="110"/>
      <c r="I41" s="110"/>
      <c r="J41" s="24"/>
      <c r="K41" s="24"/>
      <c r="L41" s="24"/>
      <c r="M41" s="24"/>
      <c r="N41" s="24"/>
      <c r="O41" s="110"/>
      <c r="P41" s="110"/>
      <c r="Q41" s="24"/>
      <c r="R41" s="24"/>
      <c r="S41" s="24"/>
      <c r="T41" s="24"/>
      <c r="U41" s="24"/>
      <c r="V41" s="110"/>
      <c r="W41" s="110"/>
      <c r="X41" s="24"/>
      <c r="Y41" s="106">
        <v>12.0</v>
      </c>
      <c r="Z41" s="106">
        <v>12.0</v>
      </c>
      <c r="AA41" s="106">
        <v>24.0</v>
      </c>
      <c r="AB41" s="24"/>
      <c r="AC41" s="110"/>
      <c r="AD41" s="110"/>
      <c r="AE41" s="24"/>
      <c r="AF41" s="24"/>
      <c r="AG41" s="24"/>
      <c r="AH41" s="24"/>
      <c r="AI41" s="24"/>
      <c r="AJ41" s="110"/>
      <c r="AK41" s="110"/>
      <c r="AL41" s="211">
        <v>4.0</v>
      </c>
      <c r="AM41" s="57">
        <f>SUM(X41:AL41)</f>
        <v>52</v>
      </c>
      <c r="AN41" s="73" t="s">
        <v>349</v>
      </c>
    </row>
    <row r="42" ht="14.25" customHeight="1">
      <c r="A42" s="34">
        <v>35.0</v>
      </c>
      <c r="B42" s="35" t="s">
        <v>350</v>
      </c>
      <c r="C42" s="65">
        <v>1.0</v>
      </c>
      <c r="D42" s="90" t="s">
        <v>351</v>
      </c>
      <c r="E42" s="27" t="s">
        <v>111</v>
      </c>
      <c r="F42" s="118"/>
      <c r="G42" s="24"/>
      <c r="H42" s="110"/>
      <c r="I42" s="110"/>
      <c r="J42" s="24">
        <v>6.0</v>
      </c>
      <c r="K42" s="24"/>
      <c r="L42" s="24">
        <v>12.0</v>
      </c>
      <c r="M42" s="24"/>
      <c r="N42" s="24"/>
      <c r="O42" s="110"/>
      <c r="P42" s="110"/>
      <c r="Q42" s="24"/>
      <c r="R42" s="24"/>
      <c r="S42" s="24"/>
      <c r="T42" s="24"/>
      <c r="U42" s="24"/>
      <c r="V42" s="110"/>
      <c r="W42" s="110"/>
      <c r="X42" s="24"/>
      <c r="Y42" s="24"/>
      <c r="Z42" s="24"/>
      <c r="AA42" s="24"/>
      <c r="AB42" s="24"/>
      <c r="AC42" s="110"/>
      <c r="AD42" s="110"/>
      <c r="AE42" s="24"/>
      <c r="AF42" s="24"/>
      <c r="AG42" s="24"/>
      <c r="AH42" s="24"/>
      <c r="AI42" s="24"/>
      <c r="AJ42" s="110"/>
      <c r="AK42" s="110"/>
      <c r="AL42" s="211">
        <v>1.5</v>
      </c>
      <c r="AM42" s="57">
        <f>SUM(I42:AL42)</f>
        <v>19.5</v>
      </c>
    </row>
    <row r="43" ht="21.75" customHeight="1">
      <c r="A43" s="34">
        <v>36.0</v>
      </c>
      <c r="B43" s="35" t="s">
        <v>135</v>
      </c>
      <c r="C43" s="65">
        <v>1.0</v>
      </c>
      <c r="D43" s="90" t="s">
        <v>297</v>
      </c>
      <c r="E43" s="27" t="s">
        <v>73</v>
      </c>
      <c r="F43" s="123" t="s">
        <v>26</v>
      </c>
      <c r="G43" s="24"/>
      <c r="H43" s="110"/>
      <c r="I43" s="110"/>
      <c r="J43" s="24"/>
      <c r="K43" s="24"/>
      <c r="L43" s="24"/>
      <c r="M43" s="24">
        <v>12.0</v>
      </c>
      <c r="N43" s="24">
        <v>12.0</v>
      </c>
      <c r="O43" s="110">
        <v>12.0</v>
      </c>
      <c r="P43" s="110">
        <v>12.0</v>
      </c>
      <c r="Q43" s="24">
        <v>12.0</v>
      </c>
      <c r="R43" s="24">
        <v>12.0</v>
      </c>
      <c r="S43" s="24"/>
      <c r="T43" s="24">
        <v>12.0</v>
      </c>
      <c r="U43" s="24">
        <v>18.0</v>
      </c>
      <c r="V43" s="110">
        <v>12.0</v>
      </c>
      <c r="W43" s="110">
        <v>18.0</v>
      </c>
      <c r="X43" s="24">
        <v>24.0</v>
      </c>
      <c r="Y43" s="24"/>
      <c r="Z43" s="24">
        <v>12.0</v>
      </c>
      <c r="AA43" s="24">
        <v>12.0</v>
      </c>
      <c r="AB43" s="24">
        <v>12.0</v>
      </c>
      <c r="AC43" s="110">
        <v>12.0</v>
      </c>
      <c r="AD43" s="110"/>
      <c r="AE43" s="24">
        <v>12.0</v>
      </c>
      <c r="AF43" s="24">
        <v>18.0</v>
      </c>
      <c r="AG43" s="24"/>
      <c r="AH43" s="24">
        <v>12.0</v>
      </c>
      <c r="AI43" s="24">
        <v>12.0</v>
      </c>
      <c r="AJ43" s="110">
        <v>12.0</v>
      </c>
      <c r="AK43" s="110">
        <v>12.0</v>
      </c>
      <c r="AL43" s="211">
        <v>23.5</v>
      </c>
      <c r="AM43" s="57">
        <f t="shared" ref="AM43:AM48" si="14">SUM(G43:AK43)</f>
        <v>282</v>
      </c>
      <c r="AN43" s="73" t="s">
        <v>352</v>
      </c>
    </row>
    <row r="44" ht="21.0" customHeight="1">
      <c r="A44" s="124">
        <v>37.0</v>
      </c>
      <c r="B44" s="200" t="s">
        <v>142</v>
      </c>
      <c r="C44" s="65">
        <v>1.0</v>
      </c>
      <c r="D44" s="90" t="s">
        <v>298</v>
      </c>
      <c r="E44" s="65" t="s">
        <v>125</v>
      </c>
      <c r="F44" s="250"/>
      <c r="G44" s="24"/>
      <c r="H44" s="110"/>
      <c r="I44" s="110"/>
      <c r="J44" s="24"/>
      <c r="K44" s="24"/>
      <c r="L44" s="24"/>
      <c r="M44" s="24"/>
      <c r="N44" s="24">
        <v>12.0</v>
      </c>
      <c r="O44" s="110">
        <v>12.0</v>
      </c>
      <c r="P44" s="110">
        <v>12.0</v>
      </c>
      <c r="Q44" s="24"/>
      <c r="R44" s="24">
        <v>12.0</v>
      </c>
      <c r="S44" s="24">
        <v>12.0</v>
      </c>
      <c r="T44" s="24"/>
      <c r="U44" s="24"/>
      <c r="V44" s="110"/>
      <c r="W44" s="110"/>
      <c r="X44" s="490"/>
      <c r="Y44" s="24">
        <v>6.0</v>
      </c>
      <c r="Z44" s="24">
        <v>6.0</v>
      </c>
      <c r="AA44" s="490"/>
      <c r="AB44" s="24"/>
      <c r="AC44" s="110"/>
      <c r="AD44" s="110"/>
      <c r="AE44" s="24"/>
      <c r="AF44" s="24"/>
      <c r="AG44" s="24"/>
      <c r="AH44" s="24"/>
      <c r="AI44" s="24"/>
      <c r="AJ44" s="110"/>
      <c r="AK44" s="110">
        <v>12.0</v>
      </c>
      <c r="AL44" s="211">
        <f t="shared" ref="AL44:AL48" si="15">COUNTA(G44:AK44)</f>
        <v>8</v>
      </c>
      <c r="AM44" s="57">
        <f t="shared" si="14"/>
        <v>84</v>
      </c>
      <c r="AN44" s="89"/>
    </row>
    <row r="45" ht="20.25" customHeight="1">
      <c r="A45" s="17"/>
      <c r="B45" s="17"/>
      <c r="C45" s="17"/>
      <c r="D45" s="17"/>
      <c r="E45" s="27" t="s">
        <v>315</v>
      </c>
      <c r="F45" s="17"/>
      <c r="G45" s="24">
        <v>12.0</v>
      </c>
      <c r="H45" s="110">
        <v>12.0</v>
      </c>
      <c r="I45" s="110"/>
      <c r="J45" s="24"/>
      <c r="K45" s="24"/>
      <c r="L45" s="24"/>
      <c r="M45" s="24"/>
      <c r="N45" s="24"/>
      <c r="O45" s="110"/>
      <c r="P45" s="110"/>
      <c r="Q45" s="24">
        <v>12.0</v>
      </c>
      <c r="R45" s="24"/>
      <c r="S45" s="24"/>
      <c r="T45" s="24">
        <v>12.0</v>
      </c>
      <c r="U45" s="24">
        <v>12.0</v>
      </c>
      <c r="V45" s="110">
        <v>12.0</v>
      </c>
      <c r="W45" s="110"/>
      <c r="X45" s="490"/>
      <c r="Y45" s="490"/>
      <c r="Z45" s="490"/>
      <c r="AA45" s="24">
        <v>12.0</v>
      </c>
      <c r="AB45" s="24">
        <v>12.0</v>
      </c>
      <c r="AC45" s="110">
        <v>12.0</v>
      </c>
      <c r="AD45" s="110">
        <v>12.0</v>
      </c>
      <c r="AE45" s="24">
        <v>12.0</v>
      </c>
      <c r="AF45" s="24">
        <v>12.0</v>
      </c>
      <c r="AG45" s="24"/>
      <c r="AH45" s="24">
        <v>12.0</v>
      </c>
      <c r="AI45" s="24">
        <v>12.0</v>
      </c>
      <c r="AJ45" s="110"/>
      <c r="AK45" s="110"/>
      <c r="AL45" s="211">
        <f t="shared" si="15"/>
        <v>14</v>
      </c>
      <c r="AM45" s="57">
        <f t="shared" si="14"/>
        <v>168</v>
      </c>
      <c r="AN45" s="89"/>
    </row>
    <row r="46" ht="21.0" customHeight="1">
      <c r="A46" s="124">
        <v>38.0</v>
      </c>
      <c r="B46" s="200" t="s">
        <v>142</v>
      </c>
      <c r="C46" s="65">
        <v>1.0</v>
      </c>
      <c r="D46" s="90" t="s">
        <v>355</v>
      </c>
      <c r="E46" s="65" t="s">
        <v>125</v>
      </c>
      <c r="F46" s="250"/>
      <c r="G46" s="24"/>
      <c r="H46" s="110"/>
      <c r="I46" s="110"/>
      <c r="J46" s="24"/>
      <c r="K46" s="24"/>
      <c r="L46" s="24"/>
      <c r="M46" s="24"/>
      <c r="N46" s="24"/>
      <c r="O46" s="110"/>
      <c r="P46" s="110"/>
      <c r="Q46" s="24"/>
      <c r="R46" s="24"/>
      <c r="S46" s="24"/>
      <c r="T46" s="24"/>
      <c r="U46" s="24"/>
      <c r="V46" s="110"/>
      <c r="W46" s="110"/>
      <c r="X46" s="490"/>
      <c r="Y46" s="24"/>
      <c r="Z46" s="24"/>
      <c r="AA46" s="490"/>
      <c r="AB46" s="24"/>
      <c r="AC46" s="110"/>
      <c r="AD46" s="110"/>
      <c r="AE46" s="24"/>
      <c r="AF46" s="24"/>
      <c r="AG46" s="24"/>
      <c r="AH46" s="24">
        <v>12.0</v>
      </c>
      <c r="AI46" s="24"/>
      <c r="AJ46" s="110"/>
      <c r="AK46" s="110"/>
      <c r="AL46" s="211">
        <f t="shared" si="15"/>
        <v>1</v>
      </c>
      <c r="AM46" s="57">
        <f t="shared" si="14"/>
        <v>12</v>
      </c>
      <c r="AN46" s="89" t="s">
        <v>349</v>
      </c>
    </row>
    <row r="47" ht="20.25" customHeight="1">
      <c r="A47" s="17"/>
      <c r="B47" s="17"/>
      <c r="C47" s="17"/>
      <c r="D47" s="17"/>
      <c r="E47" s="27" t="s">
        <v>315</v>
      </c>
      <c r="F47" s="17"/>
      <c r="G47" s="24"/>
      <c r="H47" s="110"/>
      <c r="I47" s="110"/>
      <c r="J47" s="24"/>
      <c r="K47" s="24"/>
      <c r="L47" s="24"/>
      <c r="M47" s="24"/>
      <c r="N47" s="24"/>
      <c r="O47" s="110"/>
      <c r="P47" s="110"/>
      <c r="Q47" s="24"/>
      <c r="R47" s="24"/>
      <c r="S47" s="24"/>
      <c r="T47" s="24"/>
      <c r="U47" s="24"/>
      <c r="V47" s="110"/>
      <c r="W47" s="110"/>
      <c r="X47" s="490"/>
      <c r="Y47" s="490"/>
      <c r="Z47" s="490"/>
      <c r="AA47" s="24"/>
      <c r="AB47" s="24"/>
      <c r="AC47" s="110"/>
      <c r="AD47" s="110"/>
      <c r="AE47" s="24"/>
      <c r="AF47" s="24"/>
      <c r="AG47" s="24"/>
      <c r="AH47" s="24"/>
      <c r="AI47" s="24">
        <v>12.0</v>
      </c>
      <c r="AJ47" s="110">
        <v>12.0</v>
      </c>
      <c r="AK47" s="110">
        <v>12.0</v>
      </c>
      <c r="AL47" s="211">
        <f t="shared" si="15"/>
        <v>3</v>
      </c>
      <c r="AM47" s="57">
        <f t="shared" si="14"/>
        <v>36</v>
      </c>
      <c r="AN47" s="89" t="s">
        <v>349</v>
      </c>
    </row>
    <row r="48" ht="21.0" customHeight="1">
      <c r="A48" s="34">
        <v>39.0</v>
      </c>
      <c r="B48" s="35" t="s">
        <v>144</v>
      </c>
      <c r="C48" s="27">
        <v>1.0</v>
      </c>
      <c r="D48" s="36" t="s">
        <v>325</v>
      </c>
      <c r="E48" s="27" t="s">
        <v>133</v>
      </c>
      <c r="F48" s="123" t="s">
        <v>26</v>
      </c>
      <c r="G48" s="24">
        <v>12.0</v>
      </c>
      <c r="H48" s="110"/>
      <c r="I48" s="110"/>
      <c r="J48" s="24"/>
      <c r="K48" s="24"/>
      <c r="L48" s="24"/>
      <c r="M48" s="24">
        <v>12.0</v>
      </c>
      <c r="N48" s="24">
        <v>12.0</v>
      </c>
      <c r="O48" s="110">
        <v>12.0</v>
      </c>
      <c r="P48" s="110">
        <v>12.0</v>
      </c>
      <c r="Q48" s="24"/>
      <c r="R48" s="24">
        <v>12.0</v>
      </c>
      <c r="S48" s="24">
        <v>12.0</v>
      </c>
      <c r="T48" s="24"/>
      <c r="U48" s="24"/>
      <c r="V48" s="110"/>
      <c r="W48" s="110"/>
      <c r="X48" s="24"/>
      <c r="Y48" s="24"/>
      <c r="Z48" s="24"/>
      <c r="AA48" s="24"/>
      <c r="AB48" s="24"/>
      <c r="AC48" s="110"/>
      <c r="AD48" s="110"/>
      <c r="AE48" s="24"/>
      <c r="AF48" s="24"/>
      <c r="AG48" s="24"/>
      <c r="AH48" s="24"/>
      <c r="AI48" s="24"/>
      <c r="AJ48" s="110"/>
      <c r="AK48" s="110"/>
      <c r="AL48" s="211">
        <f t="shared" si="15"/>
        <v>7</v>
      </c>
      <c r="AM48" s="57">
        <f t="shared" si="14"/>
        <v>84</v>
      </c>
    </row>
    <row r="49" ht="19.5" customHeight="1">
      <c r="A49" s="34">
        <v>40.0</v>
      </c>
      <c r="B49" s="35" t="s">
        <v>136</v>
      </c>
      <c r="C49" s="27">
        <v>1.0</v>
      </c>
      <c r="D49" s="36" t="s">
        <v>357</v>
      </c>
      <c r="E49" s="26" t="s">
        <v>138</v>
      </c>
      <c r="F49" s="28" t="s">
        <v>241</v>
      </c>
      <c r="G49" s="24"/>
      <c r="H49" s="110"/>
      <c r="I49" s="110"/>
      <c r="J49" s="24"/>
      <c r="K49" s="24">
        <v>11.0</v>
      </c>
      <c r="L49" s="24"/>
      <c r="M49" s="24"/>
      <c r="N49" s="24">
        <v>11.0</v>
      </c>
      <c r="O49" s="110"/>
      <c r="P49" s="110"/>
      <c r="Q49" s="24"/>
      <c r="R49" s="24"/>
      <c r="S49" s="24">
        <v>11.0</v>
      </c>
      <c r="T49" s="24"/>
      <c r="U49" s="24"/>
      <c r="V49" s="110">
        <v>11.0</v>
      </c>
      <c r="W49" s="110"/>
      <c r="X49" s="24"/>
      <c r="Y49" s="24">
        <v>11.0</v>
      </c>
      <c r="Z49" s="24"/>
      <c r="AA49" s="24"/>
      <c r="AB49" s="24"/>
      <c r="AC49" s="110"/>
      <c r="AD49" s="110"/>
      <c r="AE49" s="24"/>
      <c r="AF49" s="24"/>
      <c r="AG49" s="24"/>
      <c r="AH49" s="24"/>
      <c r="AI49" s="24"/>
      <c r="AJ49" s="110"/>
      <c r="AK49" s="110"/>
      <c r="AL49" s="461">
        <v>5.0</v>
      </c>
      <c r="AM49" s="57">
        <f t="shared" ref="AM49:AM51" si="16">SUM(G49:AL49)</f>
        <v>60</v>
      </c>
    </row>
    <row r="50" ht="19.5" customHeight="1">
      <c r="A50" s="34">
        <v>41.0</v>
      </c>
      <c r="B50" s="35" t="s">
        <v>136</v>
      </c>
      <c r="C50" s="27">
        <v>1.0</v>
      </c>
      <c r="D50" s="117" t="s">
        <v>145</v>
      </c>
      <c r="E50" s="26" t="s">
        <v>138</v>
      </c>
      <c r="F50" s="28" t="s">
        <v>241</v>
      </c>
      <c r="G50" s="24">
        <v>11.0</v>
      </c>
      <c r="H50" s="110">
        <v>11.0</v>
      </c>
      <c r="I50" s="110"/>
      <c r="J50" s="24"/>
      <c r="K50" s="24"/>
      <c r="L50" s="24"/>
      <c r="M50" s="24">
        <v>11.0</v>
      </c>
      <c r="N50" s="24"/>
      <c r="O50" s="110"/>
      <c r="P50" s="110"/>
      <c r="Q50" s="24"/>
      <c r="R50" s="24"/>
      <c r="S50" s="24"/>
      <c r="T50" s="24">
        <v>11.0</v>
      </c>
      <c r="U50" s="24">
        <v>0.5</v>
      </c>
      <c r="V50" s="110"/>
      <c r="W50" s="110"/>
      <c r="X50" s="24"/>
      <c r="Y50" s="24"/>
      <c r="Z50" s="24"/>
      <c r="AA50" s="24">
        <v>0.5</v>
      </c>
      <c r="AB50" s="24" t="s">
        <v>317</v>
      </c>
      <c r="AC50" s="110">
        <v>0.5</v>
      </c>
      <c r="AD50" s="110">
        <v>0.5</v>
      </c>
      <c r="AE50" s="24">
        <v>0.5</v>
      </c>
      <c r="AF50" s="24">
        <v>0.5</v>
      </c>
      <c r="AG50" s="24">
        <v>0.5</v>
      </c>
      <c r="AH50" s="24">
        <v>11.0</v>
      </c>
      <c r="AI50" s="24">
        <v>11.0</v>
      </c>
      <c r="AJ50" s="110">
        <v>11.0</v>
      </c>
      <c r="AK50" s="110">
        <v>11.0</v>
      </c>
      <c r="AL50" s="461">
        <v>12.0</v>
      </c>
      <c r="AM50" s="57">
        <f t="shared" si="16"/>
        <v>103.5</v>
      </c>
    </row>
    <row r="51" ht="19.5" customHeight="1">
      <c r="A51" s="34">
        <v>42.0</v>
      </c>
      <c r="B51" s="35" t="s">
        <v>136</v>
      </c>
      <c r="C51" s="27">
        <v>1.0</v>
      </c>
      <c r="D51" s="117" t="s">
        <v>319</v>
      </c>
      <c r="E51" s="26" t="s">
        <v>138</v>
      </c>
      <c r="F51" s="28" t="s">
        <v>241</v>
      </c>
      <c r="G51" s="24"/>
      <c r="H51" s="110"/>
      <c r="I51" s="110">
        <v>11.0</v>
      </c>
      <c r="J51" s="24"/>
      <c r="K51" s="24"/>
      <c r="L51" s="24">
        <v>11.0</v>
      </c>
      <c r="M51" s="24"/>
      <c r="N51" s="24"/>
      <c r="O51" s="110">
        <v>11.0</v>
      </c>
      <c r="P51" s="110">
        <v>11.0</v>
      </c>
      <c r="Q51" s="24"/>
      <c r="R51" s="24">
        <v>11.0</v>
      </c>
      <c r="S51" s="24"/>
      <c r="T51" s="24"/>
      <c r="U51" s="24"/>
      <c r="V51" s="110"/>
      <c r="W51" s="110"/>
      <c r="X51" s="24">
        <v>11.0</v>
      </c>
      <c r="Y51" s="24"/>
      <c r="Z51" s="24"/>
      <c r="AA51" s="24"/>
      <c r="AB51" s="24"/>
      <c r="AC51" s="110"/>
      <c r="AD51" s="110"/>
      <c r="AE51" s="24"/>
      <c r="AF51" s="24"/>
      <c r="AG51" s="24"/>
      <c r="AH51" s="24"/>
      <c r="AI51" s="24"/>
      <c r="AJ51" s="110"/>
      <c r="AK51" s="110"/>
      <c r="AL51" s="461">
        <v>6.0</v>
      </c>
      <c r="AM51" s="57">
        <f t="shared" si="16"/>
        <v>72</v>
      </c>
      <c r="AN51" s="73" t="s">
        <v>361</v>
      </c>
    </row>
    <row r="52" ht="14.25" customHeight="1">
      <c r="A52" s="21"/>
      <c r="B52" s="21" t="s">
        <v>140</v>
      </c>
      <c r="C52" s="21"/>
      <c r="D52" s="21" t="s">
        <v>140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2"/>
      <c r="AD52" s="212"/>
      <c r="AE52" s="212"/>
      <c r="AF52" s="212"/>
      <c r="AG52" s="212"/>
      <c r="AH52" s="212"/>
      <c r="AI52" s="212"/>
      <c r="AJ52" s="212"/>
      <c r="AK52" s="212"/>
      <c r="AL52" s="21"/>
      <c r="AM52" s="45"/>
    </row>
    <row r="53" ht="14.25" customHeight="1">
      <c r="A53" s="34">
        <v>43.0</v>
      </c>
      <c r="B53" s="35" t="s">
        <v>140</v>
      </c>
      <c r="C53" s="27">
        <v>1.0</v>
      </c>
      <c r="D53" s="117" t="s">
        <v>145</v>
      </c>
      <c r="E53" s="139" t="s">
        <v>51</v>
      </c>
      <c r="F53" s="28" t="s">
        <v>85</v>
      </c>
      <c r="G53" s="24"/>
      <c r="H53" s="110">
        <v>24.0</v>
      </c>
      <c r="I53" s="110"/>
      <c r="J53" s="24"/>
      <c r="K53" s="24">
        <v>24.0</v>
      </c>
      <c r="L53" s="24"/>
      <c r="M53" s="24"/>
      <c r="N53" s="24">
        <v>24.0</v>
      </c>
      <c r="O53" s="110"/>
      <c r="P53" s="110"/>
      <c r="Q53" s="24"/>
      <c r="R53" s="24">
        <v>24.0</v>
      </c>
      <c r="S53" s="24"/>
      <c r="T53" s="24"/>
      <c r="U53" s="24">
        <v>24.0</v>
      </c>
      <c r="V53" s="110"/>
      <c r="W53" s="110"/>
      <c r="X53" s="24">
        <v>24.0</v>
      </c>
      <c r="Y53" s="24"/>
      <c r="Z53" s="24"/>
      <c r="AA53" s="24">
        <v>24.0</v>
      </c>
      <c r="AB53" s="24"/>
      <c r="AC53" s="110">
        <v>24.0</v>
      </c>
      <c r="AD53" s="110"/>
      <c r="AE53" s="24">
        <v>24.0</v>
      </c>
      <c r="AF53" s="24">
        <v>24.0</v>
      </c>
      <c r="AG53" s="24">
        <v>24.0</v>
      </c>
      <c r="AH53" s="24"/>
      <c r="AI53" s="24"/>
      <c r="AJ53" s="110">
        <v>24.0</v>
      </c>
      <c r="AK53" s="110"/>
      <c r="AL53" s="211">
        <f t="shared" ref="AL53:AL55" si="17">COUNTA(G53:AJ53)</f>
        <v>12</v>
      </c>
      <c r="AM53" s="57">
        <f t="shared" ref="AM53:AM55" si="18">SUM(G53:AJ53)</f>
        <v>288</v>
      </c>
    </row>
    <row r="54" ht="14.25" customHeight="1">
      <c r="A54" s="24">
        <v>44.0</v>
      </c>
      <c r="B54" s="35" t="s">
        <v>140</v>
      </c>
      <c r="C54" s="27">
        <v>1.0</v>
      </c>
      <c r="D54" s="117" t="s">
        <v>318</v>
      </c>
      <c r="E54" s="139" t="s">
        <v>51</v>
      </c>
      <c r="F54" s="28" t="s">
        <v>85</v>
      </c>
      <c r="G54" s="24"/>
      <c r="H54" s="110"/>
      <c r="I54" s="110">
        <v>24.0</v>
      </c>
      <c r="J54" s="24"/>
      <c r="K54" s="24"/>
      <c r="L54" s="24">
        <v>24.0</v>
      </c>
      <c r="M54" s="24"/>
      <c r="N54" s="24"/>
      <c r="O54" s="110">
        <v>24.0</v>
      </c>
      <c r="P54" s="110"/>
      <c r="Q54" s="24">
        <v>24.0</v>
      </c>
      <c r="R54" s="24"/>
      <c r="S54" s="24"/>
      <c r="T54" s="24">
        <v>24.0</v>
      </c>
      <c r="U54" s="24"/>
      <c r="V54" s="110"/>
      <c r="W54" s="110">
        <v>24.0</v>
      </c>
      <c r="X54" s="24"/>
      <c r="Y54" s="24"/>
      <c r="Z54" s="24">
        <v>24.0</v>
      </c>
      <c r="AA54" s="24"/>
      <c r="AB54" s="24"/>
      <c r="AC54" s="110"/>
      <c r="AD54" s="110"/>
      <c r="AE54" s="24"/>
      <c r="AF54" s="24"/>
      <c r="AG54" s="24"/>
      <c r="AH54" s="24"/>
      <c r="AI54" s="24"/>
      <c r="AJ54" s="110"/>
      <c r="AK54" s="110"/>
      <c r="AL54" s="211">
        <f t="shared" si="17"/>
        <v>7</v>
      </c>
      <c r="AM54" s="57">
        <f t="shared" si="18"/>
        <v>168</v>
      </c>
    </row>
    <row r="55" ht="14.25" customHeight="1">
      <c r="A55" s="24">
        <v>45.0</v>
      </c>
      <c r="B55" s="35" t="s">
        <v>140</v>
      </c>
      <c r="C55" s="27">
        <v>1.0</v>
      </c>
      <c r="D55" s="117" t="s">
        <v>319</v>
      </c>
      <c r="E55" s="139" t="s">
        <v>51</v>
      </c>
      <c r="F55" s="28" t="s">
        <v>85</v>
      </c>
      <c r="G55" s="24">
        <v>24.0</v>
      </c>
      <c r="H55" s="110"/>
      <c r="I55" s="110"/>
      <c r="J55" s="24">
        <v>24.0</v>
      </c>
      <c r="K55" s="24"/>
      <c r="L55" s="24"/>
      <c r="M55" s="24">
        <v>24.0</v>
      </c>
      <c r="N55" s="24"/>
      <c r="O55" s="110"/>
      <c r="P55" s="110">
        <v>24.0</v>
      </c>
      <c r="Q55" s="24"/>
      <c r="R55" s="24"/>
      <c r="S55" s="24">
        <v>24.0</v>
      </c>
      <c r="T55" s="24"/>
      <c r="U55" s="24"/>
      <c r="V55" s="110">
        <v>24.0</v>
      </c>
      <c r="W55" s="110"/>
      <c r="X55" s="24"/>
      <c r="Y55" s="24">
        <v>24.0</v>
      </c>
      <c r="Z55" s="24"/>
      <c r="AA55" s="24"/>
      <c r="AB55" s="24">
        <v>24.0</v>
      </c>
      <c r="AC55" s="110"/>
      <c r="AD55" s="110">
        <v>24.0</v>
      </c>
      <c r="AE55" s="24"/>
      <c r="AF55" s="24"/>
      <c r="AG55" s="24"/>
      <c r="AH55" s="24"/>
      <c r="AI55" s="24"/>
      <c r="AJ55" s="107"/>
      <c r="AK55" s="110"/>
      <c r="AL55" s="211">
        <f t="shared" si="17"/>
        <v>9</v>
      </c>
      <c r="AM55" s="57">
        <f t="shared" si="18"/>
        <v>216</v>
      </c>
      <c r="AN55" s="73" t="s">
        <v>361</v>
      </c>
    </row>
    <row r="56" ht="14.25" customHeight="1">
      <c r="A56" s="24">
        <v>46.0</v>
      </c>
      <c r="B56" s="35" t="s">
        <v>366</v>
      </c>
      <c r="C56" s="27">
        <v>1.0</v>
      </c>
      <c r="D56" s="117" t="s">
        <v>367</v>
      </c>
      <c r="E56" s="139" t="s">
        <v>51</v>
      </c>
      <c r="F56" s="28"/>
      <c r="G56" s="24"/>
      <c r="H56" s="110"/>
      <c r="I56" s="110"/>
      <c r="J56" s="24"/>
      <c r="K56" s="24"/>
      <c r="L56" s="24"/>
      <c r="M56" s="24"/>
      <c r="N56" s="24"/>
      <c r="O56" s="110"/>
      <c r="P56" s="110"/>
      <c r="Q56" s="24"/>
      <c r="R56" s="24"/>
      <c r="S56" s="24"/>
      <c r="T56" s="24"/>
      <c r="U56" s="24"/>
      <c r="V56" s="110"/>
      <c r="W56" s="110"/>
      <c r="X56" s="24"/>
      <c r="Y56" s="24"/>
      <c r="Z56" s="24"/>
      <c r="AA56" s="24"/>
      <c r="AB56" s="24"/>
      <c r="AC56" s="110"/>
      <c r="AD56" s="110"/>
      <c r="AE56" s="24"/>
      <c r="AF56" s="24"/>
      <c r="AG56" s="24"/>
      <c r="AH56" s="24">
        <v>24.0</v>
      </c>
      <c r="AI56" s="24">
        <v>24.0</v>
      </c>
      <c r="AJ56" s="110"/>
      <c r="AK56" s="110">
        <v>24.0</v>
      </c>
      <c r="AL56" s="211">
        <v>3.0</v>
      </c>
      <c r="AM56" s="57">
        <f>SUM(AH56:AL56)</f>
        <v>75</v>
      </c>
    </row>
    <row r="57" ht="14.25" customHeight="1">
      <c r="A57" s="142"/>
      <c r="B57" s="143" t="s">
        <v>151</v>
      </c>
      <c r="C57" s="144">
        <v>33.0</v>
      </c>
      <c r="D57" s="143" t="s">
        <v>152</v>
      </c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21"/>
      <c r="AM57" s="45"/>
    </row>
    <row r="58" ht="14.25" customHeight="1">
      <c r="A58" s="142"/>
      <c r="B58" s="146" t="s">
        <v>154</v>
      </c>
      <c r="C58" s="147"/>
      <c r="D58" s="147"/>
      <c r="E58" s="147"/>
      <c r="F58" s="148"/>
      <c r="G58" s="144" t="s">
        <v>155</v>
      </c>
      <c r="H58" s="144" t="s">
        <v>155</v>
      </c>
      <c r="I58" s="144" t="s">
        <v>155</v>
      </c>
      <c r="J58" s="144" t="s">
        <v>155</v>
      </c>
      <c r="K58" s="144" t="s">
        <v>155</v>
      </c>
      <c r="L58" s="144" t="s">
        <v>155</v>
      </c>
      <c r="M58" s="144" t="s">
        <v>155</v>
      </c>
      <c r="N58" s="144" t="s">
        <v>155</v>
      </c>
      <c r="O58" s="144" t="s">
        <v>155</v>
      </c>
      <c r="P58" s="144" t="s">
        <v>155</v>
      </c>
      <c r="Q58" s="144" t="s">
        <v>155</v>
      </c>
      <c r="R58" s="144" t="s">
        <v>155</v>
      </c>
      <c r="S58" s="144" t="s">
        <v>155</v>
      </c>
      <c r="T58" s="144" t="s">
        <v>155</v>
      </c>
      <c r="U58" s="144" t="s">
        <v>155</v>
      </c>
      <c r="V58" s="144" t="s">
        <v>155</v>
      </c>
      <c r="W58" s="144" t="s">
        <v>155</v>
      </c>
      <c r="X58" s="144" t="s">
        <v>155</v>
      </c>
      <c r="Y58" s="144" t="s">
        <v>155</v>
      </c>
      <c r="Z58" s="144" t="s">
        <v>155</v>
      </c>
      <c r="AA58" s="144" t="s">
        <v>155</v>
      </c>
      <c r="AB58" s="144" t="s">
        <v>155</v>
      </c>
      <c r="AC58" s="144" t="s">
        <v>155</v>
      </c>
      <c r="AD58" s="144" t="s">
        <v>155</v>
      </c>
      <c r="AE58" s="144" t="s">
        <v>155</v>
      </c>
      <c r="AF58" s="144" t="s">
        <v>155</v>
      </c>
      <c r="AG58" s="144" t="s">
        <v>155</v>
      </c>
      <c r="AH58" s="144" t="s">
        <v>155</v>
      </c>
      <c r="AI58" s="144" t="s">
        <v>155</v>
      </c>
      <c r="AJ58" s="144" t="s">
        <v>155</v>
      </c>
      <c r="AK58" s="144" t="s">
        <v>155</v>
      </c>
      <c r="AL58" s="21"/>
      <c r="AM58" s="45"/>
    </row>
    <row r="59" ht="14.25" customHeight="1">
      <c r="A59" s="142"/>
      <c r="B59" s="146" t="s">
        <v>156</v>
      </c>
      <c r="C59" s="147"/>
      <c r="D59" s="147"/>
      <c r="E59" s="147"/>
      <c r="F59" s="148"/>
      <c r="G59" s="144">
        <f t="shared" ref="G59:AK59" si="19">COUNTA(#REF!,#REF!,#REF!,#REF!,#REF!)</f>
        <v>5</v>
      </c>
      <c r="H59" s="144">
        <f t="shared" si="19"/>
        <v>5</v>
      </c>
      <c r="I59" s="144">
        <f t="shared" si="19"/>
        <v>5</v>
      </c>
      <c r="J59" s="144">
        <f t="shared" si="19"/>
        <v>5</v>
      </c>
      <c r="K59" s="144">
        <f t="shared" si="19"/>
        <v>5</v>
      </c>
      <c r="L59" s="144">
        <f t="shared" si="19"/>
        <v>5</v>
      </c>
      <c r="M59" s="144">
        <f t="shared" si="19"/>
        <v>5</v>
      </c>
      <c r="N59" s="144">
        <f t="shared" si="19"/>
        <v>5</v>
      </c>
      <c r="O59" s="144">
        <f t="shared" si="19"/>
        <v>5</v>
      </c>
      <c r="P59" s="144">
        <f t="shared" si="19"/>
        <v>5</v>
      </c>
      <c r="Q59" s="144">
        <f t="shared" si="19"/>
        <v>5</v>
      </c>
      <c r="R59" s="144">
        <f t="shared" si="19"/>
        <v>5</v>
      </c>
      <c r="S59" s="144">
        <f t="shared" si="19"/>
        <v>5</v>
      </c>
      <c r="T59" s="144">
        <f t="shared" si="19"/>
        <v>5</v>
      </c>
      <c r="U59" s="144">
        <f t="shared" si="19"/>
        <v>5</v>
      </c>
      <c r="V59" s="144">
        <f t="shared" si="19"/>
        <v>5</v>
      </c>
      <c r="W59" s="144">
        <f t="shared" si="19"/>
        <v>5</v>
      </c>
      <c r="X59" s="144">
        <f t="shared" si="19"/>
        <v>5</v>
      </c>
      <c r="Y59" s="144">
        <f t="shared" si="19"/>
        <v>5</v>
      </c>
      <c r="Z59" s="144">
        <f t="shared" si="19"/>
        <v>5</v>
      </c>
      <c r="AA59" s="144">
        <f t="shared" si="19"/>
        <v>5</v>
      </c>
      <c r="AB59" s="144">
        <f t="shared" si="19"/>
        <v>5</v>
      </c>
      <c r="AC59" s="144">
        <f t="shared" si="19"/>
        <v>5</v>
      </c>
      <c r="AD59" s="144">
        <f t="shared" si="19"/>
        <v>5</v>
      </c>
      <c r="AE59" s="144">
        <f t="shared" si="19"/>
        <v>5</v>
      </c>
      <c r="AF59" s="144">
        <f t="shared" si="19"/>
        <v>5</v>
      </c>
      <c r="AG59" s="144">
        <f t="shared" si="19"/>
        <v>5</v>
      </c>
      <c r="AH59" s="144">
        <f t="shared" si="19"/>
        <v>5</v>
      </c>
      <c r="AI59" s="144">
        <f t="shared" si="19"/>
        <v>5</v>
      </c>
      <c r="AJ59" s="144">
        <f t="shared" si="19"/>
        <v>5</v>
      </c>
      <c r="AK59" s="144">
        <f t="shared" si="19"/>
        <v>5</v>
      </c>
      <c r="AL59" s="21"/>
      <c r="AM59" s="45"/>
    </row>
    <row r="60" ht="14.25" customHeight="1">
      <c r="A60" s="142"/>
      <c r="B60" s="146" t="s">
        <v>157</v>
      </c>
      <c r="C60" s="147"/>
      <c r="D60" s="147"/>
      <c r="E60" s="147"/>
      <c r="F60" s="148"/>
      <c r="G60" s="269">
        <f t="shared" ref="G60:AK60" si="20">COUNTA(#REF!,#REF!)</f>
        <v>2</v>
      </c>
      <c r="H60" s="269">
        <f t="shared" si="20"/>
        <v>2</v>
      </c>
      <c r="I60" s="269">
        <f t="shared" si="20"/>
        <v>2</v>
      </c>
      <c r="J60" s="269">
        <f t="shared" si="20"/>
        <v>2</v>
      </c>
      <c r="K60" s="269">
        <f t="shared" si="20"/>
        <v>2</v>
      </c>
      <c r="L60" s="269">
        <f t="shared" si="20"/>
        <v>2</v>
      </c>
      <c r="M60" s="269">
        <f t="shared" si="20"/>
        <v>2</v>
      </c>
      <c r="N60" s="269">
        <f t="shared" si="20"/>
        <v>2</v>
      </c>
      <c r="O60" s="269">
        <f t="shared" si="20"/>
        <v>2</v>
      </c>
      <c r="P60" s="269">
        <f t="shared" si="20"/>
        <v>2</v>
      </c>
      <c r="Q60" s="269">
        <f t="shared" si="20"/>
        <v>2</v>
      </c>
      <c r="R60" s="269">
        <f t="shared" si="20"/>
        <v>2</v>
      </c>
      <c r="S60" s="269">
        <f t="shared" si="20"/>
        <v>2</v>
      </c>
      <c r="T60" s="269">
        <f t="shared" si="20"/>
        <v>2</v>
      </c>
      <c r="U60" s="269">
        <f t="shared" si="20"/>
        <v>2</v>
      </c>
      <c r="V60" s="269">
        <f t="shared" si="20"/>
        <v>2</v>
      </c>
      <c r="W60" s="269">
        <f t="shared" si="20"/>
        <v>2</v>
      </c>
      <c r="X60" s="269">
        <f t="shared" si="20"/>
        <v>2</v>
      </c>
      <c r="Y60" s="269">
        <f t="shared" si="20"/>
        <v>2</v>
      </c>
      <c r="Z60" s="269">
        <f t="shared" si="20"/>
        <v>2</v>
      </c>
      <c r="AA60" s="269">
        <f t="shared" si="20"/>
        <v>2</v>
      </c>
      <c r="AB60" s="269">
        <f t="shared" si="20"/>
        <v>2</v>
      </c>
      <c r="AC60" s="269">
        <f t="shared" si="20"/>
        <v>2</v>
      </c>
      <c r="AD60" s="269">
        <f t="shared" si="20"/>
        <v>2</v>
      </c>
      <c r="AE60" s="269">
        <f t="shared" si="20"/>
        <v>2</v>
      </c>
      <c r="AF60" s="269">
        <f t="shared" si="20"/>
        <v>2</v>
      </c>
      <c r="AG60" s="269">
        <f t="shared" si="20"/>
        <v>2</v>
      </c>
      <c r="AH60" s="269">
        <f t="shared" si="20"/>
        <v>2</v>
      </c>
      <c r="AI60" s="269">
        <f t="shared" si="20"/>
        <v>2</v>
      </c>
      <c r="AJ60" s="269">
        <f t="shared" si="20"/>
        <v>2</v>
      </c>
      <c r="AK60" s="269">
        <f t="shared" si="20"/>
        <v>2</v>
      </c>
      <c r="AL60" s="21"/>
      <c r="AM60" s="45"/>
    </row>
    <row r="61" ht="14.25" customHeight="1">
      <c r="A61" s="2"/>
      <c r="B61" s="3"/>
      <c r="C61" s="2"/>
      <c r="D61" s="2"/>
      <c r="E61" s="2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280"/>
      <c r="AM61" s="11"/>
    </row>
    <row r="62" ht="14.25" customHeight="1">
      <c r="A62" s="152"/>
      <c r="B62" s="153"/>
      <c r="C62" s="154"/>
      <c r="D62" s="155" t="s">
        <v>159</v>
      </c>
      <c r="E62" s="155"/>
      <c r="F62" s="156"/>
      <c r="G62" s="213">
        <f t="shared" ref="G62:AG62" si="21">COUNTA(G10,G11:G14,#REF!,G24:G26,G52,G23:G48,G34)</f>
        <v>12</v>
      </c>
      <c r="H62" s="213">
        <f t="shared" si="21"/>
        <v>11</v>
      </c>
      <c r="I62" s="213">
        <f t="shared" si="21"/>
        <v>8</v>
      </c>
      <c r="J62" s="213">
        <f t="shared" si="21"/>
        <v>9</v>
      </c>
      <c r="K62" s="213">
        <f t="shared" si="21"/>
        <v>8</v>
      </c>
      <c r="L62" s="213">
        <f t="shared" si="21"/>
        <v>9</v>
      </c>
      <c r="M62" s="213">
        <f t="shared" si="21"/>
        <v>10</v>
      </c>
      <c r="N62" s="213">
        <f t="shared" si="21"/>
        <v>11</v>
      </c>
      <c r="O62" s="213">
        <f t="shared" si="21"/>
        <v>12</v>
      </c>
      <c r="P62" s="213">
        <f t="shared" si="21"/>
        <v>8</v>
      </c>
      <c r="Q62" s="213">
        <f t="shared" si="21"/>
        <v>8</v>
      </c>
      <c r="R62" s="213">
        <f t="shared" si="21"/>
        <v>8</v>
      </c>
      <c r="S62" s="213">
        <f t="shared" si="21"/>
        <v>8</v>
      </c>
      <c r="T62" s="213">
        <f t="shared" si="21"/>
        <v>9</v>
      </c>
      <c r="U62" s="213">
        <f t="shared" si="21"/>
        <v>8</v>
      </c>
      <c r="V62" s="213">
        <f t="shared" si="21"/>
        <v>8</v>
      </c>
      <c r="W62" s="213">
        <f t="shared" si="21"/>
        <v>6</v>
      </c>
      <c r="X62" s="213">
        <f t="shared" si="21"/>
        <v>6</v>
      </c>
      <c r="Y62" s="213">
        <f t="shared" si="21"/>
        <v>7</v>
      </c>
      <c r="Z62" s="213">
        <f t="shared" si="21"/>
        <v>9</v>
      </c>
      <c r="AA62" s="213">
        <f t="shared" si="21"/>
        <v>12</v>
      </c>
      <c r="AB62" s="213">
        <f t="shared" si="21"/>
        <v>10</v>
      </c>
      <c r="AC62" s="213">
        <f t="shared" si="21"/>
        <v>9</v>
      </c>
      <c r="AD62" s="213">
        <f t="shared" si="21"/>
        <v>10</v>
      </c>
      <c r="AE62" s="213">
        <f t="shared" si="21"/>
        <v>6</v>
      </c>
      <c r="AF62" s="213">
        <f t="shared" si="21"/>
        <v>8</v>
      </c>
      <c r="AG62" s="213">
        <f t="shared" si="21"/>
        <v>6</v>
      </c>
      <c r="AH62" s="213"/>
      <c r="AI62" s="213"/>
      <c r="AJ62" s="213"/>
      <c r="AK62" s="213"/>
      <c r="AL62" s="287">
        <f t="shared" ref="AL62:AL65" si="23">SUM(G62:AJ62)</f>
        <v>236</v>
      </c>
      <c r="AM62" s="158">
        <v>250.0</v>
      </c>
    </row>
    <row r="63" ht="14.25" customHeight="1">
      <c r="A63" s="159"/>
      <c r="B63" s="160"/>
      <c r="C63" s="161"/>
      <c r="D63" s="162" t="s">
        <v>160</v>
      </c>
      <c r="E63" s="162"/>
      <c r="F63" s="163"/>
      <c r="G63" s="289">
        <f>COUNTA(G10,#REF!,#REF!,H14,G23:G48,G24:G52)</f>
        <v>21</v>
      </c>
      <c r="H63" s="289">
        <f>COUNTA(H10,#REF!,#REF!,#REF!,H23:H48,H24:H52)</f>
        <v>20</v>
      </c>
      <c r="I63" s="289">
        <f t="shared" ref="I63:AG63" si="22">COUNTA(I10,#REF!,#REF!,I14,I23:I48,I24:I52)</f>
        <v>15</v>
      </c>
      <c r="J63" s="289">
        <f t="shared" si="22"/>
        <v>14</v>
      </c>
      <c r="K63" s="289">
        <f t="shared" si="22"/>
        <v>13</v>
      </c>
      <c r="L63" s="289">
        <f t="shared" si="22"/>
        <v>15</v>
      </c>
      <c r="M63" s="289">
        <f t="shared" si="22"/>
        <v>17</v>
      </c>
      <c r="N63" s="289">
        <f t="shared" si="22"/>
        <v>17</v>
      </c>
      <c r="O63" s="289">
        <f t="shared" si="22"/>
        <v>23</v>
      </c>
      <c r="P63" s="289">
        <f t="shared" si="22"/>
        <v>15</v>
      </c>
      <c r="Q63" s="289">
        <f t="shared" si="22"/>
        <v>14</v>
      </c>
      <c r="R63" s="289">
        <f t="shared" si="22"/>
        <v>15</v>
      </c>
      <c r="S63" s="289">
        <f t="shared" si="22"/>
        <v>13</v>
      </c>
      <c r="T63" s="289">
        <f t="shared" si="22"/>
        <v>15</v>
      </c>
      <c r="U63" s="289">
        <f t="shared" si="22"/>
        <v>15</v>
      </c>
      <c r="V63" s="289">
        <f t="shared" si="22"/>
        <v>15</v>
      </c>
      <c r="W63" s="289">
        <f t="shared" si="22"/>
        <v>12</v>
      </c>
      <c r="X63" s="289">
        <f t="shared" si="22"/>
        <v>11</v>
      </c>
      <c r="Y63" s="289">
        <f t="shared" si="22"/>
        <v>13</v>
      </c>
      <c r="Z63" s="289">
        <f t="shared" si="22"/>
        <v>16</v>
      </c>
      <c r="AA63" s="289">
        <f t="shared" si="22"/>
        <v>19</v>
      </c>
      <c r="AB63" s="289">
        <f t="shared" si="22"/>
        <v>17</v>
      </c>
      <c r="AC63" s="289">
        <f t="shared" si="22"/>
        <v>15</v>
      </c>
      <c r="AD63" s="289">
        <f t="shared" si="22"/>
        <v>15</v>
      </c>
      <c r="AE63" s="289">
        <f t="shared" si="22"/>
        <v>13</v>
      </c>
      <c r="AF63" s="289">
        <f t="shared" si="22"/>
        <v>13</v>
      </c>
      <c r="AG63" s="289">
        <f t="shared" si="22"/>
        <v>11</v>
      </c>
      <c r="AH63" s="289"/>
      <c r="AI63" s="289"/>
      <c r="AJ63" s="289"/>
      <c r="AK63" s="289"/>
      <c r="AL63" s="294">
        <f t="shared" si="23"/>
        <v>412</v>
      </c>
      <c r="AM63" s="158"/>
    </row>
    <row r="64" ht="14.25" customHeight="1">
      <c r="A64" s="166"/>
      <c r="B64" s="167"/>
      <c r="C64" s="168"/>
      <c r="D64" s="169" t="s">
        <v>161</v>
      </c>
      <c r="E64" s="169"/>
      <c r="F64" s="170"/>
      <c r="G64" s="295">
        <f t="shared" ref="G64:AG64" si="24">COUNTA(G23:G48,G34,G52:G53)</f>
        <v>9</v>
      </c>
      <c r="H64" s="295">
        <f t="shared" si="24"/>
        <v>9</v>
      </c>
      <c r="I64" s="295">
        <f t="shared" si="24"/>
        <v>7</v>
      </c>
      <c r="J64" s="295">
        <f t="shared" si="24"/>
        <v>6</v>
      </c>
      <c r="K64" s="295">
        <f t="shared" si="24"/>
        <v>6</v>
      </c>
      <c r="L64" s="295">
        <f t="shared" si="24"/>
        <v>7</v>
      </c>
      <c r="M64" s="295">
        <f t="shared" si="24"/>
        <v>7</v>
      </c>
      <c r="N64" s="295">
        <f t="shared" si="24"/>
        <v>9</v>
      </c>
      <c r="O64" s="295">
        <f t="shared" si="24"/>
        <v>10</v>
      </c>
      <c r="P64" s="295">
        <f t="shared" si="24"/>
        <v>6</v>
      </c>
      <c r="Q64" s="295">
        <f t="shared" si="24"/>
        <v>6</v>
      </c>
      <c r="R64" s="295">
        <f t="shared" si="24"/>
        <v>7</v>
      </c>
      <c r="S64" s="295">
        <f t="shared" si="24"/>
        <v>5</v>
      </c>
      <c r="T64" s="295">
        <f t="shared" si="24"/>
        <v>6</v>
      </c>
      <c r="U64" s="295">
        <f t="shared" si="24"/>
        <v>7</v>
      </c>
      <c r="V64" s="295">
        <f t="shared" si="24"/>
        <v>6</v>
      </c>
      <c r="W64" s="295">
        <f t="shared" si="24"/>
        <v>5</v>
      </c>
      <c r="X64" s="295">
        <f t="shared" si="24"/>
        <v>5</v>
      </c>
      <c r="Y64" s="295">
        <f t="shared" si="24"/>
        <v>5</v>
      </c>
      <c r="Z64" s="295">
        <f t="shared" si="24"/>
        <v>7</v>
      </c>
      <c r="AA64" s="295">
        <f t="shared" si="24"/>
        <v>10</v>
      </c>
      <c r="AB64" s="295">
        <f t="shared" si="24"/>
        <v>7</v>
      </c>
      <c r="AC64" s="295">
        <f t="shared" si="24"/>
        <v>7</v>
      </c>
      <c r="AD64" s="295">
        <f t="shared" si="24"/>
        <v>7</v>
      </c>
      <c r="AE64" s="295">
        <f t="shared" si="24"/>
        <v>6</v>
      </c>
      <c r="AF64" s="295">
        <f t="shared" si="24"/>
        <v>6</v>
      </c>
      <c r="AG64" s="295">
        <f t="shared" si="24"/>
        <v>6</v>
      </c>
      <c r="AH64" s="295"/>
      <c r="AI64" s="295"/>
      <c r="AJ64" s="295"/>
      <c r="AK64" s="295"/>
      <c r="AL64" s="301">
        <f t="shared" si="23"/>
        <v>184</v>
      </c>
      <c r="AM64" s="173">
        <f>AM62*AL66</f>
        <v>229750</v>
      </c>
    </row>
    <row r="65" ht="14.25" customHeight="1">
      <c r="A65" s="174"/>
      <c r="B65" s="175"/>
      <c r="C65" s="176"/>
      <c r="D65" s="177" t="s">
        <v>162</v>
      </c>
      <c r="E65" s="177"/>
      <c r="F65" s="178"/>
      <c r="G65" s="302">
        <f t="shared" ref="G65:AG65" si="25">COUNTA(#REF!,#REF!,G34,#REF!)</f>
        <v>3</v>
      </c>
      <c r="H65" s="302">
        <f t="shared" si="25"/>
        <v>3</v>
      </c>
      <c r="I65" s="302">
        <f t="shared" si="25"/>
        <v>4</v>
      </c>
      <c r="J65" s="302">
        <f t="shared" si="25"/>
        <v>3</v>
      </c>
      <c r="K65" s="302">
        <f t="shared" si="25"/>
        <v>3</v>
      </c>
      <c r="L65" s="302">
        <f t="shared" si="25"/>
        <v>4</v>
      </c>
      <c r="M65" s="302">
        <f t="shared" si="25"/>
        <v>3</v>
      </c>
      <c r="N65" s="302">
        <f t="shared" si="25"/>
        <v>4</v>
      </c>
      <c r="O65" s="302">
        <f t="shared" si="25"/>
        <v>3</v>
      </c>
      <c r="P65" s="302">
        <f t="shared" si="25"/>
        <v>3</v>
      </c>
      <c r="Q65" s="302">
        <f t="shared" si="25"/>
        <v>3</v>
      </c>
      <c r="R65" s="302">
        <f t="shared" si="25"/>
        <v>3</v>
      </c>
      <c r="S65" s="302">
        <f t="shared" si="25"/>
        <v>3</v>
      </c>
      <c r="T65" s="302">
        <f t="shared" si="25"/>
        <v>3</v>
      </c>
      <c r="U65" s="302">
        <f t="shared" si="25"/>
        <v>3</v>
      </c>
      <c r="V65" s="302">
        <f t="shared" si="25"/>
        <v>3</v>
      </c>
      <c r="W65" s="302">
        <f t="shared" si="25"/>
        <v>3</v>
      </c>
      <c r="X65" s="302">
        <f t="shared" si="25"/>
        <v>3</v>
      </c>
      <c r="Y65" s="302">
        <f t="shared" si="25"/>
        <v>3</v>
      </c>
      <c r="Z65" s="302">
        <f t="shared" si="25"/>
        <v>3</v>
      </c>
      <c r="AA65" s="302">
        <f t="shared" si="25"/>
        <v>4</v>
      </c>
      <c r="AB65" s="302">
        <f t="shared" si="25"/>
        <v>3</v>
      </c>
      <c r="AC65" s="302">
        <f t="shared" si="25"/>
        <v>3</v>
      </c>
      <c r="AD65" s="302">
        <f t="shared" si="25"/>
        <v>4</v>
      </c>
      <c r="AE65" s="302">
        <f t="shared" si="25"/>
        <v>3</v>
      </c>
      <c r="AF65" s="302">
        <f t="shared" si="25"/>
        <v>3</v>
      </c>
      <c r="AG65" s="302">
        <f t="shared" si="25"/>
        <v>4</v>
      </c>
      <c r="AH65" s="302"/>
      <c r="AI65" s="302"/>
      <c r="AJ65" s="302"/>
      <c r="AK65" s="302"/>
      <c r="AL65" s="302">
        <f t="shared" si="23"/>
        <v>87</v>
      </c>
      <c r="AM65" s="180"/>
    </row>
    <row r="66" ht="14.25" customHeight="1">
      <c r="A66" s="146" t="s">
        <v>163</v>
      </c>
      <c r="B66" s="147"/>
      <c r="C66" s="147"/>
      <c r="D66" s="147"/>
      <c r="E66" s="147"/>
      <c r="F66" s="148"/>
      <c r="G66" s="144">
        <f t="shared" ref="G66:AG66" si="26">SUM(G62:G65)</f>
        <v>45</v>
      </c>
      <c r="H66" s="144">
        <f t="shared" si="26"/>
        <v>43</v>
      </c>
      <c r="I66" s="144">
        <f t="shared" si="26"/>
        <v>34</v>
      </c>
      <c r="J66" s="144">
        <f t="shared" si="26"/>
        <v>32</v>
      </c>
      <c r="K66" s="144">
        <f t="shared" si="26"/>
        <v>30</v>
      </c>
      <c r="L66" s="144">
        <f t="shared" si="26"/>
        <v>35</v>
      </c>
      <c r="M66" s="144">
        <f t="shared" si="26"/>
        <v>37</v>
      </c>
      <c r="N66" s="144">
        <f t="shared" si="26"/>
        <v>41</v>
      </c>
      <c r="O66" s="144">
        <f t="shared" si="26"/>
        <v>48</v>
      </c>
      <c r="P66" s="144">
        <f t="shared" si="26"/>
        <v>32</v>
      </c>
      <c r="Q66" s="144">
        <f t="shared" si="26"/>
        <v>31</v>
      </c>
      <c r="R66" s="144">
        <f t="shared" si="26"/>
        <v>33</v>
      </c>
      <c r="S66" s="144">
        <f t="shared" si="26"/>
        <v>29</v>
      </c>
      <c r="T66" s="144">
        <f t="shared" si="26"/>
        <v>33</v>
      </c>
      <c r="U66" s="144">
        <f t="shared" si="26"/>
        <v>33</v>
      </c>
      <c r="V66" s="144">
        <f t="shared" si="26"/>
        <v>32</v>
      </c>
      <c r="W66" s="144">
        <f t="shared" si="26"/>
        <v>26</v>
      </c>
      <c r="X66" s="144">
        <f t="shared" si="26"/>
        <v>25</v>
      </c>
      <c r="Y66" s="144">
        <f t="shared" si="26"/>
        <v>28</v>
      </c>
      <c r="Z66" s="144">
        <f t="shared" si="26"/>
        <v>35</v>
      </c>
      <c r="AA66" s="144">
        <f t="shared" si="26"/>
        <v>45</v>
      </c>
      <c r="AB66" s="144">
        <f t="shared" si="26"/>
        <v>37</v>
      </c>
      <c r="AC66" s="144">
        <f t="shared" si="26"/>
        <v>34</v>
      </c>
      <c r="AD66" s="144">
        <f t="shared" si="26"/>
        <v>36</v>
      </c>
      <c r="AE66" s="144">
        <f t="shared" si="26"/>
        <v>28</v>
      </c>
      <c r="AF66" s="144">
        <f t="shared" si="26"/>
        <v>30</v>
      </c>
      <c r="AG66" s="144">
        <f t="shared" si="26"/>
        <v>27</v>
      </c>
      <c r="AH66" s="144"/>
      <c r="AI66" s="144"/>
      <c r="AJ66" s="144"/>
      <c r="AK66" s="144"/>
      <c r="AL66" s="144">
        <f>SUM(AL62:AL65)</f>
        <v>919</v>
      </c>
      <c r="AM66" s="181"/>
    </row>
    <row r="67" ht="14.25" customHeight="1">
      <c r="A67" s="2"/>
      <c r="B67" s="182" t="s">
        <v>164</v>
      </c>
      <c r="C67" s="182"/>
      <c r="D67" s="182"/>
      <c r="E67" s="18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  <c r="U67" s="5"/>
      <c r="V67" s="4"/>
      <c r="W67" s="4"/>
      <c r="X67" s="4"/>
      <c r="Y67" s="4"/>
      <c r="Z67" s="5"/>
      <c r="AA67" s="5"/>
      <c r="AB67" s="5"/>
      <c r="AC67" s="4"/>
      <c r="AD67" s="4"/>
      <c r="AE67" s="4"/>
      <c r="AF67" s="4"/>
      <c r="AG67" s="5"/>
      <c r="AH67" s="5"/>
      <c r="AI67" s="5"/>
      <c r="AJ67" s="5"/>
      <c r="AK67" s="5"/>
      <c r="AL67" s="2"/>
      <c r="AM67" s="183"/>
    </row>
    <row r="68" ht="14.25" customHeight="1">
      <c r="A68" s="2"/>
      <c r="B68" s="182" t="s">
        <v>165</v>
      </c>
      <c r="C68" s="2"/>
      <c r="D68" s="2"/>
      <c r="E68" s="2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11"/>
      <c r="AM68" s="2"/>
    </row>
    <row r="69" ht="14.25" customHeight="1">
      <c r="A69" s="2"/>
      <c r="B69" s="182" t="s">
        <v>166</v>
      </c>
      <c r="C69" s="184"/>
      <c r="D69" s="184"/>
      <c r="E69" s="2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11"/>
      <c r="AM69" s="2"/>
    </row>
    <row r="70" ht="14.25" customHeight="1">
      <c r="A70" s="2"/>
      <c r="B70" s="182"/>
      <c r="C70" s="184"/>
      <c r="D70" s="184"/>
      <c r="E70" s="4" t="s">
        <v>167</v>
      </c>
      <c r="G70" s="463"/>
      <c r="H70" s="463"/>
      <c r="I70" s="5"/>
      <c r="J70" s="5"/>
      <c r="K70" s="5"/>
      <c r="L70" s="5"/>
      <c r="M70" s="5"/>
      <c r="N70" s="5"/>
      <c r="O70" s="5"/>
      <c r="P70" s="5" t="s">
        <v>168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11"/>
      <c r="AM70" s="2"/>
    </row>
    <row r="71" ht="14.25" customHeight="1">
      <c r="A71" s="2"/>
      <c r="B71" s="3"/>
      <c r="C71" s="2"/>
      <c r="D71" s="2"/>
      <c r="E71" s="2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11"/>
      <c r="AM71" s="11"/>
    </row>
    <row r="72" ht="14.25" customHeight="1">
      <c r="A72" s="2"/>
      <c r="B72" s="3"/>
      <c r="C72" s="2"/>
      <c r="D72" s="2"/>
      <c r="E72" s="4" t="s">
        <v>169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 t="s">
        <v>170</v>
      </c>
      <c r="T72" s="5"/>
      <c r="U72" s="5"/>
      <c r="V72" s="5" t="s">
        <v>171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11"/>
      <c r="AM72" s="11"/>
    </row>
    <row r="73" ht="14.25" customHeight="1">
      <c r="A73" s="2"/>
      <c r="B73" s="3"/>
      <c r="C73" s="2"/>
      <c r="D73" s="2"/>
      <c r="E73" s="2"/>
      <c r="F73" s="18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4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11"/>
      <c r="AM73" s="11"/>
    </row>
    <row r="74" ht="30.75" customHeight="1">
      <c r="A74" s="2"/>
      <c r="B74" s="3"/>
      <c r="C74" s="2"/>
      <c r="D74" s="2"/>
      <c r="E74" s="185" t="s">
        <v>172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170</v>
      </c>
      <c r="T74" s="5"/>
      <c r="U74" s="5"/>
      <c r="V74" s="5" t="s">
        <v>171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11"/>
      <c r="AM74" s="11"/>
    </row>
    <row r="75" ht="14.25" customHeight="1">
      <c r="A75" s="11"/>
      <c r="B75" s="3"/>
      <c r="C75" s="2"/>
      <c r="D75" s="186"/>
      <c r="E75" s="2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11"/>
      <c r="AM75" s="11"/>
    </row>
    <row r="76" ht="14.25" customHeight="1">
      <c r="F76" s="187"/>
      <c r="AA76" s="1"/>
    </row>
    <row r="77" ht="14.25" customHeight="1">
      <c r="F77" s="187"/>
      <c r="AA77" s="1"/>
    </row>
    <row r="78" ht="14.25" customHeight="1">
      <c r="F78" s="187"/>
      <c r="AA78" s="1"/>
    </row>
    <row r="79" ht="14.25" customHeight="1">
      <c r="F79" s="187"/>
      <c r="AA79" s="1"/>
    </row>
    <row r="80" ht="15.75" customHeight="1">
      <c r="F80" s="187"/>
      <c r="AA80" s="1"/>
    </row>
    <row r="81" ht="14.25" customHeight="1">
      <c r="F81" s="187"/>
      <c r="AA81" s="1"/>
    </row>
    <row r="82" ht="14.25" customHeight="1">
      <c r="F82" s="187"/>
      <c r="AA82" s="1"/>
    </row>
    <row r="83" ht="14.25" customHeight="1">
      <c r="F83" s="187"/>
      <c r="AA83" s="1"/>
    </row>
    <row r="84" ht="14.25" customHeight="1">
      <c r="F84" s="187"/>
      <c r="AA84" s="1"/>
    </row>
    <row r="85" ht="14.25" customHeight="1">
      <c r="F85" s="187"/>
      <c r="AA85" s="1"/>
    </row>
    <row r="86" ht="14.25" customHeight="1">
      <c r="F86" s="187"/>
      <c r="AA86" s="1"/>
    </row>
    <row r="87" ht="14.25" customHeight="1">
      <c r="F87" s="187"/>
      <c r="AA87" s="1"/>
    </row>
    <row r="88" ht="14.25" customHeight="1">
      <c r="F88" s="187"/>
      <c r="AA88" s="1"/>
    </row>
    <row r="89" ht="14.25" customHeight="1">
      <c r="F89" s="187"/>
      <c r="AA89" s="1"/>
    </row>
    <row r="90" ht="14.25" customHeight="1">
      <c r="F90" s="187"/>
      <c r="AA90" s="1"/>
    </row>
    <row r="91" ht="14.25" customHeight="1">
      <c r="F91" s="187"/>
      <c r="AA91" s="1"/>
    </row>
    <row r="92" ht="14.25" customHeight="1">
      <c r="F92" s="187"/>
      <c r="AA92" s="1"/>
    </row>
    <row r="93" ht="14.25" customHeight="1">
      <c r="F93" s="187"/>
      <c r="AA93" s="1"/>
    </row>
    <row r="94" ht="14.25" customHeight="1">
      <c r="F94" s="187"/>
      <c r="AA94" s="1"/>
    </row>
    <row r="95" ht="14.25" customHeight="1">
      <c r="F95" s="187"/>
      <c r="AA95" s="1"/>
    </row>
    <row r="96" ht="14.25" customHeight="1">
      <c r="F96" s="187"/>
      <c r="AA96" s="1"/>
    </row>
    <row r="97" ht="14.25" customHeight="1">
      <c r="F97" s="187"/>
      <c r="AA97" s="1"/>
    </row>
    <row r="98" ht="14.25" customHeight="1">
      <c r="F98" s="187"/>
      <c r="AA98" s="1"/>
    </row>
    <row r="99" ht="14.25" customHeight="1">
      <c r="F99" s="187"/>
      <c r="AA99" s="1"/>
    </row>
    <row r="100" ht="14.25" customHeight="1">
      <c r="F100" s="187"/>
      <c r="AA100" s="1"/>
    </row>
    <row r="101" ht="14.25" customHeight="1">
      <c r="F101" s="187"/>
      <c r="AA101" s="1"/>
    </row>
    <row r="102" ht="14.25" customHeight="1">
      <c r="F102" s="187"/>
      <c r="AA102" s="1"/>
    </row>
    <row r="103" ht="14.25" customHeight="1">
      <c r="F103" s="187"/>
      <c r="AA103" s="1"/>
    </row>
    <row r="104" ht="14.25" customHeight="1">
      <c r="F104" s="187"/>
      <c r="AA104" s="1"/>
    </row>
    <row r="105" ht="14.25" customHeight="1">
      <c r="F105" s="187"/>
      <c r="AA105" s="1"/>
    </row>
    <row r="106" ht="14.25" customHeight="1">
      <c r="F106" s="187"/>
      <c r="AA106" s="1"/>
    </row>
    <row r="107" ht="14.25" customHeight="1">
      <c r="F107" s="187"/>
      <c r="AA107" s="1"/>
    </row>
    <row r="108" ht="14.25" customHeight="1">
      <c r="F108" s="187"/>
      <c r="AA108" s="1"/>
    </row>
    <row r="109" ht="14.25" customHeight="1">
      <c r="F109" s="187"/>
      <c r="AA109" s="1"/>
    </row>
    <row r="110" ht="14.25" customHeight="1">
      <c r="F110" s="187"/>
      <c r="AA110" s="1"/>
    </row>
    <row r="111" ht="14.25" customHeight="1">
      <c r="F111" s="187"/>
      <c r="AA111" s="1"/>
    </row>
    <row r="112" ht="14.25" customHeight="1">
      <c r="F112" s="187"/>
      <c r="AA112" s="1"/>
    </row>
    <row r="113" ht="14.25" customHeight="1">
      <c r="F113" s="187"/>
      <c r="AA113" s="1"/>
    </row>
    <row r="114" ht="14.25" customHeight="1">
      <c r="F114" s="187"/>
      <c r="AA114" s="1"/>
    </row>
    <row r="115" ht="14.25" customHeight="1">
      <c r="F115" s="187"/>
      <c r="AA115" s="1"/>
    </row>
    <row r="116" ht="14.25" customHeight="1">
      <c r="F116" s="187"/>
      <c r="AA116" s="1"/>
    </row>
    <row r="117" ht="14.25" customHeight="1">
      <c r="F117" s="187"/>
      <c r="AA117" s="1"/>
    </row>
    <row r="118" ht="14.25" customHeight="1">
      <c r="F118" s="187"/>
      <c r="AA118" s="1"/>
    </row>
    <row r="119" ht="14.25" customHeight="1">
      <c r="F119" s="187"/>
      <c r="AA119" s="1"/>
    </row>
    <row r="120" ht="14.25" customHeight="1">
      <c r="F120" s="187"/>
      <c r="AA120" s="1"/>
    </row>
    <row r="121" ht="14.25" customHeight="1">
      <c r="F121" s="187"/>
      <c r="AA121" s="1"/>
    </row>
    <row r="122" ht="14.25" customHeight="1">
      <c r="F122" s="187"/>
      <c r="AA122" s="1"/>
    </row>
    <row r="123" ht="14.25" customHeight="1">
      <c r="F123" s="187"/>
      <c r="AA123" s="1"/>
    </row>
    <row r="124" ht="14.25" customHeight="1">
      <c r="F124" s="187"/>
      <c r="AA124" s="1"/>
    </row>
    <row r="125" ht="14.25" customHeight="1">
      <c r="F125" s="187"/>
      <c r="AA125" s="1"/>
    </row>
    <row r="126" ht="14.25" customHeight="1">
      <c r="F126" s="187"/>
      <c r="AA126" s="1"/>
    </row>
    <row r="127" ht="14.25" customHeight="1">
      <c r="F127" s="187"/>
      <c r="AA127" s="1"/>
    </row>
    <row r="128" ht="14.25" customHeight="1">
      <c r="F128" s="187"/>
      <c r="AA128" s="1"/>
    </row>
    <row r="129" ht="14.25" customHeight="1">
      <c r="F129" s="187"/>
      <c r="AA129" s="1"/>
    </row>
    <row r="130" ht="14.25" customHeight="1">
      <c r="F130" s="187"/>
      <c r="AA130" s="1"/>
    </row>
    <row r="131" ht="14.25" customHeight="1">
      <c r="F131" s="187"/>
      <c r="AA131" s="1"/>
    </row>
    <row r="132" ht="14.25" customHeight="1">
      <c r="F132" s="187"/>
      <c r="AA132" s="1"/>
    </row>
    <row r="133" ht="14.25" customHeight="1">
      <c r="F133" s="187"/>
      <c r="AA133" s="1"/>
    </row>
    <row r="134" ht="14.25" customHeight="1">
      <c r="F134" s="187"/>
      <c r="AA134" s="1"/>
    </row>
    <row r="135" ht="14.25" customHeight="1">
      <c r="F135" s="187"/>
      <c r="AA135" s="1"/>
    </row>
    <row r="136" ht="14.25" customHeight="1">
      <c r="F136" s="187"/>
      <c r="AA136" s="1"/>
    </row>
    <row r="137" ht="14.25" customHeight="1">
      <c r="F137" s="187"/>
      <c r="AA137" s="1"/>
    </row>
    <row r="138" ht="14.25" customHeight="1">
      <c r="F138" s="187"/>
      <c r="AA138" s="1"/>
    </row>
    <row r="139" ht="14.25" customHeight="1">
      <c r="F139" s="187"/>
      <c r="AA139" s="1"/>
    </row>
    <row r="140" ht="14.25" customHeight="1">
      <c r="F140" s="187"/>
      <c r="AA140" s="1"/>
    </row>
    <row r="141" ht="14.25" customHeight="1">
      <c r="F141" s="187"/>
      <c r="AA141" s="1"/>
    </row>
    <row r="142" ht="14.25" customHeight="1">
      <c r="F142" s="187"/>
      <c r="AA142" s="1"/>
    </row>
    <row r="143" ht="14.25" customHeight="1">
      <c r="F143" s="187"/>
      <c r="AA143" s="1"/>
    </row>
    <row r="144" ht="14.25" customHeight="1">
      <c r="F144" s="187"/>
      <c r="AA144" s="1"/>
    </row>
    <row r="145" ht="14.25" customHeight="1">
      <c r="F145" s="187"/>
      <c r="AA145" s="1"/>
    </row>
    <row r="146" ht="14.25" customHeight="1">
      <c r="F146" s="187"/>
      <c r="AA146" s="1"/>
    </row>
    <row r="147" ht="14.25" customHeight="1">
      <c r="F147" s="187"/>
      <c r="AA147" s="1"/>
    </row>
    <row r="148" ht="14.25" customHeight="1">
      <c r="F148" s="187"/>
      <c r="AA148" s="1"/>
    </row>
    <row r="149" ht="14.25" customHeight="1">
      <c r="F149" s="187"/>
      <c r="AA149" s="1"/>
    </row>
    <row r="150" ht="14.25" customHeight="1">
      <c r="F150" s="187"/>
      <c r="AA150" s="1"/>
    </row>
    <row r="151" ht="14.25" customHeight="1">
      <c r="F151" s="187"/>
      <c r="AA151" s="1"/>
    </row>
    <row r="152" ht="14.25" customHeight="1">
      <c r="F152" s="187"/>
      <c r="AA152" s="1"/>
    </row>
    <row r="153" ht="14.25" customHeight="1">
      <c r="F153" s="187"/>
      <c r="AA153" s="1"/>
    </row>
    <row r="154" ht="14.25" customHeight="1">
      <c r="F154" s="187"/>
      <c r="AA154" s="1"/>
    </row>
    <row r="155" ht="14.25" customHeight="1">
      <c r="F155" s="187"/>
      <c r="AA155" s="1"/>
    </row>
    <row r="156" ht="14.25" customHeight="1">
      <c r="F156" s="187"/>
      <c r="AA156" s="1"/>
    </row>
    <row r="157" ht="14.25" customHeight="1">
      <c r="F157" s="187"/>
      <c r="AA157" s="1"/>
    </row>
    <row r="158" ht="14.25" customHeight="1">
      <c r="F158" s="187"/>
      <c r="AA158" s="1"/>
    </row>
    <row r="159" ht="14.25" customHeight="1">
      <c r="F159" s="187"/>
      <c r="AA159" s="1"/>
    </row>
    <row r="160" ht="14.25" customHeight="1">
      <c r="F160" s="187"/>
      <c r="AA160" s="1"/>
    </row>
    <row r="161" ht="14.25" customHeight="1">
      <c r="F161" s="187"/>
      <c r="AA161" s="1"/>
    </row>
    <row r="162" ht="14.25" customHeight="1">
      <c r="F162" s="187"/>
      <c r="AA162" s="1"/>
    </row>
    <row r="163" ht="14.25" customHeight="1">
      <c r="F163" s="187"/>
      <c r="AA163" s="1"/>
    </row>
    <row r="164" ht="14.25" customHeight="1">
      <c r="F164" s="187"/>
      <c r="AA164" s="1"/>
    </row>
    <row r="165" ht="14.25" customHeight="1">
      <c r="F165" s="187"/>
      <c r="AA165" s="1"/>
    </row>
    <row r="166" ht="14.25" customHeight="1">
      <c r="F166" s="187"/>
      <c r="AA166" s="1"/>
    </row>
    <row r="167" ht="14.25" customHeight="1">
      <c r="F167" s="187"/>
      <c r="AA167" s="1"/>
    </row>
    <row r="168" ht="14.25" customHeight="1">
      <c r="F168" s="187"/>
      <c r="AA168" s="1"/>
    </row>
    <row r="169" ht="14.25" customHeight="1">
      <c r="F169" s="187"/>
      <c r="AA169" s="1"/>
    </row>
    <row r="170" ht="14.25" customHeight="1">
      <c r="F170" s="187"/>
      <c r="AA170" s="1"/>
    </row>
    <row r="171" ht="14.25" customHeight="1">
      <c r="F171" s="187"/>
      <c r="AA171" s="1"/>
    </row>
    <row r="172" ht="14.25" customHeight="1">
      <c r="F172" s="187"/>
      <c r="AA172" s="1"/>
    </row>
    <row r="173" ht="14.25" customHeight="1">
      <c r="F173" s="187"/>
      <c r="AA173" s="1"/>
    </row>
    <row r="174" ht="14.25" customHeight="1">
      <c r="F174" s="187"/>
      <c r="AA174" s="1"/>
    </row>
    <row r="175" ht="14.25" customHeight="1">
      <c r="F175" s="187"/>
      <c r="AA175" s="1"/>
    </row>
    <row r="176" ht="14.25" customHeight="1">
      <c r="F176" s="187"/>
      <c r="AA176" s="1"/>
    </row>
    <row r="177" ht="14.25" customHeight="1">
      <c r="F177" s="187"/>
      <c r="AA177" s="1"/>
    </row>
    <row r="178" ht="14.25" customHeight="1">
      <c r="F178" s="187"/>
      <c r="AA178" s="1"/>
    </row>
    <row r="179" ht="14.25" customHeight="1">
      <c r="F179" s="187"/>
      <c r="AA179" s="1"/>
    </row>
    <row r="180" ht="14.25" customHeight="1">
      <c r="F180" s="187"/>
      <c r="AA180" s="1"/>
    </row>
    <row r="181" ht="14.25" customHeight="1">
      <c r="F181" s="187"/>
      <c r="AA181" s="1"/>
    </row>
    <row r="182" ht="14.25" customHeight="1">
      <c r="F182" s="187"/>
      <c r="AA182" s="1"/>
    </row>
    <row r="183" ht="14.25" customHeight="1">
      <c r="F183" s="187"/>
      <c r="AA183" s="1"/>
    </row>
    <row r="184" ht="14.25" customHeight="1">
      <c r="F184" s="187"/>
      <c r="AA184" s="1"/>
    </row>
    <row r="185" ht="14.25" customHeight="1">
      <c r="F185" s="187"/>
      <c r="AA185" s="1"/>
    </row>
    <row r="186" ht="14.25" customHeight="1">
      <c r="F186" s="187"/>
      <c r="AA186" s="1"/>
    </row>
    <row r="187" ht="14.25" customHeight="1">
      <c r="F187" s="187"/>
      <c r="AA187" s="1"/>
    </row>
    <row r="188" ht="14.25" customHeight="1">
      <c r="F188" s="187"/>
      <c r="AA188" s="1"/>
    </row>
    <row r="189" ht="14.25" customHeight="1">
      <c r="F189" s="187"/>
      <c r="AA189" s="1"/>
    </row>
    <row r="190" ht="14.25" customHeight="1">
      <c r="F190" s="187"/>
      <c r="AA190" s="1"/>
    </row>
    <row r="191" ht="14.25" customHeight="1">
      <c r="F191" s="187"/>
      <c r="AA191" s="1"/>
    </row>
    <row r="192" ht="14.25" customHeight="1">
      <c r="F192" s="187"/>
      <c r="AA192" s="1"/>
    </row>
    <row r="193" ht="14.25" customHeight="1">
      <c r="F193" s="187"/>
      <c r="AA193" s="1"/>
    </row>
    <row r="194" ht="14.25" customHeight="1">
      <c r="F194" s="187"/>
      <c r="AA194" s="1"/>
    </row>
    <row r="195" ht="14.25" customHeight="1">
      <c r="F195" s="187"/>
      <c r="AA195" s="1"/>
    </row>
    <row r="196" ht="14.25" customHeight="1">
      <c r="F196" s="187"/>
      <c r="AA196" s="1"/>
    </row>
    <row r="197" ht="14.25" customHeight="1">
      <c r="F197" s="187"/>
      <c r="AA197" s="1"/>
    </row>
    <row r="198" ht="14.25" customHeight="1">
      <c r="F198" s="187"/>
      <c r="AA198" s="1"/>
    </row>
    <row r="199" ht="14.25" customHeight="1">
      <c r="F199" s="187"/>
      <c r="AA199" s="1"/>
    </row>
    <row r="200" ht="14.25" customHeight="1">
      <c r="F200" s="187"/>
      <c r="AA200" s="1"/>
    </row>
    <row r="201" ht="14.25" customHeight="1">
      <c r="F201" s="187"/>
      <c r="AA201" s="1"/>
    </row>
    <row r="202" ht="14.25" customHeight="1">
      <c r="F202" s="187"/>
      <c r="AA202" s="1"/>
    </row>
    <row r="203" ht="14.25" customHeight="1">
      <c r="F203" s="187"/>
      <c r="AA203" s="1"/>
    </row>
    <row r="204" ht="14.25" customHeight="1">
      <c r="F204" s="187"/>
      <c r="AA204" s="1"/>
    </row>
    <row r="205" ht="14.25" customHeight="1">
      <c r="F205" s="187"/>
      <c r="AA205" s="1"/>
    </row>
    <row r="206" ht="14.25" customHeight="1">
      <c r="F206" s="187"/>
      <c r="AA206" s="1"/>
    </row>
    <row r="207" ht="14.25" customHeight="1">
      <c r="F207" s="187"/>
      <c r="AA207" s="1"/>
    </row>
    <row r="208" ht="14.25" customHeight="1">
      <c r="F208" s="187"/>
      <c r="AA208" s="1"/>
    </row>
    <row r="209" ht="14.25" customHeight="1">
      <c r="F209" s="187"/>
      <c r="AA209" s="1"/>
    </row>
    <row r="210" ht="14.25" customHeight="1">
      <c r="F210" s="187"/>
      <c r="AA210" s="1"/>
    </row>
    <row r="211" ht="14.25" customHeight="1">
      <c r="F211" s="187"/>
      <c r="AA211" s="1"/>
    </row>
    <row r="212" ht="14.25" customHeight="1">
      <c r="F212" s="187"/>
      <c r="AA212" s="1"/>
    </row>
    <row r="213" ht="14.25" customHeight="1">
      <c r="F213" s="187"/>
      <c r="AA213" s="1"/>
    </row>
    <row r="214" ht="14.25" customHeight="1">
      <c r="F214" s="187"/>
      <c r="AA214" s="1"/>
    </row>
    <row r="215" ht="14.25" customHeight="1">
      <c r="F215" s="187"/>
      <c r="AA215" s="1"/>
    </row>
    <row r="216" ht="14.25" customHeight="1">
      <c r="F216" s="187"/>
      <c r="AA216" s="1"/>
    </row>
    <row r="217" ht="14.25" customHeight="1">
      <c r="F217" s="187"/>
      <c r="AA217" s="1"/>
    </row>
    <row r="218" ht="14.25" customHeight="1">
      <c r="F218" s="187"/>
      <c r="AA218" s="1"/>
    </row>
    <row r="219" ht="14.25" customHeight="1">
      <c r="F219" s="187"/>
      <c r="AA219" s="1"/>
    </row>
    <row r="220" ht="14.25" customHeight="1">
      <c r="F220" s="187"/>
      <c r="AA220" s="1"/>
    </row>
    <row r="221" ht="14.25" customHeight="1">
      <c r="F221" s="187"/>
      <c r="AA221" s="1"/>
    </row>
    <row r="222" ht="14.25" customHeight="1">
      <c r="F222" s="187"/>
      <c r="AA222" s="1"/>
    </row>
    <row r="223" ht="14.25" customHeight="1">
      <c r="F223" s="187"/>
      <c r="AA223" s="1"/>
    </row>
    <row r="224" ht="14.25" customHeight="1">
      <c r="F224" s="187"/>
      <c r="AA224" s="1"/>
    </row>
    <row r="225" ht="14.25" customHeight="1">
      <c r="F225" s="187"/>
      <c r="AA225" s="1"/>
    </row>
    <row r="226" ht="14.25" customHeight="1">
      <c r="F226" s="187"/>
      <c r="AA226" s="1"/>
    </row>
    <row r="227" ht="14.25" customHeight="1">
      <c r="F227" s="187"/>
      <c r="AA227" s="1"/>
    </row>
    <row r="228" ht="14.25" customHeight="1">
      <c r="F228" s="187"/>
      <c r="AA228" s="1"/>
    </row>
    <row r="229" ht="14.25" customHeight="1">
      <c r="F229" s="187"/>
      <c r="AA229" s="1"/>
    </row>
    <row r="230" ht="14.25" customHeight="1">
      <c r="F230" s="187"/>
      <c r="AA230" s="1"/>
    </row>
    <row r="231" ht="14.25" customHeight="1">
      <c r="F231" s="187"/>
      <c r="AA231" s="1"/>
    </row>
    <row r="232" ht="14.25" customHeight="1">
      <c r="F232" s="187"/>
      <c r="AA232" s="1"/>
    </row>
    <row r="233" ht="14.25" customHeight="1">
      <c r="F233" s="187"/>
      <c r="AA233" s="1"/>
    </row>
    <row r="234" ht="14.25" customHeight="1">
      <c r="F234" s="187"/>
      <c r="AA234" s="1"/>
    </row>
    <row r="235" ht="14.25" customHeight="1">
      <c r="F235" s="187"/>
      <c r="AA235" s="1"/>
    </row>
    <row r="236" ht="14.25" customHeight="1">
      <c r="F236" s="187"/>
      <c r="AA236" s="1"/>
    </row>
    <row r="237" ht="14.25" customHeight="1">
      <c r="F237" s="187"/>
      <c r="AA237" s="1"/>
    </row>
    <row r="238" ht="14.25" customHeight="1">
      <c r="F238" s="187"/>
      <c r="AA238" s="1"/>
    </row>
    <row r="239" ht="14.25" customHeight="1">
      <c r="F239" s="187"/>
      <c r="AA239" s="1"/>
    </row>
    <row r="240" ht="14.25" customHeight="1">
      <c r="F240" s="187"/>
      <c r="AA240" s="1"/>
    </row>
    <row r="241" ht="14.25" customHeight="1">
      <c r="F241" s="187"/>
      <c r="AA241" s="1"/>
    </row>
    <row r="242" ht="14.25" customHeight="1">
      <c r="F242" s="187"/>
      <c r="AA242" s="1"/>
    </row>
    <row r="243" ht="14.25" customHeight="1">
      <c r="F243" s="187"/>
      <c r="AA243" s="1"/>
    </row>
    <row r="244" ht="14.25" customHeight="1">
      <c r="F244" s="187"/>
      <c r="AA244" s="1"/>
    </row>
    <row r="245" ht="14.25" customHeight="1">
      <c r="F245" s="187"/>
      <c r="AA245" s="1"/>
    </row>
    <row r="246" ht="14.25" customHeight="1">
      <c r="F246" s="187"/>
      <c r="AA246" s="1"/>
    </row>
    <row r="247" ht="14.25" customHeight="1">
      <c r="F247" s="187"/>
      <c r="AA247" s="1"/>
    </row>
    <row r="248" ht="14.25" customHeight="1">
      <c r="F248" s="187"/>
      <c r="AA248" s="1"/>
    </row>
    <row r="249" ht="14.25" customHeight="1">
      <c r="F249" s="187"/>
      <c r="AA249" s="1"/>
    </row>
    <row r="250" ht="14.25" customHeight="1">
      <c r="F250" s="187"/>
      <c r="AA250" s="1"/>
    </row>
    <row r="251" ht="14.25" customHeight="1">
      <c r="F251" s="187"/>
      <c r="AA251" s="1"/>
    </row>
    <row r="252" ht="14.25" customHeight="1">
      <c r="F252" s="187"/>
      <c r="AA252" s="1"/>
    </row>
    <row r="253" ht="14.25" customHeight="1">
      <c r="F253" s="187"/>
      <c r="AA253" s="1"/>
    </row>
    <row r="254" ht="14.25" customHeight="1">
      <c r="F254" s="187"/>
      <c r="AA254" s="1"/>
    </row>
    <row r="255" ht="14.25" customHeight="1">
      <c r="F255" s="187"/>
      <c r="AA255" s="1"/>
    </row>
    <row r="256" ht="14.25" customHeight="1">
      <c r="F256" s="187"/>
      <c r="AA256" s="1"/>
    </row>
    <row r="257" ht="14.25" customHeight="1">
      <c r="F257" s="187"/>
      <c r="AA257" s="1"/>
    </row>
    <row r="258" ht="14.25" customHeight="1">
      <c r="F258" s="187"/>
      <c r="AA258" s="1"/>
    </row>
    <row r="259" ht="14.25" customHeight="1">
      <c r="F259" s="187"/>
      <c r="AA259" s="1"/>
    </row>
    <row r="260" ht="14.25" customHeight="1">
      <c r="F260" s="187"/>
      <c r="AA260" s="1"/>
    </row>
    <row r="261" ht="14.25" customHeight="1">
      <c r="F261" s="187"/>
      <c r="AA261" s="1"/>
    </row>
    <row r="262" ht="14.25" customHeight="1">
      <c r="F262" s="187"/>
      <c r="AA262" s="1"/>
    </row>
    <row r="263" ht="14.25" customHeight="1">
      <c r="F263" s="187"/>
      <c r="AA263" s="1"/>
    </row>
    <row r="264" ht="14.25" customHeight="1">
      <c r="F264" s="187"/>
      <c r="AA264" s="1"/>
    </row>
    <row r="265" ht="14.25" customHeight="1">
      <c r="F265" s="187"/>
      <c r="AA265" s="1"/>
    </row>
    <row r="266" ht="14.25" customHeight="1">
      <c r="F266" s="187"/>
      <c r="AA266" s="1"/>
    </row>
    <row r="267" ht="14.25" customHeight="1">
      <c r="F267" s="187"/>
      <c r="AA267" s="1"/>
    </row>
    <row r="268" ht="14.25" customHeight="1">
      <c r="F268" s="187"/>
      <c r="AA268" s="1"/>
    </row>
    <row r="269" ht="14.25" customHeight="1">
      <c r="F269" s="187"/>
      <c r="AA269" s="1"/>
    </row>
    <row r="270" ht="14.25" customHeight="1">
      <c r="F270" s="187"/>
      <c r="AA270" s="1"/>
    </row>
    <row r="271" ht="14.25" customHeight="1">
      <c r="F271" s="187"/>
      <c r="AA271" s="1"/>
    </row>
    <row r="272" ht="14.25" customHeight="1">
      <c r="F272" s="187"/>
      <c r="AA272" s="1"/>
    </row>
    <row r="273" ht="14.25" customHeight="1">
      <c r="F273" s="187"/>
      <c r="AA273" s="1"/>
    </row>
    <row r="274" ht="14.25" customHeight="1">
      <c r="F274" s="187"/>
      <c r="AA274" s="1"/>
    </row>
    <row r="275" ht="14.25" customHeight="1">
      <c r="F275" s="187"/>
      <c r="AA275" s="1"/>
    </row>
    <row r="276" ht="14.25" customHeight="1">
      <c r="F276" s="187"/>
      <c r="AA276" s="1"/>
    </row>
    <row r="277" ht="14.25" customHeight="1">
      <c r="F277" s="187"/>
      <c r="AA277" s="1"/>
    </row>
    <row r="278" ht="14.25" customHeight="1">
      <c r="F278" s="187"/>
      <c r="AA278" s="1"/>
    </row>
    <row r="279" ht="14.25" customHeight="1">
      <c r="F279" s="187"/>
      <c r="AA279" s="1"/>
    </row>
    <row r="280" ht="14.25" customHeight="1">
      <c r="F280" s="187"/>
      <c r="AA280" s="1"/>
    </row>
    <row r="281" ht="14.25" customHeight="1">
      <c r="F281" s="187"/>
      <c r="AA281" s="1"/>
    </row>
    <row r="282" ht="14.25" customHeight="1">
      <c r="F282" s="187"/>
      <c r="AA282" s="1"/>
    </row>
    <row r="283" ht="14.25" customHeight="1">
      <c r="F283" s="187"/>
      <c r="AA283" s="1"/>
    </row>
    <row r="284" ht="14.25" customHeight="1">
      <c r="F284" s="187"/>
      <c r="AA284" s="1"/>
    </row>
    <row r="285" ht="14.25" customHeight="1">
      <c r="F285" s="187"/>
      <c r="AA285" s="1"/>
    </row>
    <row r="286" ht="14.25" customHeight="1">
      <c r="F286" s="187"/>
      <c r="AA286" s="1"/>
    </row>
    <row r="287" ht="14.25" customHeight="1">
      <c r="F287" s="187"/>
      <c r="AA287" s="1"/>
    </row>
    <row r="288" ht="14.25" customHeight="1">
      <c r="F288" s="187"/>
      <c r="AA288" s="1"/>
    </row>
    <row r="289" ht="14.25" customHeight="1">
      <c r="F289" s="187"/>
      <c r="AA289" s="1"/>
    </row>
    <row r="290" ht="14.25" customHeight="1">
      <c r="F290" s="187"/>
      <c r="AA290" s="1"/>
    </row>
    <row r="291" ht="14.25" customHeight="1">
      <c r="F291" s="187"/>
      <c r="AA291" s="1"/>
    </row>
    <row r="292" ht="14.25" customHeight="1">
      <c r="F292" s="187"/>
      <c r="AA292" s="1"/>
    </row>
    <row r="293" ht="14.25" customHeight="1">
      <c r="F293" s="187"/>
      <c r="AA293" s="1"/>
    </row>
    <row r="294" ht="14.25" customHeight="1">
      <c r="F294" s="187"/>
      <c r="AA294" s="1"/>
    </row>
    <row r="295" ht="14.25" customHeight="1">
      <c r="F295" s="187"/>
      <c r="AA295" s="1"/>
    </row>
    <row r="296" ht="14.25" customHeight="1">
      <c r="F296" s="187"/>
      <c r="AA296" s="1"/>
    </row>
    <row r="297" ht="14.25" customHeight="1">
      <c r="F297" s="187"/>
      <c r="AA297" s="1"/>
    </row>
    <row r="298" ht="14.25" customHeight="1">
      <c r="F298" s="187"/>
      <c r="AA298" s="1"/>
    </row>
    <row r="299" ht="14.25" customHeight="1">
      <c r="F299" s="187"/>
      <c r="AA299" s="1"/>
    </row>
    <row r="300" ht="14.25" customHeight="1">
      <c r="F300" s="187"/>
      <c r="AA300" s="1"/>
    </row>
    <row r="301" ht="14.25" customHeight="1">
      <c r="F301" s="187"/>
      <c r="AA301" s="1"/>
    </row>
    <row r="302" ht="14.25" customHeight="1">
      <c r="F302" s="187"/>
      <c r="AA302" s="1"/>
    </row>
    <row r="303" ht="14.25" customHeight="1">
      <c r="F303" s="187"/>
      <c r="AA303" s="1"/>
    </row>
    <row r="304" ht="14.25" customHeight="1">
      <c r="F304" s="187"/>
      <c r="AA304" s="1"/>
    </row>
    <row r="305" ht="14.25" customHeight="1">
      <c r="F305" s="187"/>
      <c r="AA305" s="1"/>
    </row>
    <row r="306" ht="14.25" customHeight="1">
      <c r="F306" s="187"/>
      <c r="AA306" s="1"/>
    </row>
    <row r="307" ht="14.25" customHeight="1">
      <c r="F307" s="187"/>
      <c r="AA307" s="1"/>
    </row>
    <row r="308" ht="14.25" customHeight="1">
      <c r="F308" s="187"/>
      <c r="AA308" s="1"/>
    </row>
    <row r="309" ht="14.25" customHeight="1">
      <c r="F309" s="187"/>
      <c r="AA309" s="1"/>
    </row>
    <row r="310" ht="14.25" customHeight="1">
      <c r="F310" s="187"/>
      <c r="AA310" s="1"/>
    </row>
    <row r="311" ht="14.25" customHeight="1">
      <c r="F311" s="187"/>
      <c r="AA311" s="1"/>
    </row>
    <row r="312" ht="14.25" customHeight="1">
      <c r="F312" s="187"/>
      <c r="AA312" s="1"/>
    </row>
    <row r="313" ht="14.25" customHeight="1">
      <c r="F313" s="187"/>
      <c r="AA313" s="1"/>
    </row>
    <row r="314" ht="14.25" customHeight="1">
      <c r="F314" s="187"/>
      <c r="AA314" s="1"/>
    </row>
    <row r="315" ht="14.25" customHeight="1">
      <c r="F315" s="187"/>
      <c r="AA315" s="1"/>
    </row>
    <row r="316" ht="14.25" customHeight="1">
      <c r="F316" s="187"/>
      <c r="AA316" s="1"/>
    </row>
    <row r="317" ht="14.25" customHeight="1">
      <c r="F317" s="187"/>
      <c r="AA317" s="1"/>
    </row>
    <row r="318" ht="14.25" customHeight="1">
      <c r="F318" s="187"/>
      <c r="AA318" s="1"/>
    </row>
    <row r="319" ht="14.25" customHeight="1">
      <c r="F319" s="187"/>
      <c r="AA319" s="1"/>
    </row>
    <row r="320" ht="14.25" customHeight="1">
      <c r="F320" s="187"/>
      <c r="AA320" s="1"/>
    </row>
    <row r="321" ht="14.25" customHeight="1">
      <c r="F321" s="187"/>
      <c r="AA321" s="1"/>
    </row>
    <row r="322" ht="14.25" customHeight="1">
      <c r="F322" s="187"/>
      <c r="AA322" s="1"/>
    </row>
    <row r="323" ht="14.25" customHeight="1">
      <c r="F323" s="187"/>
      <c r="AA323" s="1"/>
    </row>
    <row r="324" ht="14.25" customHeight="1">
      <c r="F324" s="187"/>
      <c r="AA324" s="1"/>
    </row>
    <row r="325" ht="14.25" customHeight="1">
      <c r="F325" s="187"/>
      <c r="AA325" s="1"/>
    </row>
    <row r="326" ht="14.25" customHeight="1">
      <c r="F326" s="187"/>
      <c r="AA326" s="1"/>
    </row>
    <row r="327" ht="14.25" customHeight="1">
      <c r="F327" s="187"/>
      <c r="AA327" s="1"/>
    </row>
    <row r="328" ht="14.25" customHeight="1">
      <c r="F328" s="187"/>
      <c r="AA328" s="1"/>
    </row>
    <row r="329" ht="14.25" customHeight="1">
      <c r="F329" s="187"/>
      <c r="AA329" s="1"/>
    </row>
    <row r="330" ht="14.25" customHeight="1">
      <c r="F330" s="187"/>
      <c r="AA330" s="1"/>
    </row>
    <row r="331" ht="14.25" customHeight="1">
      <c r="F331" s="187"/>
      <c r="AA331" s="1"/>
    </row>
    <row r="332" ht="14.25" customHeight="1">
      <c r="F332" s="187"/>
      <c r="AA332" s="1"/>
    </row>
    <row r="333" ht="14.25" customHeight="1">
      <c r="F333" s="187"/>
      <c r="AA333" s="1"/>
    </row>
    <row r="334" ht="14.25" customHeight="1">
      <c r="F334" s="187"/>
      <c r="AA334" s="1"/>
    </row>
    <row r="335" ht="14.25" customHeight="1">
      <c r="F335" s="187"/>
      <c r="AA335" s="1"/>
    </row>
    <row r="336" ht="14.25" customHeight="1">
      <c r="F336" s="187"/>
      <c r="AA336" s="1"/>
    </row>
    <row r="337" ht="14.25" customHeight="1">
      <c r="F337" s="187"/>
      <c r="AA337" s="1"/>
    </row>
    <row r="338" ht="14.25" customHeight="1">
      <c r="F338" s="187"/>
      <c r="AA338" s="1"/>
    </row>
    <row r="339" ht="14.25" customHeight="1">
      <c r="F339" s="187"/>
      <c r="AA339" s="1"/>
    </row>
    <row r="340" ht="14.25" customHeight="1">
      <c r="F340" s="187"/>
      <c r="AA340" s="1"/>
    </row>
    <row r="341" ht="14.25" customHeight="1">
      <c r="F341" s="187"/>
      <c r="AA341" s="1"/>
    </row>
    <row r="342" ht="14.25" customHeight="1">
      <c r="F342" s="187"/>
      <c r="AA342" s="1"/>
    </row>
    <row r="343" ht="14.25" customHeight="1">
      <c r="F343" s="187"/>
      <c r="AA343" s="1"/>
    </row>
    <row r="344" ht="14.25" customHeight="1">
      <c r="F344" s="187"/>
      <c r="AA344" s="1"/>
    </row>
    <row r="345" ht="14.25" customHeight="1">
      <c r="F345" s="187"/>
      <c r="AA345" s="1"/>
    </row>
    <row r="346" ht="14.25" customHeight="1">
      <c r="F346" s="187"/>
      <c r="AA346" s="1"/>
    </row>
    <row r="347" ht="14.25" customHeight="1">
      <c r="F347" s="187"/>
      <c r="AA347" s="1"/>
    </row>
    <row r="348" ht="14.25" customHeight="1">
      <c r="F348" s="187"/>
      <c r="AA348" s="1"/>
    </row>
    <row r="349" ht="14.25" customHeight="1">
      <c r="F349" s="187"/>
      <c r="AA349" s="1"/>
    </row>
    <row r="350" ht="14.25" customHeight="1">
      <c r="F350" s="187"/>
      <c r="AA350" s="1"/>
    </row>
    <row r="351" ht="14.25" customHeight="1">
      <c r="F351" s="187"/>
      <c r="AA351" s="1"/>
    </row>
    <row r="352" ht="14.25" customHeight="1">
      <c r="F352" s="187"/>
      <c r="AA352" s="1"/>
    </row>
    <row r="353" ht="14.25" customHeight="1">
      <c r="F353" s="187"/>
      <c r="AA353" s="1"/>
    </row>
    <row r="354" ht="14.25" customHeight="1">
      <c r="F354" s="187"/>
      <c r="AA354" s="1"/>
    </row>
    <row r="355" ht="14.25" customHeight="1">
      <c r="F355" s="187"/>
      <c r="AA355" s="1"/>
    </row>
    <row r="356" ht="14.25" customHeight="1">
      <c r="F356" s="187"/>
      <c r="AA356" s="1"/>
    </row>
    <row r="357" ht="14.25" customHeight="1">
      <c r="F357" s="187"/>
      <c r="AA357" s="1"/>
    </row>
    <row r="358" ht="14.25" customHeight="1">
      <c r="F358" s="187"/>
      <c r="AA358" s="1"/>
    </row>
    <row r="359" ht="14.25" customHeight="1">
      <c r="F359" s="187"/>
      <c r="AA359" s="1"/>
    </row>
    <row r="360" ht="14.25" customHeight="1">
      <c r="F360" s="187"/>
      <c r="AA360" s="1"/>
    </row>
    <row r="361" ht="14.25" customHeight="1">
      <c r="F361" s="187"/>
      <c r="AA361" s="1"/>
    </row>
    <row r="362" ht="14.25" customHeight="1">
      <c r="F362" s="187"/>
      <c r="AA362" s="1"/>
    </row>
    <row r="363" ht="14.25" customHeight="1">
      <c r="F363" s="187"/>
      <c r="AA363" s="1"/>
    </row>
    <row r="364" ht="14.25" customHeight="1">
      <c r="F364" s="187"/>
      <c r="AA364" s="1"/>
    </row>
    <row r="365" ht="14.25" customHeight="1">
      <c r="F365" s="187"/>
      <c r="AA365" s="1"/>
    </row>
    <row r="366" ht="14.25" customHeight="1">
      <c r="F366" s="187"/>
      <c r="AA366" s="1"/>
    </row>
    <row r="367" ht="14.25" customHeight="1">
      <c r="F367" s="187"/>
      <c r="AA367" s="1"/>
    </row>
    <row r="368" ht="14.25" customHeight="1">
      <c r="F368" s="187"/>
      <c r="AA368" s="1"/>
    </row>
    <row r="369" ht="14.25" customHeight="1">
      <c r="F369" s="187"/>
      <c r="AA369" s="1"/>
    </row>
    <row r="370" ht="14.25" customHeight="1">
      <c r="F370" s="187"/>
      <c r="AA370" s="1"/>
    </row>
    <row r="371" ht="14.25" customHeight="1">
      <c r="F371" s="187"/>
      <c r="AA371" s="1"/>
    </row>
    <row r="372" ht="14.25" customHeight="1">
      <c r="F372" s="187"/>
      <c r="AA372" s="1"/>
    </row>
    <row r="373" ht="14.25" customHeight="1">
      <c r="F373" s="187"/>
      <c r="AA373" s="1"/>
    </row>
    <row r="374" ht="14.25" customHeight="1">
      <c r="F374" s="187"/>
      <c r="AA374" s="1"/>
    </row>
    <row r="375" ht="14.25" customHeight="1">
      <c r="F375" s="187"/>
      <c r="AA375" s="1"/>
    </row>
    <row r="376" ht="14.25" customHeight="1">
      <c r="F376" s="187"/>
      <c r="AA376" s="1"/>
    </row>
    <row r="377" ht="14.25" customHeight="1">
      <c r="F377" s="187"/>
      <c r="AA377" s="1"/>
    </row>
    <row r="378" ht="14.25" customHeight="1">
      <c r="F378" s="187"/>
      <c r="AA378" s="1"/>
    </row>
    <row r="379" ht="14.25" customHeight="1">
      <c r="F379" s="187"/>
      <c r="AA379" s="1"/>
    </row>
    <row r="380" ht="14.25" customHeight="1">
      <c r="F380" s="187"/>
      <c r="AA380" s="1"/>
    </row>
    <row r="381" ht="14.25" customHeight="1">
      <c r="F381" s="187"/>
      <c r="AA381" s="1"/>
    </row>
    <row r="382" ht="14.25" customHeight="1">
      <c r="F382" s="187"/>
      <c r="AA382" s="1"/>
    </row>
    <row r="383" ht="14.25" customHeight="1">
      <c r="F383" s="187"/>
      <c r="AA383" s="1"/>
    </row>
    <row r="384" ht="14.25" customHeight="1">
      <c r="F384" s="187"/>
      <c r="AA384" s="1"/>
    </row>
    <row r="385" ht="14.25" customHeight="1">
      <c r="F385" s="187"/>
      <c r="AA385" s="1"/>
    </row>
    <row r="386" ht="14.25" customHeight="1">
      <c r="F386" s="187"/>
      <c r="AA386" s="1"/>
    </row>
    <row r="387" ht="14.25" customHeight="1">
      <c r="F387" s="187"/>
      <c r="AA387" s="1"/>
    </row>
    <row r="388" ht="14.25" customHeight="1">
      <c r="F388" s="187"/>
      <c r="AA388" s="1"/>
    </row>
    <row r="389" ht="14.25" customHeight="1">
      <c r="F389" s="187"/>
      <c r="AA389" s="1"/>
    </row>
    <row r="390" ht="14.25" customHeight="1">
      <c r="F390" s="187"/>
      <c r="AA390" s="1"/>
    </row>
    <row r="391" ht="14.25" customHeight="1">
      <c r="F391" s="187"/>
      <c r="AA391" s="1"/>
    </row>
    <row r="392" ht="14.25" customHeight="1">
      <c r="F392" s="187"/>
      <c r="AA392" s="1"/>
    </row>
    <row r="393" ht="14.25" customHeight="1">
      <c r="F393" s="187"/>
      <c r="AA393" s="1"/>
    </row>
    <row r="394" ht="14.25" customHeight="1">
      <c r="F394" s="187"/>
      <c r="AA394" s="1"/>
    </row>
    <row r="395" ht="14.25" customHeight="1">
      <c r="F395" s="187"/>
      <c r="AA395" s="1"/>
    </row>
    <row r="396" ht="14.25" customHeight="1">
      <c r="F396" s="187"/>
      <c r="AA396" s="1"/>
    </row>
    <row r="397" ht="14.25" customHeight="1">
      <c r="F397" s="187"/>
      <c r="AA397" s="1"/>
    </row>
    <row r="398" ht="14.25" customHeight="1">
      <c r="F398" s="187"/>
      <c r="AA398" s="1"/>
    </row>
    <row r="399" ht="14.25" customHeight="1">
      <c r="F399" s="187"/>
      <c r="AA399" s="1"/>
    </row>
    <row r="400" ht="14.25" customHeight="1">
      <c r="F400" s="187"/>
      <c r="AA400" s="1"/>
    </row>
    <row r="401" ht="14.25" customHeight="1">
      <c r="F401" s="187"/>
      <c r="AA401" s="1"/>
    </row>
    <row r="402" ht="14.25" customHeight="1">
      <c r="F402" s="187"/>
      <c r="AA402" s="1"/>
    </row>
    <row r="403" ht="14.25" customHeight="1">
      <c r="F403" s="187"/>
      <c r="AA403" s="1"/>
    </row>
    <row r="404" ht="14.25" customHeight="1">
      <c r="F404" s="187"/>
      <c r="AA404" s="1"/>
    </row>
    <row r="405" ht="14.25" customHeight="1">
      <c r="F405" s="187"/>
      <c r="AA405" s="1"/>
    </row>
    <row r="406" ht="14.25" customHeight="1">
      <c r="F406" s="187"/>
      <c r="AA406" s="1"/>
    </row>
    <row r="407" ht="14.25" customHeight="1">
      <c r="F407" s="187"/>
      <c r="AA407" s="1"/>
    </row>
    <row r="408" ht="14.25" customHeight="1">
      <c r="F408" s="187"/>
      <c r="AA408" s="1"/>
    </row>
    <row r="409" ht="14.25" customHeight="1">
      <c r="F409" s="187"/>
      <c r="AA409" s="1"/>
    </row>
    <row r="410" ht="14.25" customHeight="1">
      <c r="F410" s="187"/>
      <c r="AA410" s="1"/>
    </row>
    <row r="411" ht="14.25" customHeight="1">
      <c r="F411" s="187"/>
      <c r="AA411" s="1"/>
    </row>
    <row r="412" ht="14.25" customHeight="1">
      <c r="F412" s="187"/>
      <c r="AA412" s="1"/>
    </row>
    <row r="413" ht="14.25" customHeight="1">
      <c r="F413" s="187"/>
      <c r="AA413" s="1"/>
    </row>
    <row r="414" ht="14.25" customHeight="1">
      <c r="F414" s="187"/>
      <c r="AA414" s="1"/>
    </row>
    <row r="415" ht="14.25" customHeight="1">
      <c r="F415" s="187"/>
      <c r="AA415" s="1"/>
    </row>
    <row r="416" ht="14.25" customHeight="1">
      <c r="F416" s="187"/>
      <c r="AA416" s="1"/>
    </row>
    <row r="417" ht="14.25" customHeight="1">
      <c r="F417" s="187"/>
      <c r="AA417" s="1"/>
    </row>
    <row r="418" ht="14.25" customHeight="1">
      <c r="F418" s="187"/>
      <c r="AA418" s="1"/>
    </row>
    <row r="419" ht="14.25" customHeight="1">
      <c r="F419" s="187"/>
      <c r="AA419" s="1"/>
    </row>
    <row r="420" ht="14.25" customHeight="1">
      <c r="F420" s="187"/>
      <c r="AA420" s="1"/>
    </row>
    <row r="421" ht="14.25" customHeight="1">
      <c r="F421" s="187"/>
      <c r="AA421" s="1"/>
    </row>
    <row r="422" ht="14.25" customHeight="1">
      <c r="F422" s="187"/>
      <c r="AA422" s="1"/>
    </row>
    <row r="423" ht="14.25" customHeight="1">
      <c r="F423" s="187"/>
      <c r="AA423" s="1"/>
    </row>
    <row r="424" ht="14.25" customHeight="1">
      <c r="F424" s="187"/>
      <c r="AA424" s="1"/>
    </row>
    <row r="425" ht="14.25" customHeight="1">
      <c r="F425" s="187"/>
      <c r="AA425" s="1"/>
    </row>
    <row r="426" ht="14.25" customHeight="1">
      <c r="F426" s="187"/>
      <c r="AA426" s="1"/>
    </row>
    <row r="427" ht="14.25" customHeight="1">
      <c r="F427" s="187"/>
      <c r="AA427" s="1"/>
    </row>
    <row r="428" ht="14.25" customHeight="1">
      <c r="F428" s="187"/>
      <c r="AA428" s="1"/>
    </row>
    <row r="429" ht="14.25" customHeight="1">
      <c r="F429" s="187"/>
      <c r="AA429" s="1"/>
    </row>
    <row r="430" ht="14.25" customHeight="1">
      <c r="F430" s="187"/>
      <c r="AA430" s="1"/>
    </row>
    <row r="431" ht="14.25" customHeight="1">
      <c r="F431" s="187"/>
      <c r="AA431" s="1"/>
    </row>
    <row r="432" ht="14.25" customHeight="1">
      <c r="F432" s="187"/>
      <c r="AA432" s="1"/>
    </row>
    <row r="433" ht="14.25" customHeight="1">
      <c r="F433" s="187"/>
      <c r="AA433" s="1"/>
    </row>
    <row r="434" ht="14.25" customHeight="1">
      <c r="F434" s="187"/>
      <c r="AA434" s="1"/>
    </row>
    <row r="435" ht="14.25" customHeight="1">
      <c r="F435" s="187"/>
      <c r="AA435" s="1"/>
    </row>
    <row r="436" ht="14.25" customHeight="1">
      <c r="F436" s="187"/>
      <c r="AA436" s="1"/>
    </row>
    <row r="437" ht="14.25" customHeight="1">
      <c r="F437" s="187"/>
      <c r="AA437" s="1"/>
    </row>
    <row r="438" ht="14.25" customHeight="1">
      <c r="F438" s="187"/>
      <c r="AA438" s="1"/>
    </row>
    <row r="439" ht="14.25" customHeight="1">
      <c r="F439" s="187"/>
      <c r="AA439" s="1"/>
    </row>
    <row r="440" ht="14.25" customHeight="1">
      <c r="F440" s="187"/>
      <c r="AA440" s="1"/>
    </row>
    <row r="441" ht="14.25" customHeight="1">
      <c r="F441" s="187"/>
      <c r="AA441" s="1"/>
    </row>
    <row r="442" ht="14.25" customHeight="1">
      <c r="F442" s="187"/>
      <c r="AA442" s="1"/>
    </row>
    <row r="443" ht="14.25" customHeight="1">
      <c r="F443" s="187"/>
      <c r="AA443" s="1"/>
    </row>
    <row r="444" ht="14.25" customHeight="1">
      <c r="F444" s="187"/>
      <c r="AA444" s="1"/>
    </row>
    <row r="445" ht="14.25" customHeight="1">
      <c r="F445" s="187"/>
      <c r="AA445" s="1"/>
    </row>
    <row r="446" ht="14.25" customHeight="1">
      <c r="F446" s="187"/>
      <c r="AA446" s="1"/>
    </row>
    <row r="447" ht="14.25" customHeight="1">
      <c r="F447" s="187"/>
      <c r="AA447" s="1"/>
    </row>
    <row r="448" ht="14.25" customHeight="1">
      <c r="F448" s="187"/>
      <c r="AA448" s="1"/>
    </row>
    <row r="449" ht="14.25" customHeight="1">
      <c r="F449" s="187"/>
      <c r="AA449" s="1"/>
    </row>
    <row r="450" ht="14.25" customHeight="1">
      <c r="F450" s="187"/>
      <c r="AA450" s="1"/>
    </row>
    <row r="451" ht="14.25" customHeight="1">
      <c r="F451" s="187"/>
      <c r="AA451" s="1"/>
    </row>
    <row r="452" ht="14.25" customHeight="1">
      <c r="F452" s="187"/>
      <c r="AA452" s="1"/>
    </row>
    <row r="453" ht="14.25" customHeight="1">
      <c r="F453" s="187"/>
      <c r="AA453" s="1"/>
    </row>
    <row r="454" ht="14.25" customHeight="1">
      <c r="F454" s="187"/>
      <c r="AA454" s="1"/>
    </row>
    <row r="455" ht="14.25" customHeight="1">
      <c r="F455" s="187"/>
      <c r="AA455" s="1"/>
    </row>
    <row r="456" ht="14.25" customHeight="1">
      <c r="F456" s="187"/>
      <c r="AA456" s="1"/>
    </row>
    <row r="457" ht="14.25" customHeight="1">
      <c r="F457" s="187"/>
      <c r="AA457" s="1"/>
    </row>
    <row r="458" ht="14.25" customHeight="1">
      <c r="F458" s="187"/>
      <c r="AA458" s="1"/>
    </row>
    <row r="459" ht="14.25" customHeight="1">
      <c r="F459" s="187"/>
      <c r="AA459" s="1"/>
    </row>
    <row r="460" ht="14.25" customHeight="1">
      <c r="F460" s="187"/>
      <c r="AA460" s="1"/>
    </row>
    <row r="461" ht="14.25" customHeight="1">
      <c r="F461" s="187"/>
      <c r="AA461" s="1"/>
    </row>
    <row r="462" ht="14.25" customHeight="1">
      <c r="F462" s="187"/>
      <c r="AA462" s="1"/>
    </row>
    <row r="463" ht="14.25" customHeight="1">
      <c r="F463" s="187"/>
      <c r="AA463" s="1"/>
    </row>
    <row r="464" ht="14.25" customHeight="1">
      <c r="F464" s="187"/>
      <c r="AA464" s="1"/>
    </row>
    <row r="465" ht="14.25" customHeight="1">
      <c r="F465" s="187"/>
      <c r="AA465" s="1"/>
    </row>
    <row r="466" ht="14.25" customHeight="1">
      <c r="F466" s="187"/>
      <c r="AA466" s="1"/>
    </row>
    <row r="467" ht="14.25" customHeight="1">
      <c r="F467" s="187"/>
      <c r="AA467" s="1"/>
    </row>
    <row r="468" ht="14.25" customHeight="1">
      <c r="F468" s="187"/>
      <c r="AA468" s="1"/>
    </row>
    <row r="469" ht="14.25" customHeight="1">
      <c r="F469" s="187"/>
      <c r="AA469" s="1"/>
    </row>
    <row r="470" ht="14.25" customHeight="1">
      <c r="F470" s="187"/>
      <c r="AA470" s="1"/>
    </row>
    <row r="471" ht="14.25" customHeight="1">
      <c r="F471" s="187"/>
      <c r="AA471" s="1"/>
    </row>
    <row r="472" ht="14.25" customHeight="1">
      <c r="F472" s="187"/>
      <c r="AA472" s="1"/>
    </row>
    <row r="473" ht="14.25" customHeight="1">
      <c r="F473" s="187"/>
      <c r="AA473" s="1"/>
    </row>
    <row r="474" ht="14.25" customHeight="1">
      <c r="F474" s="187"/>
      <c r="AA474" s="1"/>
    </row>
    <row r="475" ht="14.25" customHeight="1">
      <c r="F475" s="187"/>
      <c r="AA475" s="1"/>
    </row>
    <row r="476" ht="14.25" customHeight="1">
      <c r="F476" s="187"/>
      <c r="AA476" s="1"/>
    </row>
    <row r="477" ht="14.25" customHeight="1">
      <c r="F477" s="187"/>
      <c r="AA477" s="1"/>
    </row>
    <row r="478" ht="14.25" customHeight="1">
      <c r="F478" s="187"/>
      <c r="AA478" s="1"/>
    </row>
    <row r="479" ht="14.25" customHeight="1">
      <c r="F479" s="187"/>
      <c r="AA479" s="1"/>
    </row>
    <row r="480" ht="14.25" customHeight="1">
      <c r="F480" s="187"/>
      <c r="AA480" s="1"/>
    </row>
    <row r="481" ht="14.25" customHeight="1">
      <c r="F481" s="187"/>
      <c r="AA481" s="1"/>
    </row>
    <row r="482" ht="14.25" customHeight="1">
      <c r="F482" s="187"/>
      <c r="AA482" s="1"/>
    </row>
    <row r="483" ht="14.25" customHeight="1">
      <c r="F483" s="187"/>
      <c r="AA483" s="1"/>
    </row>
    <row r="484" ht="14.25" customHeight="1">
      <c r="F484" s="187"/>
      <c r="AA484" s="1"/>
    </row>
    <row r="485" ht="14.25" customHeight="1">
      <c r="F485" s="187"/>
      <c r="AA485" s="1"/>
    </row>
    <row r="486" ht="14.25" customHeight="1">
      <c r="F486" s="187"/>
      <c r="AA486" s="1"/>
    </row>
    <row r="487" ht="14.25" customHeight="1">
      <c r="F487" s="187"/>
      <c r="AA487" s="1"/>
    </row>
    <row r="488" ht="14.25" customHeight="1">
      <c r="F488" s="187"/>
      <c r="AA488" s="1"/>
    </row>
    <row r="489" ht="14.25" customHeight="1">
      <c r="F489" s="187"/>
      <c r="AA489" s="1"/>
    </row>
    <row r="490" ht="14.25" customHeight="1">
      <c r="F490" s="187"/>
      <c r="AA490" s="1"/>
    </row>
    <row r="491" ht="14.25" customHeight="1">
      <c r="F491" s="187"/>
      <c r="AA491" s="1"/>
    </row>
    <row r="492" ht="14.25" customHeight="1">
      <c r="F492" s="187"/>
      <c r="AA492" s="1"/>
    </row>
    <row r="493" ht="14.25" customHeight="1">
      <c r="F493" s="187"/>
      <c r="AA493" s="1"/>
    </row>
    <row r="494" ht="14.25" customHeight="1">
      <c r="F494" s="187"/>
      <c r="AA494" s="1"/>
    </row>
    <row r="495" ht="14.25" customHeight="1">
      <c r="F495" s="187"/>
      <c r="AA495" s="1"/>
    </row>
    <row r="496" ht="14.25" customHeight="1">
      <c r="F496" s="187"/>
      <c r="AA496" s="1"/>
    </row>
    <row r="497" ht="14.25" customHeight="1">
      <c r="F497" s="187"/>
      <c r="AA497" s="1"/>
    </row>
    <row r="498" ht="14.25" customHeight="1">
      <c r="F498" s="187"/>
      <c r="AA498" s="1"/>
    </row>
    <row r="499" ht="14.25" customHeight="1">
      <c r="F499" s="187"/>
      <c r="AA499" s="1"/>
    </row>
    <row r="500" ht="14.25" customHeight="1">
      <c r="F500" s="187"/>
      <c r="AA500" s="1"/>
    </row>
    <row r="501" ht="14.25" customHeight="1">
      <c r="F501" s="187"/>
      <c r="AA501" s="1"/>
    </row>
    <row r="502" ht="14.25" customHeight="1">
      <c r="F502" s="187"/>
      <c r="AA502" s="1"/>
    </row>
    <row r="503" ht="14.25" customHeight="1">
      <c r="F503" s="187"/>
      <c r="AA503" s="1"/>
    </row>
    <row r="504" ht="14.25" customHeight="1">
      <c r="F504" s="187"/>
      <c r="AA504" s="1"/>
    </row>
    <row r="505" ht="14.25" customHeight="1">
      <c r="F505" s="187"/>
      <c r="AA505" s="1"/>
    </row>
    <row r="506" ht="14.25" customHeight="1">
      <c r="F506" s="187"/>
      <c r="AA506" s="1"/>
    </row>
    <row r="507" ht="14.25" customHeight="1">
      <c r="F507" s="187"/>
      <c r="AA507" s="1"/>
    </row>
    <row r="508" ht="14.25" customHeight="1">
      <c r="F508" s="187"/>
      <c r="AA508" s="1"/>
    </row>
    <row r="509" ht="14.25" customHeight="1">
      <c r="F509" s="187"/>
      <c r="AA509" s="1"/>
    </row>
    <row r="510" ht="14.25" customHeight="1">
      <c r="F510" s="187"/>
      <c r="AA510" s="1"/>
    </row>
    <row r="511" ht="14.25" customHeight="1">
      <c r="F511" s="187"/>
      <c r="AA511" s="1"/>
    </row>
    <row r="512" ht="14.25" customHeight="1">
      <c r="F512" s="187"/>
      <c r="AA512" s="1"/>
    </row>
    <row r="513" ht="14.25" customHeight="1">
      <c r="F513" s="187"/>
      <c r="AA513" s="1"/>
    </row>
    <row r="514" ht="14.25" customHeight="1">
      <c r="F514" s="187"/>
      <c r="AA514" s="1"/>
    </row>
    <row r="515" ht="14.25" customHeight="1">
      <c r="F515" s="187"/>
      <c r="AA515" s="1"/>
    </row>
    <row r="516" ht="14.25" customHeight="1">
      <c r="F516" s="187"/>
      <c r="AA516" s="1"/>
    </row>
    <row r="517" ht="14.25" customHeight="1">
      <c r="F517" s="187"/>
      <c r="AA517" s="1"/>
    </row>
    <row r="518" ht="14.25" customHeight="1">
      <c r="F518" s="187"/>
      <c r="AA518" s="1"/>
    </row>
    <row r="519" ht="14.25" customHeight="1">
      <c r="F519" s="187"/>
      <c r="AA519" s="1"/>
    </row>
    <row r="520" ht="14.25" customHeight="1">
      <c r="F520" s="187"/>
      <c r="AA520" s="1"/>
    </row>
    <row r="521" ht="14.25" customHeight="1">
      <c r="F521" s="187"/>
      <c r="AA521" s="1"/>
    </row>
    <row r="522" ht="14.25" customHeight="1">
      <c r="F522" s="187"/>
      <c r="AA522" s="1"/>
    </row>
    <row r="523" ht="14.25" customHeight="1">
      <c r="F523" s="187"/>
      <c r="AA523" s="1"/>
    </row>
    <row r="524" ht="14.25" customHeight="1">
      <c r="F524" s="187"/>
      <c r="AA524" s="1"/>
    </row>
    <row r="525" ht="14.25" customHeight="1">
      <c r="F525" s="187"/>
      <c r="AA525" s="1"/>
    </row>
    <row r="526" ht="14.25" customHeight="1">
      <c r="F526" s="187"/>
      <c r="AA526" s="1"/>
    </row>
    <row r="527" ht="14.25" customHeight="1">
      <c r="F527" s="187"/>
      <c r="AA527" s="1"/>
    </row>
    <row r="528" ht="14.25" customHeight="1">
      <c r="F528" s="187"/>
      <c r="AA528" s="1"/>
    </row>
    <row r="529" ht="14.25" customHeight="1">
      <c r="F529" s="187"/>
      <c r="AA529" s="1"/>
    </row>
    <row r="530" ht="14.25" customHeight="1">
      <c r="F530" s="187"/>
      <c r="AA530" s="1"/>
    </row>
    <row r="531" ht="14.25" customHeight="1">
      <c r="F531" s="187"/>
      <c r="AA531" s="1"/>
    </row>
    <row r="532" ht="14.25" customHeight="1">
      <c r="F532" s="187"/>
      <c r="AA532" s="1"/>
    </row>
    <row r="533" ht="14.25" customHeight="1">
      <c r="F533" s="187"/>
      <c r="AA533" s="1"/>
    </row>
    <row r="534" ht="14.25" customHeight="1">
      <c r="F534" s="187"/>
      <c r="AA534" s="1"/>
    </row>
    <row r="535" ht="14.25" customHeight="1">
      <c r="F535" s="187"/>
      <c r="AA535" s="1"/>
    </row>
    <row r="536" ht="14.25" customHeight="1">
      <c r="F536" s="187"/>
      <c r="AA536" s="1"/>
    </row>
    <row r="537" ht="14.25" customHeight="1">
      <c r="F537" s="187"/>
      <c r="AA537" s="1"/>
    </row>
    <row r="538" ht="14.25" customHeight="1">
      <c r="F538" s="187"/>
      <c r="AA538" s="1"/>
    </row>
    <row r="539" ht="14.25" customHeight="1">
      <c r="F539" s="187"/>
      <c r="AA539" s="1"/>
    </row>
    <row r="540" ht="14.25" customHeight="1">
      <c r="F540" s="187"/>
      <c r="AA540" s="1"/>
    </row>
    <row r="541" ht="14.25" customHeight="1">
      <c r="F541" s="187"/>
      <c r="AA541" s="1"/>
    </row>
    <row r="542" ht="14.25" customHeight="1">
      <c r="F542" s="187"/>
      <c r="AA542" s="1"/>
    </row>
    <row r="543" ht="14.25" customHeight="1">
      <c r="F543" s="187"/>
      <c r="AA543" s="1"/>
    </row>
    <row r="544" ht="14.25" customHeight="1">
      <c r="F544" s="187"/>
      <c r="AA544" s="1"/>
    </row>
    <row r="545" ht="14.25" customHeight="1">
      <c r="F545" s="187"/>
      <c r="AA545" s="1"/>
    </row>
    <row r="546" ht="14.25" customHeight="1">
      <c r="F546" s="187"/>
      <c r="AA546" s="1"/>
    </row>
    <row r="547" ht="14.25" customHeight="1">
      <c r="F547" s="187"/>
      <c r="AA547" s="1"/>
    </row>
    <row r="548" ht="14.25" customHeight="1">
      <c r="F548" s="187"/>
      <c r="AA548" s="1"/>
    </row>
    <row r="549" ht="14.25" customHeight="1">
      <c r="F549" s="187"/>
      <c r="AA549" s="1"/>
    </row>
    <row r="550" ht="14.25" customHeight="1">
      <c r="F550" s="187"/>
      <c r="AA550" s="1"/>
    </row>
    <row r="551" ht="14.25" customHeight="1">
      <c r="F551" s="187"/>
      <c r="AA551" s="1"/>
    </row>
    <row r="552" ht="14.25" customHeight="1">
      <c r="F552" s="187"/>
      <c r="AA552" s="1"/>
    </row>
    <row r="553" ht="14.25" customHeight="1">
      <c r="F553" s="187"/>
      <c r="AA553" s="1"/>
    </row>
    <row r="554" ht="14.25" customHeight="1">
      <c r="F554" s="187"/>
      <c r="AA554" s="1"/>
    </row>
    <row r="555" ht="14.25" customHeight="1">
      <c r="F555" s="187"/>
      <c r="AA555" s="1"/>
    </row>
    <row r="556" ht="14.25" customHeight="1">
      <c r="F556" s="187"/>
      <c r="AA556" s="1"/>
    </row>
    <row r="557" ht="14.25" customHeight="1">
      <c r="F557" s="187"/>
      <c r="AA557" s="1"/>
    </row>
    <row r="558" ht="14.25" customHeight="1">
      <c r="F558" s="187"/>
      <c r="AA558" s="1"/>
    </row>
    <row r="559" ht="14.25" customHeight="1">
      <c r="F559" s="187"/>
      <c r="AA559" s="1"/>
    </row>
    <row r="560" ht="14.25" customHeight="1">
      <c r="F560" s="187"/>
      <c r="AA560" s="1"/>
    </row>
    <row r="561" ht="14.25" customHeight="1">
      <c r="F561" s="187"/>
      <c r="AA561" s="1"/>
    </row>
    <row r="562" ht="14.25" customHeight="1">
      <c r="F562" s="187"/>
      <c r="AA562" s="1"/>
    </row>
    <row r="563" ht="14.25" customHeight="1">
      <c r="F563" s="187"/>
      <c r="AA563" s="1"/>
    </row>
    <row r="564" ht="14.25" customHeight="1">
      <c r="F564" s="187"/>
      <c r="AA564" s="1"/>
    </row>
    <row r="565" ht="14.25" customHeight="1">
      <c r="F565" s="187"/>
      <c r="AA565" s="1"/>
    </row>
    <row r="566" ht="14.25" customHeight="1">
      <c r="F566" s="187"/>
      <c r="AA566" s="1"/>
    </row>
    <row r="567" ht="14.25" customHeight="1">
      <c r="F567" s="187"/>
      <c r="AA567" s="1"/>
    </row>
    <row r="568" ht="14.25" customHeight="1">
      <c r="F568" s="187"/>
      <c r="AA568" s="1"/>
    </row>
    <row r="569" ht="14.25" customHeight="1">
      <c r="F569" s="187"/>
      <c r="AA569" s="1"/>
    </row>
    <row r="570" ht="14.25" customHeight="1">
      <c r="F570" s="187"/>
      <c r="AA570" s="1"/>
    </row>
    <row r="571" ht="14.25" customHeight="1">
      <c r="F571" s="187"/>
      <c r="AA571" s="1"/>
    </row>
    <row r="572" ht="14.25" customHeight="1">
      <c r="F572" s="187"/>
      <c r="AA572" s="1"/>
    </row>
    <row r="573" ht="14.25" customHeight="1">
      <c r="F573" s="187"/>
      <c r="AA573" s="1"/>
    </row>
    <row r="574" ht="14.25" customHeight="1">
      <c r="F574" s="187"/>
      <c r="AA574" s="1"/>
    </row>
    <row r="575" ht="14.25" customHeight="1">
      <c r="F575" s="187"/>
      <c r="AA575" s="1"/>
    </row>
    <row r="576" ht="14.25" customHeight="1">
      <c r="F576" s="187"/>
      <c r="AA576" s="1"/>
    </row>
    <row r="577" ht="14.25" customHeight="1">
      <c r="F577" s="187"/>
      <c r="AA577" s="1"/>
    </row>
    <row r="578" ht="14.25" customHeight="1">
      <c r="F578" s="187"/>
      <c r="AA578" s="1"/>
    </row>
    <row r="579" ht="14.25" customHeight="1">
      <c r="F579" s="187"/>
      <c r="AA579" s="1"/>
    </row>
    <row r="580" ht="14.25" customHeight="1">
      <c r="F580" s="187"/>
      <c r="AA580" s="1"/>
    </row>
    <row r="581" ht="14.25" customHeight="1">
      <c r="F581" s="187"/>
      <c r="AA581" s="1"/>
    </row>
    <row r="582" ht="14.25" customHeight="1">
      <c r="F582" s="187"/>
      <c r="AA582" s="1"/>
    </row>
    <row r="583" ht="14.25" customHeight="1">
      <c r="F583" s="187"/>
      <c r="AA583" s="1"/>
    </row>
    <row r="584" ht="14.25" customHeight="1">
      <c r="F584" s="187"/>
      <c r="AA584" s="1"/>
    </row>
    <row r="585" ht="14.25" customHeight="1">
      <c r="F585" s="187"/>
      <c r="AA585" s="1"/>
    </row>
    <row r="586" ht="14.25" customHeight="1">
      <c r="F586" s="187"/>
      <c r="AA586" s="1"/>
    </row>
    <row r="587" ht="14.25" customHeight="1">
      <c r="F587" s="187"/>
      <c r="AA587" s="1"/>
    </row>
    <row r="588" ht="14.25" customHeight="1">
      <c r="F588" s="187"/>
      <c r="AA588" s="1"/>
    </row>
    <row r="589" ht="14.25" customHeight="1">
      <c r="F589" s="187"/>
      <c r="AA589" s="1"/>
    </row>
    <row r="590" ht="14.25" customHeight="1">
      <c r="F590" s="187"/>
      <c r="AA590" s="1"/>
    </row>
    <row r="591" ht="14.25" customHeight="1">
      <c r="F591" s="187"/>
      <c r="AA591" s="1"/>
    </row>
    <row r="592" ht="14.25" customHeight="1">
      <c r="F592" s="187"/>
      <c r="AA592" s="1"/>
    </row>
    <row r="593" ht="14.25" customHeight="1">
      <c r="F593" s="187"/>
      <c r="AA593" s="1"/>
    </row>
    <row r="594" ht="14.25" customHeight="1">
      <c r="F594" s="187"/>
      <c r="AA594" s="1"/>
    </row>
    <row r="595" ht="14.25" customHeight="1">
      <c r="F595" s="187"/>
      <c r="AA595" s="1"/>
    </row>
    <row r="596" ht="14.25" customHeight="1">
      <c r="F596" s="187"/>
      <c r="AA596" s="1"/>
    </row>
    <row r="597" ht="14.25" customHeight="1">
      <c r="F597" s="187"/>
      <c r="AA597" s="1"/>
    </row>
    <row r="598" ht="14.25" customHeight="1">
      <c r="F598" s="187"/>
      <c r="AA598" s="1"/>
    </row>
    <row r="599" ht="14.25" customHeight="1">
      <c r="F599" s="187"/>
      <c r="AA599" s="1"/>
    </row>
    <row r="600" ht="14.25" customHeight="1">
      <c r="F600" s="187"/>
      <c r="AA600" s="1"/>
    </row>
    <row r="601" ht="14.25" customHeight="1">
      <c r="F601" s="187"/>
      <c r="AA601" s="1"/>
    </row>
    <row r="602" ht="14.25" customHeight="1">
      <c r="F602" s="187"/>
      <c r="AA602" s="1"/>
    </row>
    <row r="603" ht="14.25" customHeight="1">
      <c r="F603" s="187"/>
      <c r="AA603" s="1"/>
    </row>
    <row r="604" ht="14.25" customHeight="1">
      <c r="F604" s="187"/>
      <c r="AA604" s="1"/>
    </row>
    <row r="605" ht="14.25" customHeight="1">
      <c r="F605" s="187"/>
      <c r="AA605" s="1"/>
    </row>
    <row r="606" ht="14.25" customHeight="1">
      <c r="F606" s="187"/>
      <c r="AA606" s="1"/>
    </row>
    <row r="607" ht="14.25" customHeight="1">
      <c r="F607" s="187"/>
      <c r="AA607" s="1"/>
    </row>
    <row r="608" ht="14.25" customHeight="1">
      <c r="F608" s="187"/>
      <c r="AA608" s="1"/>
    </row>
    <row r="609" ht="14.25" customHeight="1">
      <c r="F609" s="187"/>
      <c r="AA609" s="1"/>
    </row>
    <row r="610" ht="14.25" customHeight="1">
      <c r="F610" s="187"/>
      <c r="AA610" s="1"/>
    </row>
    <row r="611" ht="14.25" customHeight="1">
      <c r="F611" s="187"/>
      <c r="AA611" s="1"/>
    </row>
    <row r="612" ht="14.25" customHeight="1">
      <c r="F612" s="187"/>
      <c r="AA612" s="1"/>
    </row>
    <row r="613" ht="14.25" customHeight="1">
      <c r="F613" s="187"/>
      <c r="AA613" s="1"/>
    </row>
    <row r="614" ht="14.25" customHeight="1">
      <c r="F614" s="187"/>
      <c r="AA614" s="1"/>
    </row>
    <row r="615" ht="14.25" customHeight="1">
      <c r="F615" s="187"/>
      <c r="AA615" s="1"/>
    </row>
    <row r="616" ht="14.25" customHeight="1">
      <c r="F616" s="187"/>
      <c r="AA616" s="1"/>
    </row>
    <row r="617" ht="14.25" customHeight="1">
      <c r="F617" s="187"/>
      <c r="AA617" s="1"/>
    </row>
    <row r="618" ht="14.25" customHeight="1">
      <c r="F618" s="187"/>
      <c r="AA618" s="1"/>
    </row>
    <row r="619" ht="14.25" customHeight="1">
      <c r="F619" s="187"/>
      <c r="AA619" s="1"/>
    </row>
    <row r="620" ht="14.25" customHeight="1">
      <c r="F620" s="187"/>
      <c r="AA620" s="1"/>
    </row>
    <row r="621" ht="14.25" customHeight="1">
      <c r="F621" s="187"/>
      <c r="AA621" s="1"/>
    </row>
    <row r="622" ht="14.25" customHeight="1">
      <c r="F622" s="187"/>
      <c r="AA622" s="1"/>
    </row>
    <row r="623" ht="14.25" customHeight="1">
      <c r="F623" s="187"/>
      <c r="AA623" s="1"/>
    </row>
    <row r="624" ht="14.25" customHeight="1">
      <c r="F624" s="187"/>
      <c r="AA624" s="1"/>
    </row>
    <row r="625" ht="14.25" customHeight="1">
      <c r="F625" s="187"/>
      <c r="AA625" s="1"/>
    </row>
    <row r="626" ht="14.25" customHeight="1">
      <c r="F626" s="187"/>
      <c r="AA626" s="1"/>
    </row>
    <row r="627" ht="14.25" customHeight="1">
      <c r="F627" s="187"/>
      <c r="AA627" s="1"/>
    </row>
    <row r="628" ht="14.25" customHeight="1">
      <c r="F628" s="187"/>
      <c r="AA628" s="1"/>
    </row>
    <row r="629" ht="14.25" customHeight="1">
      <c r="F629" s="187"/>
      <c r="AA629" s="1"/>
    </row>
    <row r="630" ht="14.25" customHeight="1">
      <c r="F630" s="187"/>
      <c r="AA630" s="1"/>
    </row>
    <row r="631" ht="14.25" customHeight="1">
      <c r="F631" s="187"/>
      <c r="AA631" s="1"/>
    </row>
    <row r="632" ht="14.25" customHeight="1">
      <c r="F632" s="187"/>
      <c r="AA632" s="1"/>
    </row>
    <row r="633" ht="14.25" customHeight="1">
      <c r="F633" s="187"/>
      <c r="AA633" s="1"/>
    </row>
    <row r="634" ht="14.25" customHeight="1">
      <c r="F634" s="187"/>
      <c r="AA634" s="1"/>
    </row>
    <row r="635" ht="14.25" customHeight="1">
      <c r="F635" s="187"/>
      <c r="AA635" s="1"/>
    </row>
    <row r="636" ht="14.25" customHeight="1">
      <c r="F636" s="187"/>
      <c r="AA636" s="1"/>
    </row>
    <row r="637" ht="14.25" customHeight="1">
      <c r="F637" s="187"/>
      <c r="AA637" s="1"/>
    </row>
    <row r="638" ht="14.25" customHeight="1">
      <c r="F638" s="187"/>
      <c r="AA638" s="1"/>
    </row>
    <row r="639" ht="14.25" customHeight="1">
      <c r="F639" s="187"/>
      <c r="AA639" s="1"/>
    </row>
    <row r="640" ht="14.25" customHeight="1">
      <c r="F640" s="187"/>
      <c r="AA640" s="1"/>
    </row>
    <row r="641" ht="14.25" customHeight="1">
      <c r="F641" s="187"/>
      <c r="AA641" s="1"/>
    </row>
    <row r="642" ht="14.25" customHeight="1">
      <c r="F642" s="187"/>
      <c r="AA642" s="1"/>
    </row>
    <row r="643" ht="14.25" customHeight="1">
      <c r="F643" s="187"/>
      <c r="AA643" s="1"/>
    </row>
    <row r="644" ht="14.25" customHeight="1">
      <c r="F644" s="187"/>
      <c r="AA644" s="1"/>
    </row>
    <row r="645" ht="14.25" customHeight="1">
      <c r="F645" s="187"/>
      <c r="AA645" s="1"/>
    </row>
    <row r="646" ht="14.25" customHeight="1">
      <c r="F646" s="187"/>
      <c r="AA646" s="1"/>
    </row>
    <row r="647" ht="14.25" customHeight="1">
      <c r="F647" s="187"/>
      <c r="AA647" s="1"/>
    </row>
    <row r="648" ht="14.25" customHeight="1">
      <c r="F648" s="187"/>
      <c r="AA648" s="1"/>
    </row>
    <row r="649" ht="14.25" customHeight="1">
      <c r="F649" s="187"/>
      <c r="AA649" s="1"/>
    </row>
    <row r="650" ht="14.25" customHeight="1">
      <c r="F650" s="187"/>
      <c r="AA650" s="1"/>
    </row>
    <row r="651" ht="14.25" customHeight="1">
      <c r="F651" s="187"/>
      <c r="AA651" s="1"/>
    </row>
    <row r="652" ht="14.25" customHeight="1">
      <c r="F652" s="187"/>
      <c r="AA652" s="1"/>
    </row>
    <row r="653" ht="14.25" customHeight="1">
      <c r="F653" s="187"/>
      <c r="AA653" s="1"/>
    </row>
    <row r="654" ht="14.25" customHeight="1">
      <c r="F654" s="187"/>
      <c r="AA654" s="1"/>
    </row>
    <row r="655" ht="14.25" customHeight="1">
      <c r="F655" s="187"/>
      <c r="AA655" s="1"/>
    </row>
    <row r="656" ht="14.25" customHeight="1">
      <c r="F656" s="187"/>
      <c r="AA656" s="1"/>
    </row>
    <row r="657" ht="14.25" customHeight="1">
      <c r="F657" s="187"/>
      <c r="AA657" s="1"/>
    </row>
    <row r="658" ht="14.25" customHeight="1">
      <c r="F658" s="187"/>
      <c r="AA658" s="1"/>
    </row>
    <row r="659" ht="14.25" customHeight="1">
      <c r="F659" s="187"/>
      <c r="AA659" s="1"/>
    </row>
    <row r="660" ht="14.25" customHeight="1">
      <c r="F660" s="187"/>
      <c r="AA660" s="1"/>
    </row>
    <row r="661" ht="14.25" customHeight="1">
      <c r="F661" s="187"/>
      <c r="AA661" s="1"/>
    </row>
    <row r="662" ht="14.25" customHeight="1">
      <c r="F662" s="187"/>
      <c r="AA662" s="1"/>
    </row>
    <row r="663" ht="14.25" customHeight="1">
      <c r="F663" s="187"/>
      <c r="AA663" s="1"/>
    </row>
    <row r="664" ht="14.25" customHeight="1">
      <c r="F664" s="187"/>
      <c r="AA664" s="1"/>
    </row>
    <row r="665" ht="14.25" customHeight="1">
      <c r="F665" s="187"/>
      <c r="AA665" s="1"/>
    </row>
    <row r="666" ht="14.25" customHeight="1">
      <c r="F666" s="187"/>
      <c r="AA666" s="1"/>
    </row>
    <row r="667" ht="14.25" customHeight="1">
      <c r="F667" s="187"/>
      <c r="AA667" s="1"/>
    </row>
    <row r="668" ht="14.25" customHeight="1">
      <c r="F668" s="187"/>
      <c r="AA668" s="1"/>
    </row>
    <row r="669" ht="14.25" customHeight="1">
      <c r="F669" s="187"/>
      <c r="AA669" s="1"/>
    </row>
    <row r="670" ht="14.25" customHeight="1">
      <c r="F670" s="187"/>
      <c r="AA670" s="1"/>
    </row>
    <row r="671" ht="14.25" customHeight="1">
      <c r="F671" s="187"/>
      <c r="AA671" s="1"/>
    </row>
    <row r="672" ht="14.25" customHeight="1">
      <c r="F672" s="187"/>
      <c r="AA672" s="1"/>
    </row>
    <row r="673" ht="14.25" customHeight="1">
      <c r="F673" s="187"/>
      <c r="AA673" s="1"/>
    </row>
    <row r="674" ht="14.25" customHeight="1">
      <c r="F674" s="187"/>
      <c r="AA674" s="1"/>
    </row>
    <row r="675" ht="14.25" customHeight="1">
      <c r="F675" s="187"/>
      <c r="AA675" s="1"/>
    </row>
    <row r="676" ht="14.25" customHeight="1">
      <c r="F676" s="187"/>
      <c r="AA676" s="1"/>
    </row>
    <row r="677" ht="14.25" customHeight="1">
      <c r="F677" s="187"/>
      <c r="AA677" s="1"/>
    </row>
    <row r="678" ht="14.25" customHeight="1">
      <c r="F678" s="187"/>
      <c r="AA678" s="1"/>
    </row>
    <row r="679" ht="14.25" customHeight="1">
      <c r="F679" s="187"/>
      <c r="AA679" s="1"/>
    </row>
    <row r="680" ht="14.25" customHeight="1">
      <c r="F680" s="187"/>
      <c r="AA680" s="1"/>
    </row>
    <row r="681" ht="14.25" customHeight="1">
      <c r="F681" s="187"/>
      <c r="AA681" s="1"/>
    </row>
    <row r="682" ht="14.25" customHeight="1">
      <c r="F682" s="187"/>
      <c r="AA682" s="1"/>
    </row>
    <row r="683" ht="14.25" customHeight="1">
      <c r="F683" s="187"/>
      <c r="AA683" s="1"/>
    </row>
    <row r="684" ht="14.25" customHeight="1">
      <c r="F684" s="187"/>
      <c r="AA684" s="1"/>
    </row>
    <row r="685" ht="14.25" customHeight="1">
      <c r="F685" s="187"/>
      <c r="AA685" s="1"/>
    </row>
    <row r="686" ht="14.25" customHeight="1">
      <c r="F686" s="187"/>
      <c r="AA686" s="1"/>
    </row>
    <row r="687" ht="14.25" customHeight="1">
      <c r="F687" s="187"/>
      <c r="AA687" s="1"/>
    </row>
    <row r="688" ht="14.25" customHeight="1">
      <c r="F688" s="187"/>
      <c r="AA688" s="1"/>
    </row>
    <row r="689" ht="14.25" customHeight="1">
      <c r="F689" s="187"/>
      <c r="AA689" s="1"/>
    </row>
    <row r="690" ht="14.25" customHeight="1">
      <c r="F690" s="187"/>
      <c r="AA690" s="1"/>
    </row>
    <row r="691" ht="14.25" customHeight="1">
      <c r="F691" s="187"/>
      <c r="AA691" s="1"/>
    </row>
    <row r="692" ht="14.25" customHeight="1">
      <c r="F692" s="187"/>
      <c r="AA692" s="1"/>
    </row>
    <row r="693" ht="14.25" customHeight="1">
      <c r="F693" s="187"/>
      <c r="AA693" s="1"/>
    </row>
    <row r="694" ht="14.25" customHeight="1">
      <c r="F694" s="187"/>
      <c r="AA694" s="1"/>
    </row>
    <row r="695" ht="14.25" customHeight="1">
      <c r="F695" s="187"/>
      <c r="AA695" s="1"/>
    </row>
    <row r="696" ht="14.25" customHeight="1">
      <c r="F696" s="187"/>
      <c r="AA696" s="1"/>
    </row>
    <row r="697" ht="14.25" customHeight="1">
      <c r="F697" s="187"/>
      <c r="AA697" s="1"/>
    </row>
    <row r="698" ht="14.25" customHeight="1">
      <c r="F698" s="187"/>
      <c r="AA698" s="1"/>
    </row>
    <row r="699" ht="14.25" customHeight="1">
      <c r="F699" s="187"/>
      <c r="AA699" s="1"/>
    </row>
    <row r="700" ht="14.25" customHeight="1">
      <c r="F700" s="187"/>
      <c r="AA700" s="1"/>
    </row>
    <row r="701" ht="14.25" customHeight="1">
      <c r="F701" s="187"/>
      <c r="AA701" s="1"/>
    </row>
    <row r="702" ht="14.25" customHeight="1">
      <c r="F702" s="187"/>
      <c r="AA702" s="1"/>
    </row>
    <row r="703" ht="14.25" customHeight="1">
      <c r="F703" s="187"/>
      <c r="AA703" s="1"/>
    </row>
    <row r="704" ht="14.25" customHeight="1">
      <c r="F704" s="187"/>
      <c r="AA704" s="1"/>
    </row>
    <row r="705" ht="14.25" customHeight="1">
      <c r="F705" s="187"/>
      <c r="AA705" s="1"/>
    </row>
    <row r="706" ht="14.25" customHeight="1">
      <c r="F706" s="187"/>
      <c r="AA706" s="1"/>
    </row>
    <row r="707" ht="14.25" customHeight="1">
      <c r="F707" s="187"/>
      <c r="AA707" s="1"/>
    </row>
    <row r="708" ht="14.25" customHeight="1">
      <c r="F708" s="187"/>
      <c r="AA708" s="1"/>
    </row>
    <row r="709" ht="14.25" customHeight="1">
      <c r="F709" s="187"/>
      <c r="AA709" s="1"/>
    </row>
    <row r="710" ht="14.25" customHeight="1">
      <c r="F710" s="187"/>
      <c r="AA710" s="1"/>
    </row>
    <row r="711" ht="14.25" customHeight="1">
      <c r="F711" s="187"/>
      <c r="AA711" s="1"/>
    </row>
    <row r="712" ht="14.25" customHeight="1">
      <c r="F712" s="187"/>
      <c r="AA712" s="1"/>
    </row>
    <row r="713" ht="14.25" customHeight="1">
      <c r="F713" s="187"/>
      <c r="AA713" s="1"/>
    </row>
    <row r="714" ht="14.25" customHeight="1">
      <c r="F714" s="187"/>
      <c r="AA714" s="1"/>
    </row>
    <row r="715" ht="14.25" customHeight="1">
      <c r="F715" s="187"/>
      <c r="AA715" s="1"/>
    </row>
    <row r="716" ht="14.25" customHeight="1">
      <c r="F716" s="187"/>
      <c r="AA716" s="1"/>
    </row>
    <row r="717" ht="14.25" customHeight="1">
      <c r="F717" s="187"/>
      <c r="AA717" s="1"/>
    </row>
    <row r="718" ht="14.25" customHeight="1">
      <c r="F718" s="187"/>
      <c r="AA718" s="1"/>
    </row>
    <row r="719" ht="14.25" customHeight="1">
      <c r="F719" s="187"/>
      <c r="AA719" s="1"/>
    </row>
    <row r="720" ht="14.25" customHeight="1">
      <c r="F720" s="187"/>
      <c r="AA720" s="1"/>
    </row>
    <row r="721" ht="14.25" customHeight="1">
      <c r="F721" s="187"/>
      <c r="AA721" s="1"/>
    </row>
    <row r="722" ht="14.25" customHeight="1">
      <c r="F722" s="187"/>
      <c r="AA722" s="1"/>
    </row>
    <row r="723" ht="14.25" customHeight="1">
      <c r="F723" s="187"/>
      <c r="AA723" s="1"/>
    </row>
    <row r="724" ht="14.25" customHeight="1">
      <c r="F724" s="187"/>
      <c r="AA724" s="1"/>
    </row>
    <row r="725" ht="14.25" customHeight="1">
      <c r="F725" s="187"/>
      <c r="AA725" s="1"/>
    </row>
    <row r="726" ht="14.25" customHeight="1">
      <c r="F726" s="187"/>
      <c r="AA726" s="1"/>
    </row>
    <row r="727" ht="14.25" customHeight="1">
      <c r="F727" s="187"/>
      <c r="AA727" s="1"/>
    </row>
    <row r="728" ht="14.25" customHeight="1">
      <c r="F728" s="187"/>
      <c r="AA728" s="1"/>
    </row>
    <row r="729" ht="14.25" customHeight="1">
      <c r="F729" s="187"/>
      <c r="AA729" s="1"/>
    </row>
    <row r="730" ht="14.25" customHeight="1">
      <c r="F730" s="187"/>
      <c r="AA730" s="1"/>
    </row>
    <row r="731" ht="14.25" customHeight="1">
      <c r="F731" s="187"/>
      <c r="AA731" s="1"/>
    </row>
    <row r="732" ht="14.25" customHeight="1">
      <c r="F732" s="187"/>
      <c r="AA732" s="1"/>
    </row>
    <row r="733" ht="14.25" customHeight="1">
      <c r="F733" s="187"/>
      <c r="AA733" s="1"/>
    </row>
    <row r="734" ht="14.25" customHeight="1">
      <c r="F734" s="187"/>
      <c r="AA734" s="1"/>
    </row>
    <row r="735" ht="14.25" customHeight="1">
      <c r="F735" s="187"/>
      <c r="AA735" s="1"/>
    </row>
    <row r="736" ht="14.25" customHeight="1">
      <c r="F736" s="187"/>
      <c r="AA736" s="1"/>
    </row>
    <row r="737" ht="14.25" customHeight="1">
      <c r="F737" s="187"/>
      <c r="AA737" s="1"/>
    </row>
    <row r="738" ht="14.25" customHeight="1">
      <c r="F738" s="187"/>
      <c r="AA738" s="1"/>
    </row>
    <row r="739" ht="14.25" customHeight="1">
      <c r="F739" s="187"/>
      <c r="AA739" s="1"/>
    </row>
    <row r="740" ht="14.25" customHeight="1">
      <c r="F740" s="187"/>
      <c r="AA740" s="1"/>
    </row>
    <row r="741" ht="14.25" customHeight="1">
      <c r="F741" s="187"/>
      <c r="AA741" s="1"/>
    </row>
    <row r="742" ht="14.25" customHeight="1">
      <c r="F742" s="187"/>
      <c r="AA742" s="1"/>
    </row>
    <row r="743" ht="14.25" customHeight="1">
      <c r="F743" s="187"/>
      <c r="AA743" s="1"/>
    </row>
    <row r="744" ht="14.25" customHeight="1">
      <c r="F744" s="187"/>
      <c r="AA744" s="1"/>
    </row>
    <row r="745" ht="14.25" customHeight="1">
      <c r="F745" s="187"/>
      <c r="AA745" s="1"/>
    </row>
    <row r="746" ht="14.25" customHeight="1">
      <c r="F746" s="187"/>
      <c r="AA746" s="1"/>
    </row>
    <row r="747" ht="14.25" customHeight="1">
      <c r="F747" s="187"/>
      <c r="AA747" s="1"/>
    </row>
    <row r="748" ht="14.25" customHeight="1">
      <c r="F748" s="187"/>
      <c r="AA748" s="1"/>
    </row>
    <row r="749" ht="14.25" customHeight="1">
      <c r="F749" s="187"/>
      <c r="AA749" s="1"/>
    </row>
    <row r="750" ht="14.25" customHeight="1">
      <c r="F750" s="187"/>
      <c r="AA750" s="1"/>
    </row>
    <row r="751" ht="14.25" customHeight="1">
      <c r="F751" s="187"/>
      <c r="AA751" s="1"/>
    </row>
    <row r="752" ht="14.25" customHeight="1">
      <c r="F752" s="187"/>
      <c r="AA752" s="1"/>
    </row>
    <row r="753" ht="14.25" customHeight="1">
      <c r="F753" s="187"/>
      <c r="AA753" s="1"/>
    </row>
    <row r="754" ht="14.25" customHeight="1">
      <c r="F754" s="187"/>
      <c r="AA754" s="1"/>
    </row>
    <row r="755" ht="14.25" customHeight="1">
      <c r="F755" s="187"/>
      <c r="AA755" s="1"/>
    </row>
    <row r="756" ht="14.25" customHeight="1">
      <c r="F756" s="187"/>
      <c r="AA756" s="1"/>
    </row>
    <row r="757" ht="14.25" customHeight="1">
      <c r="F757" s="187"/>
      <c r="AA757" s="1"/>
    </row>
    <row r="758" ht="14.25" customHeight="1">
      <c r="F758" s="187"/>
      <c r="AA758" s="1"/>
    </row>
    <row r="759" ht="14.25" customHeight="1">
      <c r="F759" s="187"/>
      <c r="AA759" s="1"/>
    </row>
    <row r="760" ht="14.25" customHeight="1">
      <c r="F760" s="187"/>
      <c r="AA760" s="1"/>
    </row>
    <row r="761" ht="14.25" customHeight="1">
      <c r="F761" s="187"/>
      <c r="AA761" s="1"/>
    </row>
    <row r="762" ht="14.25" customHeight="1">
      <c r="F762" s="187"/>
      <c r="AA762" s="1"/>
    </row>
    <row r="763" ht="14.25" customHeight="1">
      <c r="F763" s="187"/>
      <c r="AA763" s="1"/>
    </row>
    <row r="764" ht="14.25" customHeight="1">
      <c r="F764" s="187"/>
      <c r="AA764" s="1"/>
    </row>
    <row r="765" ht="14.25" customHeight="1">
      <c r="F765" s="187"/>
      <c r="AA765" s="1"/>
    </row>
    <row r="766" ht="14.25" customHeight="1">
      <c r="F766" s="187"/>
      <c r="AA766" s="1"/>
    </row>
    <row r="767" ht="14.25" customHeight="1">
      <c r="F767" s="187"/>
      <c r="AA767" s="1"/>
    </row>
    <row r="768" ht="14.25" customHeight="1">
      <c r="F768" s="187"/>
      <c r="AA768" s="1"/>
    </row>
    <row r="769" ht="14.25" customHeight="1">
      <c r="F769" s="187"/>
      <c r="AA769" s="1"/>
    </row>
    <row r="770" ht="14.25" customHeight="1">
      <c r="F770" s="187"/>
      <c r="AA770" s="1"/>
    </row>
    <row r="771" ht="14.25" customHeight="1">
      <c r="F771" s="187"/>
      <c r="AA771" s="1"/>
    </row>
    <row r="772" ht="14.25" customHeight="1">
      <c r="F772" s="187"/>
      <c r="AA772" s="1"/>
    </row>
    <row r="773" ht="14.25" customHeight="1">
      <c r="F773" s="187"/>
      <c r="AA773" s="1"/>
    </row>
    <row r="774" ht="14.25" customHeight="1">
      <c r="F774" s="187"/>
      <c r="AA774" s="1"/>
    </row>
    <row r="775" ht="14.25" customHeight="1">
      <c r="F775" s="187"/>
      <c r="AA775" s="1"/>
    </row>
    <row r="776" ht="14.25" customHeight="1">
      <c r="F776" s="187"/>
      <c r="AA776" s="1"/>
    </row>
    <row r="777" ht="14.25" customHeight="1">
      <c r="F777" s="187"/>
      <c r="AA777" s="1"/>
    </row>
    <row r="778" ht="14.25" customHeight="1">
      <c r="F778" s="187"/>
      <c r="AA778" s="1"/>
    </row>
    <row r="779" ht="14.25" customHeight="1">
      <c r="F779" s="187"/>
      <c r="AA779" s="1"/>
    </row>
    <row r="780" ht="14.25" customHeight="1">
      <c r="F780" s="187"/>
      <c r="AA780" s="1"/>
    </row>
    <row r="781" ht="14.25" customHeight="1">
      <c r="F781" s="187"/>
      <c r="AA781" s="1"/>
    </row>
    <row r="782" ht="14.25" customHeight="1">
      <c r="F782" s="187"/>
      <c r="AA782" s="1"/>
    </row>
    <row r="783" ht="14.25" customHeight="1">
      <c r="F783" s="187"/>
      <c r="AA783" s="1"/>
    </row>
    <row r="784" ht="14.25" customHeight="1">
      <c r="F784" s="187"/>
      <c r="AA784" s="1"/>
    </row>
    <row r="785" ht="14.25" customHeight="1">
      <c r="F785" s="187"/>
      <c r="AA785" s="1"/>
    </row>
    <row r="786" ht="14.25" customHeight="1">
      <c r="F786" s="187"/>
      <c r="AA786" s="1"/>
    </row>
    <row r="787" ht="14.25" customHeight="1">
      <c r="F787" s="187"/>
      <c r="AA787" s="1"/>
    </row>
    <row r="788" ht="14.25" customHeight="1">
      <c r="F788" s="187"/>
      <c r="AA788" s="1"/>
    </row>
    <row r="789" ht="14.25" customHeight="1">
      <c r="F789" s="187"/>
      <c r="AA789" s="1"/>
    </row>
    <row r="790" ht="14.25" customHeight="1">
      <c r="F790" s="187"/>
      <c r="AA790" s="1"/>
    </row>
    <row r="791" ht="14.25" customHeight="1">
      <c r="F791" s="187"/>
      <c r="AA791" s="1"/>
    </row>
    <row r="792" ht="14.25" customHeight="1">
      <c r="F792" s="187"/>
      <c r="AA792" s="1"/>
    </row>
    <row r="793" ht="14.25" customHeight="1">
      <c r="F793" s="187"/>
      <c r="AA793" s="1"/>
    </row>
    <row r="794" ht="14.25" customHeight="1">
      <c r="F794" s="187"/>
      <c r="AA794" s="1"/>
    </row>
    <row r="795" ht="14.25" customHeight="1">
      <c r="F795" s="187"/>
      <c r="AA795" s="1"/>
    </row>
    <row r="796" ht="14.25" customHeight="1">
      <c r="F796" s="187"/>
      <c r="AA796" s="1"/>
    </row>
    <row r="797" ht="14.25" customHeight="1">
      <c r="F797" s="187"/>
      <c r="AA797" s="1"/>
    </row>
    <row r="798" ht="14.25" customHeight="1">
      <c r="F798" s="187"/>
      <c r="AA798" s="1"/>
    </row>
    <row r="799" ht="14.25" customHeight="1">
      <c r="F799" s="187"/>
      <c r="AA799" s="1"/>
    </row>
    <row r="800" ht="14.25" customHeight="1">
      <c r="F800" s="187"/>
      <c r="AA800" s="1"/>
    </row>
    <row r="801" ht="14.25" customHeight="1">
      <c r="F801" s="187"/>
      <c r="AA801" s="1"/>
    </row>
    <row r="802" ht="14.25" customHeight="1">
      <c r="F802" s="187"/>
      <c r="AA802" s="1"/>
    </row>
    <row r="803" ht="14.25" customHeight="1">
      <c r="F803" s="187"/>
      <c r="AA803" s="1"/>
    </row>
    <row r="804" ht="14.25" customHeight="1">
      <c r="F804" s="187"/>
      <c r="AA804" s="1"/>
    </row>
    <row r="805" ht="14.25" customHeight="1">
      <c r="F805" s="187"/>
      <c r="AA805" s="1"/>
    </row>
    <row r="806" ht="14.25" customHeight="1">
      <c r="F806" s="187"/>
      <c r="AA806" s="1"/>
    </row>
    <row r="807" ht="14.25" customHeight="1">
      <c r="F807" s="187"/>
      <c r="AA807" s="1"/>
    </row>
    <row r="808" ht="14.25" customHeight="1">
      <c r="F808" s="187"/>
      <c r="AA808" s="1"/>
    </row>
    <row r="809" ht="14.25" customHeight="1">
      <c r="F809" s="187"/>
      <c r="AA809" s="1"/>
    </row>
    <row r="810" ht="14.25" customHeight="1">
      <c r="F810" s="187"/>
      <c r="AA810" s="1"/>
    </row>
    <row r="811" ht="14.25" customHeight="1">
      <c r="F811" s="187"/>
      <c r="AA811" s="1"/>
    </row>
    <row r="812" ht="14.25" customHeight="1">
      <c r="F812" s="187"/>
      <c r="AA812" s="1"/>
    </row>
    <row r="813" ht="14.25" customHeight="1">
      <c r="F813" s="187"/>
      <c r="AA813" s="1"/>
    </row>
    <row r="814" ht="14.25" customHeight="1">
      <c r="F814" s="187"/>
      <c r="AA814" s="1"/>
    </row>
    <row r="815" ht="14.25" customHeight="1">
      <c r="F815" s="187"/>
      <c r="AA815" s="1"/>
    </row>
    <row r="816" ht="14.25" customHeight="1">
      <c r="F816" s="187"/>
      <c r="AA816" s="1"/>
    </row>
    <row r="817" ht="14.25" customHeight="1">
      <c r="F817" s="187"/>
      <c r="AA817" s="1"/>
    </row>
    <row r="818" ht="14.25" customHeight="1">
      <c r="F818" s="187"/>
      <c r="AA818" s="1"/>
    </row>
    <row r="819" ht="14.25" customHeight="1">
      <c r="F819" s="187"/>
      <c r="AA819" s="1"/>
    </row>
    <row r="820" ht="14.25" customHeight="1">
      <c r="F820" s="187"/>
      <c r="AA820" s="1"/>
    </row>
    <row r="821" ht="14.25" customHeight="1">
      <c r="F821" s="187"/>
      <c r="AA821" s="1"/>
    </row>
    <row r="822" ht="14.25" customHeight="1">
      <c r="F822" s="187"/>
      <c r="AA822" s="1"/>
    </row>
    <row r="823" ht="14.25" customHeight="1">
      <c r="F823" s="187"/>
      <c r="AA823" s="1"/>
    </row>
    <row r="824" ht="14.25" customHeight="1">
      <c r="F824" s="187"/>
      <c r="AA824" s="1"/>
    </row>
    <row r="825" ht="14.25" customHeight="1">
      <c r="F825" s="187"/>
      <c r="AA825" s="1"/>
    </row>
    <row r="826" ht="14.25" customHeight="1">
      <c r="F826" s="187"/>
      <c r="AA826" s="1"/>
    </row>
    <row r="827" ht="14.25" customHeight="1">
      <c r="F827" s="187"/>
      <c r="AA827" s="1"/>
    </row>
    <row r="828" ht="14.25" customHeight="1">
      <c r="F828" s="187"/>
      <c r="AA828" s="1"/>
    </row>
    <row r="829" ht="14.25" customHeight="1">
      <c r="F829" s="187"/>
      <c r="AA829" s="1"/>
    </row>
    <row r="830" ht="14.25" customHeight="1">
      <c r="F830" s="187"/>
      <c r="AA830" s="1"/>
    </row>
    <row r="831" ht="14.25" customHeight="1">
      <c r="F831" s="187"/>
      <c r="AA831" s="1"/>
    </row>
    <row r="832" ht="14.25" customHeight="1">
      <c r="F832" s="187"/>
      <c r="AA832" s="1"/>
    </row>
    <row r="833" ht="14.25" customHeight="1">
      <c r="F833" s="187"/>
      <c r="AA833" s="1"/>
    </row>
    <row r="834" ht="14.25" customHeight="1">
      <c r="F834" s="187"/>
      <c r="AA834" s="1"/>
    </row>
    <row r="835" ht="14.25" customHeight="1">
      <c r="F835" s="187"/>
      <c r="AA835" s="1"/>
    </row>
    <row r="836" ht="14.25" customHeight="1">
      <c r="F836" s="187"/>
      <c r="AA836" s="1"/>
    </row>
    <row r="837" ht="14.25" customHeight="1">
      <c r="F837" s="187"/>
      <c r="AA837" s="1"/>
    </row>
    <row r="838" ht="14.25" customHeight="1">
      <c r="F838" s="187"/>
      <c r="AA838" s="1"/>
    </row>
    <row r="839" ht="14.25" customHeight="1">
      <c r="F839" s="187"/>
      <c r="AA839" s="1"/>
    </row>
    <row r="840" ht="14.25" customHeight="1">
      <c r="F840" s="187"/>
      <c r="AA840" s="1"/>
    </row>
    <row r="841" ht="14.25" customHeight="1">
      <c r="F841" s="187"/>
      <c r="AA841" s="1"/>
    </row>
    <row r="842" ht="14.25" customHeight="1">
      <c r="F842" s="187"/>
      <c r="AA842" s="1"/>
    </row>
    <row r="843" ht="14.25" customHeight="1">
      <c r="F843" s="187"/>
      <c r="AA843" s="1"/>
    </row>
    <row r="844" ht="14.25" customHeight="1">
      <c r="F844" s="187"/>
      <c r="AA844" s="1"/>
    </row>
    <row r="845" ht="14.25" customHeight="1">
      <c r="F845" s="187"/>
      <c r="AA845" s="1"/>
    </row>
    <row r="846" ht="14.25" customHeight="1">
      <c r="F846" s="187"/>
      <c r="AA846" s="1"/>
    </row>
    <row r="847" ht="14.25" customHeight="1">
      <c r="F847" s="187"/>
      <c r="AA847" s="1"/>
    </row>
    <row r="848" ht="14.25" customHeight="1">
      <c r="F848" s="187"/>
      <c r="AA848" s="1"/>
    </row>
    <row r="849" ht="14.25" customHeight="1">
      <c r="F849" s="187"/>
      <c r="AA849" s="1"/>
    </row>
    <row r="850" ht="14.25" customHeight="1">
      <c r="F850" s="187"/>
      <c r="AA850" s="1"/>
    </row>
    <row r="851" ht="14.25" customHeight="1">
      <c r="F851" s="187"/>
      <c r="AA851" s="1"/>
    </row>
    <row r="852" ht="14.25" customHeight="1">
      <c r="F852" s="187"/>
      <c r="AA852" s="1"/>
    </row>
    <row r="853" ht="14.25" customHeight="1">
      <c r="F853" s="187"/>
      <c r="AA853" s="1"/>
    </row>
    <row r="854" ht="14.25" customHeight="1">
      <c r="F854" s="187"/>
      <c r="AA854" s="1"/>
    </row>
    <row r="855" ht="14.25" customHeight="1">
      <c r="F855" s="187"/>
      <c r="AA855" s="1"/>
    </row>
    <row r="856" ht="14.25" customHeight="1">
      <c r="F856" s="187"/>
      <c r="AA856" s="1"/>
    </row>
    <row r="857" ht="14.25" customHeight="1">
      <c r="F857" s="187"/>
      <c r="AA857" s="1"/>
    </row>
    <row r="858" ht="14.25" customHeight="1">
      <c r="F858" s="187"/>
      <c r="AA858" s="1"/>
    </row>
    <row r="859" ht="14.25" customHeight="1">
      <c r="F859" s="187"/>
      <c r="AA859" s="1"/>
    </row>
    <row r="860" ht="14.25" customHeight="1">
      <c r="F860" s="187"/>
      <c r="AA860" s="1"/>
    </row>
    <row r="861" ht="14.25" customHeight="1">
      <c r="F861" s="187"/>
      <c r="AA861" s="1"/>
    </row>
    <row r="862" ht="14.25" customHeight="1">
      <c r="F862" s="187"/>
      <c r="AA862" s="1"/>
    </row>
    <row r="863" ht="14.25" customHeight="1">
      <c r="F863" s="187"/>
      <c r="AA863" s="1"/>
    </row>
    <row r="864" ht="14.25" customHeight="1">
      <c r="F864" s="187"/>
      <c r="AA864" s="1"/>
    </row>
    <row r="865" ht="14.25" customHeight="1">
      <c r="F865" s="187"/>
      <c r="AA865" s="1"/>
    </row>
    <row r="866" ht="14.25" customHeight="1">
      <c r="F866" s="187"/>
      <c r="AA866" s="1"/>
    </row>
    <row r="867" ht="14.25" customHeight="1">
      <c r="F867" s="187"/>
      <c r="AA867" s="1"/>
    </row>
    <row r="868" ht="14.25" customHeight="1">
      <c r="F868" s="187"/>
      <c r="AA868" s="1"/>
    </row>
    <row r="869" ht="14.25" customHeight="1">
      <c r="F869" s="187"/>
      <c r="AA869" s="1"/>
    </row>
    <row r="870" ht="14.25" customHeight="1">
      <c r="F870" s="187"/>
      <c r="AA870" s="1"/>
    </row>
    <row r="871" ht="14.25" customHeight="1">
      <c r="F871" s="187"/>
      <c r="AA871" s="1"/>
    </row>
    <row r="872" ht="14.25" customHeight="1">
      <c r="F872" s="187"/>
      <c r="AA872" s="1"/>
    </row>
    <row r="873" ht="14.25" customHeight="1">
      <c r="F873" s="187"/>
      <c r="AA873" s="1"/>
    </row>
    <row r="874" ht="14.25" customHeight="1">
      <c r="F874" s="187"/>
      <c r="AA874" s="1"/>
    </row>
    <row r="875" ht="14.25" customHeight="1">
      <c r="F875" s="187"/>
      <c r="AA875" s="1"/>
    </row>
    <row r="876" ht="14.25" customHeight="1">
      <c r="F876" s="187"/>
      <c r="AA876" s="1"/>
    </row>
    <row r="877" ht="14.25" customHeight="1">
      <c r="F877" s="187"/>
      <c r="AA877" s="1"/>
    </row>
    <row r="878" ht="14.25" customHeight="1">
      <c r="F878" s="187"/>
      <c r="AA878" s="1"/>
    </row>
    <row r="879" ht="14.25" customHeight="1">
      <c r="F879" s="187"/>
      <c r="AA879" s="1"/>
    </row>
    <row r="880" ht="14.25" customHeight="1">
      <c r="F880" s="187"/>
      <c r="AA880" s="1"/>
    </row>
    <row r="881" ht="14.25" customHeight="1">
      <c r="F881" s="187"/>
      <c r="AA881" s="1"/>
    </row>
    <row r="882" ht="14.25" customHeight="1">
      <c r="F882" s="187"/>
      <c r="AA882" s="1"/>
    </row>
    <row r="883" ht="14.25" customHeight="1">
      <c r="F883" s="187"/>
      <c r="AA883" s="1"/>
    </row>
    <row r="884" ht="14.25" customHeight="1">
      <c r="F884" s="187"/>
      <c r="AA884" s="1"/>
    </row>
    <row r="885" ht="14.25" customHeight="1">
      <c r="F885" s="187"/>
      <c r="AA885" s="1"/>
    </row>
    <row r="886" ht="14.25" customHeight="1">
      <c r="F886" s="187"/>
      <c r="AA886" s="1"/>
    </row>
    <row r="887" ht="14.25" customHeight="1">
      <c r="F887" s="187"/>
      <c r="AA887" s="1"/>
    </row>
    <row r="888" ht="14.25" customHeight="1">
      <c r="F888" s="187"/>
      <c r="AA888" s="1"/>
    </row>
    <row r="889" ht="14.25" customHeight="1">
      <c r="F889" s="187"/>
      <c r="AA889" s="1"/>
    </row>
    <row r="890" ht="14.25" customHeight="1">
      <c r="F890" s="187"/>
      <c r="AA890" s="1"/>
    </row>
    <row r="891" ht="14.25" customHeight="1">
      <c r="F891" s="187"/>
      <c r="AA891" s="1"/>
    </row>
    <row r="892" ht="14.25" customHeight="1">
      <c r="F892" s="187"/>
      <c r="AA892" s="1"/>
    </row>
    <row r="893" ht="14.25" customHeight="1">
      <c r="F893" s="187"/>
      <c r="AA893" s="1"/>
    </row>
    <row r="894" ht="14.25" customHeight="1">
      <c r="F894" s="187"/>
      <c r="AA894" s="1"/>
    </row>
    <row r="895" ht="14.25" customHeight="1">
      <c r="F895" s="187"/>
      <c r="AA895" s="1"/>
    </row>
    <row r="896" ht="14.25" customHeight="1">
      <c r="F896" s="187"/>
      <c r="AA896" s="1"/>
    </row>
    <row r="897" ht="14.25" customHeight="1">
      <c r="F897" s="187"/>
      <c r="AA897" s="1"/>
    </row>
    <row r="898" ht="14.25" customHeight="1">
      <c r="F898" s="187"/>
      <c r="AA898" s="1"/>
    </row>
    <row r="899" ht="14.25" customHeight="1">
      <c r="F899" s="187"/>
      <c r="AA899" s="1"/>
    </row>
    <row r="900" ht="14.25" customHeight="1">
      <c r="F900" s="187"/>
      <c r="AA900" s="1"/>
    </row>
    <row r="901" ht="14.25" customHeight="1">
      <c r="F901" s="187"/>
      <c r="AA901" s="1"/>
    </row>
    <row r="902" ht="14.25" customHeight="1">
      <c r="F902" s="187"/>
      <c r="AA902" s="1"/>
    </row>
    <row r="903" ht="14.25" customHeight="1">
      <c r="F903" s="187"/>
      <c r="AA903" s="1"/>
    </row>
    <row r="904" ht="14.25" customHeight="1">
      <c r="F904" s="187"/>
      <c r="AA904" s="1"/>
    </row>
    <row r="905" ht="14.25" customHeight="1">
      <c r="F905" s="187"/>
      <c r="AA905" s="1"/>
    </row>
    <row r="906" ht="14.25" customHeight="1">
      <c r="F906" s="187"/>
      <c r="AA906" s="1"/>
    </row>
    <row r="907" ht="14.25" customHeight="1">
      <c r="F907" s="187"/>
      <c r="AA907" s="1"/>
    </row>
    <row r="908" ht="14.25" customHeight="1">
      <c r="F908" s="187"/>
      <c r="AA908" s="1"/>
    </row>
    <row r="909" ht="14.25" customHeight="1">
      <c r="F909" s="187"/>
      <c r="AA909" s="1"/>
    </row>
    <row r="910" ht="14.25" customHeight="1">
      <c r="F910" s="187"/>
      <c r="AA910" s="1"/>
    </row>
    <row r="911" ht="14.25" customHeight="1">
      <c r="F911" s="187"/>
      <c r="AA911" s="1"/>
    </row>
    <row r="912" ht="14.25" customHeight="1">
      <c r="F912" s="187"/>
      <c r="AA912" s="1"/>
    </row>
    <row r="913" ht="14.25" customHeight="1">
      <c r="F913" s="187"/>
      <c r="AA913" s="1"/>
    </row>
    <row r="914" ht="14.25" customHeight="1">
      <c r="F914" s="187"/>
      <c r="AA914" s="1"/>
    </row>
    <row r="915" ht="14.25" customHeight="1">
      <c r="F915" s="187"/>
      <c r="AA915" s="1"/>
    </row>
    <row r="916" ht="14.25" customHeight="1">
      <c r="F916" s="187"/>
      <c r="AA916" s="1"/>
    </row>
    <row r="917" ht="14.25" customHeight="1">
      <c r="F917" s="187"/>
      <c r="AA917" s="1"/>
    </row>
    <row r="918" ht="14.25" customHeight="1">
      <c r="F918" s="187"/>
      <c r="AA918" s="1"/>
    </row>
    <row r="919" ht="14.25" customHeight="1">
      <c r="F919" s="187"/>
      <c r="AA919" s="1"/>
    </row>
    <row r="920" ht="14.25" customHeight="1">
      <c r="F920" s="187"/>
      <c r="AA920" s="1"/>
    </row>
    <row r="921" ht="14.25" customHeight="1">
      <c r="F921" s="187"/>
      <c r="AA921" s="1"/>
    </row>
    <row r="922" ht="14.25" customHeight="1">
      <c r="F922" s="187"/>
      <c r="AA922" s="1"/>
    </row>
    <row r="923" ht="14.25" customHeight="1">
      <c r="F923" s="187"/>
      <c r="AA923" s="1"/>
    </row>
    <row r="924" ht="14.25" customHeight="1">
      <c r="F924" s="187"/>
      <c r="AA924" s="1"/>
    </row>
    <row r="925" ht="14.25" customHeight="1">
      <c r="F925" s="187"/>
      <c r="AA925" s="1"/>
    </row>
    <row r="926" ht="14.25" customHeight="1">
      <c r="F926" s="187"/>
      <c r="AA926" s="1"/>
    </row>
    <row r="927" ht="14.25" customHeight="1">
      <c r="F927" s="187"/>
      <c r="AA927" s="1"/>
    </row>
    <row r="928" ht="14.25" customHeight="1">
      <c r="F928" s="187"/>
      <c r="AA928" s="1"/>
    </row>
    <row r="929" ht="14.25" customHeight="1">
      <c r="F929" s="187"/>
      <c r="AA929" s="1"/>
    </row>
    <row r="930" ht="14.25" customHeight="1">
      <c r="F930" s="187"/>
      <c r="AA930" s="1"/>
    </row>
    <row r="931" ht="14.25" customHeight="1">
      <c r="F931" s="187"/>
      <c r="AA931" s="1"/>
    </row>
    <row r="932" ht="14.25" customHeight="1">
      <c r="F932" s="187"/>
      <c r="AA932" s="1"/>
    </row>
    <row r="933" ht="14.25" customHeight="1">
      <c r="F933" s="187"/>
      <c r="AA933" s="1"/>
    </row>
    <row r="934" ht="14.25" customHeight="1">
      <c r="F934" s="187"/>
      <c r="AA934" s="1"/>
    </row>
    <row r="935" ht="14.25" customHeight="1">
      <c r="F935" s="187"/>
      <c r="AA935" s="1"/>
    </row>
    <row r="936" ht="14.25" customHeight="1">
      <c r="F936" s="187"/>
      <c r="AA936" s="1"/>
    </row>
    <row r="937" ht="14.25" customHeight="1">
      <c r="F937" s="187"/>
      <c r="AA937" s="1"/>
    </row>
    <row r="938" ht="14.25" customHeight="1">
      <c r="F938" s="187"/>
      <c r="AA938" s="1"/>
    </row>
    <row r="939" ht="14.25" customHeight="1">
      <c r="F939" s="187"/>
      <c r="AA939" s="1"/>
    </row>
    <row r="940" ht="14.25" customHeight="1">
      <c r="F940" s="187"/>
      <c r="AA940" s="1"/>
    </row>
    <row r="941" ht="14.25" customHeight="1">
      <c r="F941" s="187"/>
      <c r="AA941" s="1"/>
    </row>
    <row r="942" ht="14.25" customHeight="1">
      <c r="F942" s="187"/>
      <c r="AA942" s="1"/>
    </row>
    <row r="943" ht="14.25" customHeight="1">
      <c r="F943" s="187"/>
      <c r="AA943" s="1"/>
    </row>
    <row r="944" ht="14.25" customHeight="1">
      <c r="F944" s="187"/>
      <c r="AA944" s="1"/>
    </row>
    <row r="945" ht="14.25" customHeight="1">
      <c r="F945" s="187"/>
      <c r="AA945" s="1"/>
    </row>
    <row r="946" ht="14.25" customHeight="1">
      <c r="F946" s="187"/>
      <c r="AA946" s="1"/>
    </row>
    <row r="947" ht="14.25" customHeight="1">
      <c r="F947" s="187"/>
      <c r="AA947" s="1"/>
    </row>
    <row r="948" ht="14.25" customHeight="1">
      <c r="F948" s="187"/>
      <c r="AA948" s="1"/>
    </row>
    <row r="949" ht="14.25" customHeight="1">
      <c r="F949" s="187"/>
      <c r="AA949" s="1"/>
    </row>
    <row r="950" ht="14.25" customHeight="1">
      <c r="F950" s="187"/>
      <c r="AA950" s="1"/>
    </row>
    <row r="951" ht="14.25" customHeight="1">
      <c r="F951" s="187"/>
      <c r="AA951" s="1"/>
    </row>
    <row r="952" ht="14.25" customHeight="1">
      <c r="F952" s="187"/>
      <c r="AA952" s="1"/>
    </row>
    <row r="953" ht="14.25" customHeight="1">
      <c r="F953" s="187"/>
      <c r="AA953" s="1"/>
    </row>
    <row r="954" ht="14.25" customHeight="1">
      <c r="F954" s="187"/>
      <c r="AA954" s="1"/>
    </row>
    <row r="955" ht="14.25" customHeight="1">
      <c r="F955" s="187"/>
      <c r="AA955" s="1"/>
    </row>
    <row r="956" ht="14.25" customHeight="1">
      <c r="F956" s="187"/>
      <c r="AA956" s="1"/>
    </row>
    <row r="957" ht="14.25" customHeight="1">
      <c r="F957" s="187"/>
      <c r="AA957" s="1"/>
    </row>
    <row r="958" ht="14.25" customHeight="1">
      <c r="F958" s="187"/>
      <c r="AA958" s="1"/>
    </row>
    <row r="959" ht="14.25" customHeight="1">
      <c r="F959" s="187"/>
      <c r="AA959" s="1"/>
    </row>
    <row r="960" ht="14.25" customHeight="1">
      <c r="F960" s="187"/>
      <c r="AA960" s="1"/>
    </row>
    <row r="961" ht="14.25" customHeight="1">
      <c r="F961" s="187"/>
      <c r="AA961" s="1"/>
    </row>
    <row r="962" ht="14.25" customHeight="1">
      <c r="F962" s="187"/>
      <c r="AA962" s="1"/>
    </row>
    <row r="963" ht="14.25" customHeight="1">
      <c r="F963" s="187"/>
      <c r="AA963" s="1"/>
    </row>
    <row r="964" ht="14.25" customHeight="1">
      <c r="F964" s="187"/>
      <c r="AA964" s="1"/>
    </row>
    <row r="965" ht="14.25" customHeight="1">
      <c r="F965" s="187"/>
      <c r="AA965" s="1"/>
    </row>
    <row r="966" ht="14.25" customHeight="1">
      <c r="F966" s="187"/>
      <c r="AA966" s="1"/>
    </row>
    <row r="967" ht="14.25" customHeight="1">
      <c r="F967" s="187"/>
      <c r="AA967" s="1"/>
    </row>
    <row r="968" ht="14.25" customHeight="1">
      <c r="F968" s="187"/>
      <c r="AA968" s="1"/>
    </row>
    <row r="969" ht="14.25" customHeight="1">
      <c r="F969" s="187"/>
      <c r="AA969" s="1"/>
    </row>
    <row r="970" ht="14.25" customHeight="1">
      <c r="F970" s="187"/>
      <c r="AA970" s="1"/>
    </row>
    <row r="971" ht="14.25" customHeight="1">
      <c r="F971" s="187"/>
      <c r="AA971" s="1"/>
    </row>
    <row r="972" ht="14.25" customHeight="1">
      <c r="F972" s="187"/>
      <c r="AA972" s="1"/>
    </row>
    <row r="973" ht="14.25" customHeight="1">
      <c r="F973" s="187"/>
      <c r="AA973" s="1"/>
    </row>
    <row r="974" ht="14.25" customHeight="1">
      <c r="F974" s="187"/>
      <c r="AA974" s="1"/>
    </row>
    <row r="975" ht="14.25" customHeight="1">
      <c r="F975" s="187"/>
      <c r="AA975" s="1"/>
    </row>
    <row r="976" ht="14.25" customHeight="1">
      <c r="F976" s="187"/>
      <c r="AA976" s="1"/>
    </row>
    <row r="977" ht="14.25" customHeight="1">
      <c r="F977" s="187"/>
      <c r="AA977" s="1"/>
    </row>
    <row r="978" ht="14.25" customHeight="1">
      <c r="F978" s="187"/>
      <c r="AA978" s="1"/>
    </row>
    <row r="979" ht="14.25" customHeight="1">
      <c r="F979" s="187"/>
      <c r="AA979" s="1"/>
    </row>
    <row r="980" ht="14.25" customHeight="1">
      <c r="F980" s="187"/>
      <c r="AA980" s="1"/>
    </row>
    <row r="981" ht="14.25" customHeight="1">
      <c r="F981" s="187"/>
      <c r="AA981" s="1"/>
    </row>
    <row r="982" ht="14.25" customHeight="1">
      <c r="F982" s="187"/>
      <c r="AA982" s="1"/>
    </row>
    <row r="983" ht="14.25" customHeight="1">
      <c r="F983" s="187"/>
      <c r="AA983" s="1"/>
    </row>
    <row r="984" ht="14.25" customHeight="1">
      <c r="F984" s="187"/>
      <c r="AA984" s="1"/>
    </row>
    <row r="985" ht="14.25" customHeight="1">
      <c r="F985" s="187"/>
      <c r="AA985" s="1"/>
    </row>
    <row r="986" ht="14.25" customHeight="1">
      <c r="F986" s="187"/>
      <c r="AA986" s="1"/>
    </row>
    <row r="987" ht="14.25" customHeight="1">
      <c r="F987" s="187"/>
      <c r="AA987" s="1"/>
    </row>
    <row r="988" ht="14.25" customHeight="1">
      <c r="F988" s="187"/>
      <c r="AA988" s="1"/>
    </row>
    <row r="989" ht="14.25" customHeight="1">
      <c r="F989" s="187"/>
      <c r="AA989" s="1"/>
    </row>
    <row r="990" ht="14.25" customHeight="1">
      <c r="F990" s="187"/>
      <c r="AA990" s="1"/>
    </row>
    <row r="991" ht="14.25" customHeight="1">
      <c r="F991" s="187"/>
      <c r="AA991" s="1"/>
    </row>
    <row r="992" ht="14.25" customHeight="1">
      <c r="F992" s="187"/>
      <c r="AA992" s="1"/>
    </row>
    <row r="993" ht="14.25" customHeight="1">
      <c r="F993" s="187"/>
      <c r="AA993" s="1"/>
    </row>
    <row r="994" ht="14.25" customHeight="1">
      <c r="F994" s="187"/>
      <c r="AA994" s="1"/>
    </row>
    <row r="995" ht="14.25" customHeight="1">
      <c r="F995" s="187"/>
      <c r="AA995" s="1"/>
    </row>
    <row r="996" ht="14.25" customHeight="1">
      <c r="F996" s="187"/>
      <c r="AA996" s="1"/>
    </row>
    <row r="997" ht="14.25" customHeight="1">
      <c r="F997" s="187"/>
      <c r="AA997" s="1"/>
    </row>
    <row r="998" ht="14.25" customHeight="1">
      <c r="F998" s="187"/>
      <c r="AA998" s="1"/>
    </row>
    <row r="999" ht="14.25" customHeight="1">
      <c r="F999" s="187"/>
      <c r="AA999" s="1"/>
    </row>
    <row r="1000" ht="14.25" customHeight="1">
      <c r="F1000" s="187"/>
      <c r="AA1000" s="1"/>
    </row>
  </sheetData>
  <mergeCells count="27">
    <mergeCell ref="A5:D5"/>
    <mergeCell ref="B6:B7"/>
    <mergeCell ref="C6:C7"/>
    <mergeCell ref="D6:D7"/>
    <mergeCell ref="E6:E7"/>
    <mergeCell ref="AL6:AL7"/>
    <mergeCell ref="AM6:AM7"/>
    <mergeCell ref="F6:F7"/>
    <mergeCell ref="F24:F34"/>
    <mergeCell ref="A44:A45"/>
    <mergeCell ref="B44:B45"/>
    <mergeCell ref="C44:C45"/>
    <mergeCell ref="D44:D45"/>
    <mergeCell ref="F44:F45"/>
    <mergeCell ref="B60:F60"/>
    <mergeCell ref="A66:F66"/>
    <mergeCell ref="E70:F70"/>
    <mergeCell ref="P70:W70"/>
    <mergeCell ref="E72:F72"/>
    <mergeCell ref="E74:F74"/>
    <mergeCell ref="A46:A47"/>
    <mergeCell ref="B46:B47"/>
    <mergeCell ref="C46:C47"/>
    <mergeCell ref="D46:D47"/>
    <mergeCell ref="F46:F47"/>
    <mergeCell ref="B58:F58"/>
    <mergeCell ref="B59:F59"/>
  </mergeCells>
  <printOptions/>
  <pageMargins bottom="0.75" footer="0.0" header="0.0" left="0.7" right="0.7" top="0.75"/>
  <pageSetup orientation="landscape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7.57"/>
    <col customWidth="1" min="5" max="5" width="25.43"/>
    <col customWidth="1" min="6" max="6" width="7.43"/>
    <col customWidth="1" min="7" max="7" width="4.29"/>
    <col customWidth="1" min="8" max="8" width="4.57"/>
    <col customWidth="1" min="9" max="9" width="5.0"/>
    <col customWidth="1" min="10" max="10" width="5.71"/>
    <col customWidth="1" min="11" max="12" width="5.29"/>
    <col customWidth="1" min="13" max="13" width="5.0"/>
    <col customWidth="1" min="14" max="14" width="4.43"/>
    <col customWidth="1" min="15" max="15" width="4.71"/>
    <col customWidth="1" min="16" max="16" width="5.29"/>
    <col customWidth="1" min="17" max="17" width="4.86"/>
    <col customWidth="1" min="18" max="18" width="5.71"/>
    <col customWidth="1" min="19" max="19" width="5.86"/>
    <col customWidth="1" min="20" max="20" width="5.29"/>
    <col customWidth="1" min="21" max="21" width="4.57"/>
    <col customWidth="1" min="22" max="22" width="5.29"/>
    <col customWidth="1" min="23" max="23" width="5.0"/>
    <col customWidth="1" min="24" max="24" width="5.71"/>
    <col customWidth="1" min="25" max="25" width="5.0"/>
    <col customWidth="1" min="26" max="26" width="5.29"/>
    <col customWidth="1" min="27" max="28" width="4.57"/>
    <col customWidth="1" min="29" max="29" width="4.71"/>
    <col customWidth="1" min="30" max="30" width="5.57"/>
    <col customWidth="1" min="31" max="31" width="5.43"/>
    <col customWidth="1" min="32" max="33" width="5.29"/>
    <col customWidth="1" min="34" max="34" width="4.57"/>
    <col customWidth="1" min="35" max="35" width="4.71"/>
    <col customWidth="1" min="36" max="36" width="4.57"/>
    <col customWidth="1" min="37" max="37" width="9.0"/>
    <col customWidth="1" min="38" max="38" width="17.43"/>
    <col customWidth="1" min="39" max="39" width="21.71"/>
    <col customWidth="1" min="40" max="40" width="21.86"/>
    <col customWidth="1" min="41" max="41" width="8.71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7" t="s">
        <v>3</v>
      </c>
    </row>
    <row r="5" ht="14.25" customHeight="1">
      <c r="A5" s="8" t="s">
        <v>304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F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f t="shared" si="1"/>
        <v>24</v>
      </c>
      <c r="AE6" s="15">
        <f t="shared" si="1"/>
        <v>25</v>
      </c>
      <c r="AF6" s="15">
        <f t="shared" si="1"/>
        <v>26</v>
      </c>
      <c r="AG6" s="15">
        <v>27.0</v>
      </c>
      <c r="AH6" s="15">
        <v>28.0</v>
      </c>
      <c r="AI6" s="15">
        <v>29.0</v>
      </c>
      <c r="AJ6" s="15">
        <v>30.0</v>
      </c>
      <c r="AK6" s="13" t="s">
        <v>14</v>
      </c>
      <c r="AL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251</v>
      </c>
      <c r="H7" s="446" t="s">
        <v>252</v>
      </c>
      <c r="I7" s="446" t="s">
        <v>253</v>
      </c>
      <c r="J7" s="446" t="s">
        <v>247</v>
      </c>
      <c r="K7" s="446" t="s">
        <v>248</v>
      </c>
      <c r="L7" s="446" t="s">
        <v>249</v>
      </c>
      <c r="M7" s="446" t="s">
        <v>250</v>
      </c>
      <c r="N7" s="446" t="s">
        <v>251</v>
      </c>
      <c r="O7" s="446" t="s">
        <v>252</v>
      </c>
      <c r="P7" s="446" t="s">
        <v>253</v>
      </c>
      <c r="Q7" s="446" t="s">
        <v>247</v>
      </c>
      <c r="R7" s="446" t="s">
        <v>248</v>
      </c>
      <c r="S7" s="446" t="s">
        <v>249</v>
      </c>
      <c r="T7" s="446" t="s">
        <v>250</v>
      </c>
      <c r="U7" s="446" t="s">
        <v>251</v>
      </c>
      <c r="V7" s="446" t="s">
        <v>252</v>
      </c>
      <c r="W7" s="446" t="s">
        <v>253</v>
      </c>
      <c r="X7" s="446" t="s">
        <v>247</v>
      </c>
      <c r="Y7" s="446" t="s">
        <v>248</v>
      </c>
      <c r="Z7" s="446" t="s">
        <v>249</v>
      </c>
      <c r="AA7" s="446" t="s">
        <v>250</v>
      </c>
      <c r="AB7" s="446" t="s">
        <v>251</v>
      </c>
      <c r="AC7" s="446" t="s">
        <v>252</v>
      </c>
      <c r="AD7" s="446" t="s">
        <v>253</v>
      </c>
      <c r="AE7" s="446" t="s">
        <v>247</v>
      </c>
      <c r="AF7" s="446" t="s">
        <v>248</v>
      </c>
      <c r="AG7" s="446" t="s">
        <v>249</v>
      </c>
      <c r="AH7" s="446" t="s">
        <v>250</v>
      </c>
      <c r="AI7" s="446" t="s">
        <v>251</v>
      </c>
      <c r="AJ7" s="446" t="s">
        <v>252</v>
      </c>
      <c r="AK7" s="17"/>
      <c r="AL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2"/>
      <c r="AL8" s="23"/>
    </row>
    <row r="9" ht="14.25" customHeight="1">
      <c r="A9" s="260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09" t="s">
        <v>205</v>
      </c>
      <c r="I9" s="209" t="s">
        <v>205</v>
      </c>
      <c r="J9" s="209" t="s">
        <v>205</v>
      </c>
      <c r="K9" s="209" t="s">
        <v>205</v>
      </c>
      <c r="L9" s="210" t="s">
        <v>205</v>
      </c>
      <c r="M9" s="210"/>
      <c r="N9" s="209" t="s">
        <v>205</v>
      </c>
      <c r="O9" s="209" t="s">
        <v>205</v>
      </c>
      <c r="P9" s="209" t="s">
        <v>205</v>
      </c>
      <c r="Q9" s="209" t="s">
        <v>205</v>
      </c>
      <c r="R9" s="209" t="s">
        <v>205</v>
      </c>
      <c r="S9" s="210"/>
      <c r="T9" s="210"/>
      <c r="U9" s="209"/>
      <c r="V9" s="209"/>
      <c r="W9" s="209"/>
      <c r="X9" s="209"/>
      <c r="Y9" s="209" t="s">
        <v>205</v>
      </c>
      <c r="Z9" s="210" t="s">
        <v>205</v>
      </c>
      <c r="AA9" s="210"/>
      <c r="AB9" s="209" t="s">
        <v>205</v>
      </c>
      <c r="AC9" s="209" t="s">
        <v>205</v>
      </c>
      <c r="AD9" s="209" t="s">
        <v>205</v>
      </c>
      <c r="AE9" s="209" t="s">
        <v>205</v>
      </c>
      <c r="AF9" s="209" t="s">
        <v>205</v>
      </c>
      <c r="AG9" s="210" t="s">
        <v>205</v>
      </c>
      <c r="AH9" s="210"/>
      <c r="AI9" s="209" t="s">
        <v>205</v>
      </c>
      <c r="AJ9" s="24">
        <v>12.0</v>
      </c>
      <c r="AK9" s="211">
        <f t="shared" ref="AK9:AK12" si="2">COUNTA(G9:AJ9)</f>
        <v>21</v>
      </c>
      <c r="AL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>
        <v>10.0</v>
      </c>
      <c r="H10" s="24">
        <v>10.0</v>
      </c>
      <c r="I10" s="24">
        <v>10.0</v>
      </c>
      <c r="J10" s="24">
        <v>10.0</v>
      </c>
      <c r="K10" s="24">
        <v>10.0</v>
      </c>
      <c r="L10" s="110"/>
      <c r="M10" s="110"/>
      <c r="N10" s="24">
        <v>10.0</v>
      </c>
      <c r="O10" s="24">
        <v>10.0</v>
      </c>
      <c r="P10" s="24">
        <v>10.0</v>
      </c>
      <c r="Q10" s="24">
        <v>10.0</v>
      </c>
      <c r="R10" s="24">
        <v>10.0</v>
      </c>
      <c r="S10" s="110"/>
      <c r="T10" s="110"/>
      <c r="U10" s="24">
        <v>10.0</v>
      </c>
      <c r="V10" s="24">
        <v>10.0</v>
      </c>
      <c r="W10" s="24">
        <v>10.0</v>
      </c>
      <c r="X10" s="24">
        <v>10.0</v>
      </c>
      <c r="Y10" s="24">
        <v>10.0</v>
      </c>
      <c r="Z10" s="110"/>
      <c r="AA10" s="110"/>
      <c r="AB10" s="24">
        <v>10.0</v>
      </c>
      <c r="AC10" s="24">
        <v>10.0</v>
      </c>
      <c r="AD10" s="24">
        <v>10.0</v>
      </c>
      <c r="AE10" s="24">
        <v>10.0</v>
      </c>
      <c r="AF10" s="24">
        <v>10.0</v>
      </c>
      <c r="AG10" s="110"/>
      <c r="AH10" s="110"/>
      <c r="AI10" s="24">
        <v>10.0</v>
      </c>
      <c r="AJ10" s="24">
        <v>10.0</v>
      </c>
      <c r="AK10" s="211">
        <f t="shared" si="2"/>
        <v>22</v>
      </c>
      <c r="AL10" s="57">
        <f t="shared" ref="AL10:AL13" si="3">SUM(G10:AJ10)</f>
        <v>220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>
        <v>9.0</v>
      </c>
      <c r="H11" s="24">
        <v>9.0</v>
      </c>
      <c r="I11" s="24">
        <v>9.0</v>
      </c>
      <c r="J11" s="24">
        <v>9.0</v>
      </c>
      <c r="K11" s="24">
        <v>9.0</v>
      </c>
      <c r="L11" s="110"/>
      <c r="M11" s="110"/>
      <c r="N11" s="24">
        <v>9.0</v>
      </c>
      <c r="O11" s="24">
        <v>9.0</v>
      </c>
      <c r="P11" s="24">
        <v>9.0</v>
      </c>
      <c r="Q11" s="24">
        <v>9.0</v>
      </c>
      <c r="R11" s="24">
        <v>9.0</v>
      </c>
      <c r="S11" s="110"/>
      <c r="T11" s="110"/>
      <c r="U11" s="24">
        <v>9.0</v>
      </c>
      <c r="V11" s="24">
        <v>9.0</v>
      </c>
      <c r="W11" s="24">
        <v>9.0</v>
      </c>
      <c r="X11" s="24">
        <v>9.0</v>
      </c>
      <c r="Y11" s="24">
        <v>9.0</v>
      </c>
      <c r="Z11" s="110"/>
      <c r="AA11" s="110"/>
      <c r="AB11" s="24">
        <v>9.0</v>
      </c>
      <c r="AC11" s="24">
        <v>9.0</v>
      </c>
      <c r="AD11" s="24">
        <v>9.0</v>
      </c>
      <c r="AE11" s="24">
        <v>9.0</v>
      </c>
      <c r="AF11" s="24">
        <v>9.0</v>
      </c>
      <c r="AG11" s="110"/>
      <c r="AH11" s="110"/>
      <c r="AI11" s="24">
        <v>9.0</v>
      </c>
      <c r="AJ11" s="24">
        <v>9.0</v>
      </c>
      <c r="AK11" s="211">
        <f t="shared" si="2"/>
        <v>22</v>
      </c>
      <c r="AL11" s="57">
        <f t="shared" si="3"/>
        <v>198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124</v>
      </c>
      <c r="E12" s="27" t="s">
        <v>33</v>
      </c>
      <c r="F12" s="28" t="s">
        <v>30</v>
      </c>
      <c r="G12" s="24"/>
      <c r="H12" s="24"/>
      <c r="I12" s="24"/>
      <c r="J12" s="24"/>
      <c r="K12" s="24"/>
      <c r="L12" s="110"/>
      <c r="M12" s="110"/>
      <c r="N12" s="24"/>
      <c r="O12" s="24"/>
      <c r="P12" s="24"/>
      <c r="Q12" s="24"/>
      <c r="R12" s="24"/>
      <c r="S12" s="110"/>
      <c r="T12" s="110"/>
      <c r="U12" s="24"/>
      <c r="V12" s="24"/>
      <c r="W12" s="24"/>
      <c r="X12" s="24"/>
      <c r="Y12" s="24"/>
      <c r="Z12" s="110"/>
      <c r="AA12" s="110"/>
      <c r="AB12" s="24"/>
      <c r="AC12" s="24"/>
      <c r="AD12" s="24"/>
      <c r="AE12" s="24"/>
      <c r="AF12" s="24"/>
      <c r="AG12" s="110"/>
      <c r="AH12" s="110"/>
      <c r="AI12" s="24"/>
      <c r="AJ12" s="24"/>
      <c r="AK12" s="211">
        <f t="shared" si="2"/>
        <v>0</v>
      </c>
      <c r="AL12" s="57">
        <f t="shared" si="3"/>
        <v>0</v>
      </c>
    </row>
    <row r="13" ht="14.25" customHeight="1">
      <c r="A13" s="34">
        <v>8.0</v>
      </c>
      <c r="B13" s="25" t="s">
        <v>38</v>
      </c>
      <c r="C13" s="27">
        <v>1.0</v>
      </c>
      <c r="D13" s="37" t="s">
        <v>353</v>
      </c>
      <c r="E13" s="27" t="s">
        <v>40</v>
      </c>
      <c r="F13" s="28" t="s">
        <v>30</v>
      </c>
      <c r="G13" s="24"/>
      <c r="H13" s="24"/>
      <c r="I13" s="468">
        <v>12.0</v>
      </c>
      <c r="J13" s="468">
        <v>12.0</v>
      </c>
      <c r="K13" s="468">
        <v>12.0</v>
      </c>
      <c r="L13" s="468">
        <v>12.0</v>
      </c>
      <c r="M13" s="468"/>
      <c r="N13" s="468"/>
      <c r="O13" s="468">
        <v>12.0</v>
      </c>
      <c r="P13" s="468">
        <v>12.0</v>
      </c>
      <c r="Q13" s="468">
        <v>12.0</v>
      </c>
      <c r="R13" s="468">
        <v>12.0</v>
      </c>
      <c r="S13" s="110"/>
      <c r="T13" s="110"/>
      <c r="U13" s="490"/>
      <c r="V13" s="490"/>
      <c r="W13" s="490"/>
      <c r="X13" s="24"/>
      <c r="Y13" s="24">
        <v>12.0</v>
      </c>
      <c r="Z13" s="110"/>
      <c r="AA13" s="110">
        <v>12.0</v>
      </c>
      <c r="AB13" s="24">
        <v>12.0</v>
      </c>
      <c r="AC13" s="24">
        <v>12.0</v>
      </c>
      <c r="AD13" s="24">
        <v>12.0</v>
      </c>
      <c r="AE13" s="24"/>
      <c r="AF13" s="24"/>
      <c r="AG13" s="110"/>
      <c r="AH13" s="110"/>
      <c r="AI13" s="24"/>
      <c r="AJ13" s="24"/>
      <c r="AK13" s="211">
        <v>8.0</v>
      </c>
      <c r="AL13" s="57">
        <f t="shared" si="3"/>
        <v>156</v>
      </c>
      <c r="AM13" s="52" t="s">
        <v>354</v>
      </c>
    </row>
    <row r="14" ht="14.25" customHeight="1">
      <c r="A14" s="19"/>
      <c r="B14" s="20" t="s">
        <v>41</v>
      </c>
      <c r="C14" s="21"/>
      <c r="D14" s="20" t="s">
        <v>41</v>
      </c>
      <c r="E14" s="21"/>
      <c r="F14" s="3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2"/>
      <c r="AD14" s="212"/>
      <c r="AE14" s="212"/>
      <c r="AF14" s="212"/>
      <c r="AG14" s="212"/>
      <c r="AH14" s="212"/>
      <c r="AI14" s="212"/>
      <c r="AJ14" s="212"/>
      <c r="AK14" s="21"/>
      <c r="AL14" s="45"/>
    </row>
    <row r="15" ht="14.25" customHeight="1">
      <c r="A15" s="260"/>
      <c r="B15" s="25" t="s">
        <v>181</v>
      </c>
      <c r="C15" s="461">
        <v>1.0</v>
      </c>
      <c r="D15" s="25" t="s">
        <v>280</v>
      </c>
      <c r="E15" s="26" t="s">
        <v>40</v>
      </c>
      <c r="F15" s="118"/>
      <c r="G15" s="461"/>
      <c r="H15" s="461"/>
      <c r="I15" s="461"/>
      <c r="J15" s="461"/>
      <c r="K15" s="461"/>
      <c r="L15" s="287"/>
      <c r="M15" s="287"/>
      <c r="N15" s="461"/>
      <c r="O15" s="461"/>
      <c r="P15" s="461"/>
      <c r="Q15" s="461"/>
      <c r="R15" s="461"/>
      <c r="S15" s="287"/>
      <c r="T15" s="287"/>
      <c r="U15" s="461"/>
      <c r="V15" s="461"/>
      <c r="W15" s="26">
        <v>12.0</v>
      </c>
      <c r="X15" s="26">
        <v>12.0</v>
      </c>
      <c r="Y15" s="26">
        <v>12.0</v>
      </c>
      <c r="Z15" s="213">
        <v>12.0</v>
      </c>
      <c r="AA15" s="213">
        <v>12.0</v>
      </c>
      <c r="AB15" s="461"/>
      <c r="AC15" s="26">
        <v>12.0</v>
      </c>
      <c r="AD15" s="26">
        <v>12.0</v>
      </c>
      <c r="AE15" s="26">
        <v>12.0</v>
      </c>
      <c r="AF15" s="26">
        <v>12.0</v>
      </c>
      <c r="AG15" s="213">
        <v>12.0</v>
      </c>
      <c r="AH15" s="213">
        <v>12.0</v>
      </c>
      <c r="AI15" s="26">
        <v>12.0</v>
      </c>
      <c r="AJ15" s="26">
        <v>12.0</v>
      </c>
      <c r="AK15" s="461">
        <v>13.0</v>
      </c>
      <c r="AL15" s="451"/>
    </row>
    <row r="16" ht="14.25" customHeight="1">
      <c r="A16" s="24">
        <v>9.0</v>
      </c>
      <c r="B16" s="25" t="s">
        <v>181</v>
      </c>
      <c r="C16" s="26">
        <v>1.0</v>
      </c>
      <c r="D16" s="36" t="s">
        <v>330</v>
      </c>
      <c r="E16" s="26" t="s">
        <v>55</v>
      </c>
      <c r="F16" s="47" t="s">
        <v>65</v>
      </c>
      <c r="G16" s="26">
        <v>12.0</v>
      </c>
      <c r="H16" s="26">
        <v>12.0</v>
      </c>
      <c r="I16" s="26">
        <v>12.0</v>
      </c>
      <c r="J16" s="26">
        <v>12.0</v>
      </c>
      <c r="K16" s="26">
        <v>12.0</v>
      </c>
      <c r="L16" s="213">
        <v>12.0</v>
      </c>
      <c r="M16" s="213">
        <v>12.0</v>
      </c>
      <c r="N16" s="26"/>
      <c r="O16" s="26">
        <v>12.0</v>
      </c>
      <c r="P16" s="26">
        <v>12.0</v>
      </c>
      <c r="Q16" s="26">
        <v>12.0</v>
      </c>
      <c r="R16" s="26">
        <v>12.0</v>
      </c>
      <c r="S16" s="213">
        <v>12.0</v>
      </c>
      <c r="T16" s="213">
        <v>12.0</v>
      </c>
      <c r="U16" s="26"/>
      <c r="V16" s="26"/>
      <c r="W16" s="26"/>
      <c r="X16" s="26"/>
      <c r="Y16" s="26"/>
      <c r="Z16" s="213"/>
      <c r="AA16" s="213"/>
      <c r="AB16" s="26"/>
      <c r="AC16" s="26"/>
      <c r="AD16" s="26"/>
      <c r="AE16" s="26"/>
      <c r="AF16" s="26"/>
      <c r="AG16" s="213"/>
      <c r="AH16" s="213"/>
      <c r="AI16" s="26"/>
      <c r="AJ16" s="24"/>
      <c r="AK16" s="211">
        <f>COUNTA(G16:AJ16)</f>
        <v>13</v>
      </c>
      <c r="AL16" s="57">
        <f t="shared" ref="AL16:AL19" si="4">SUM(G16:AJ16)</f>
        <v>156</v>
      </c>
    </row>
    <row r="17" ht="14.25" customHeight="1">
      <c r="A17" s="34">
        <v>10.0</v>
      </c>
      <c r="B17" s="35" t="s">
        <v>49</v>
      </c>
      <c r="C17" s="27">
        <v>1.0</v>
      </c>
      <c r="D17" s="67" t="s">
        <v>291</v>
      </c>
      <c r="E17" s="27" t="s">
        <v>51</v>
      </c>
      <c r="F17" s="47" t="s">
        <v>46</v>
      </c>
      <c r="G17" s="24">
        <v>24.0</v>
      </c>
      <c r="H17" s="24"/>
      <c r="I17" s="24">
        <v>24.0</v>
      </c>
      <c r="J17" s="24"/>
      <c r="K17" s="24">
        <v>24.0</v>
      </c>
      <c r="L17" s="110"/>
      <c r="M17" s="110">
        <v>24.0</v>
      </c>
      <c r="N17" s="24"/>
      <c r="O17" s="24">
        <v>24.0</v>
      </c>
      <c r="P17" s="24"/>
      <c r="Q17" s="24">
        <v>24.0</v>
      </c>
      <c r="R17" s="453">
        <v>12.0</v>
      </c>
      <c r="S17" s="110">
        <v>24.0</v>
      </c>
      <c r="T17" s="110"/>
      <c r="U17" s="24">
        <v>24.0</v>
      </c>
      <c r="V17" s="24"/>
      <c r="W17" s="24">
        <v>24.0</v>
      </c>
      <c r="X17" s="24"/>
      <c r="Y17" s="24">
        <v>24.0</v>
      </c>
      <c r="Z17" s="110"/>
      <c r="AA17" s="110">
        <v>24.0</v>
      </c>
      <c r="AB17" s="24"/>
      <c r="AC17" s="24">
        <v>24.0</v>
      </c>
      <c r="AD17" s="24"/>
      <c r="AE17" s="24">
        <v>24.0</v>
      </c>
      <c r="AF17" s="24"/>
      <c r="AG17" s="110">
        <v>24.0</v>
      </c>
      <c r="AH17" s="110"/>
      <c r="AI17" s="24">
        <v>24.0</v>
      </c>
      <c r="AJ17" s="24"/>
      <c r="AK17" s="211">
        <v>15.5</v>
      </c>
      <c r="AL17" s="452">
        <f t="shared" si="4"/>
        <v>372</v>
      </c>
      <c r="AM17" s="73" t="s">
        <v>356</v>
      </c>
    </row>
    <row r="18" ht="14.25" customHeight="1">
      <c r="A18" s="34">
        <v>11.0</v>
      </c>
      <c r="B18" s="35" t="s">
        <v>49</v>
      </c>
      <c r="C18" s="27">
        <v>1.0</v>
      </c>
      <c r="D18" s="36" t="s">
        <v>54</v>
      </c>
      <c r="E18" s="27" t="s">
        <v>51</v>
      </c>
      <c r="F18" s="47" t="s">
        <v>46</v>
      </c>
      <c r="G18" s="24"/>
      <c r="H18" s="24">
        <v>24.0</v>
      </c>
      <c r="I18" s="24"/>
      <c r="J18" s="24">
        <v>24.0</v>
      </c>
      <c r="K18" s="24"/>
      <c r="L18" s="110">
        <v>24.0</v>
      </c>
      <c r="M18" s="110"/>
      <c r="N18" s="24">
        <v>24.0</v>
      </c>
      <c r="O18" s="24"/>
      <c r="P18" s="24">
        <v>24.0</v>
      </c>
      <c r="Q18" s="24"/>
      <c r="R18" s="24">
        <v>12.0</v>
      </c>
      <c r="S18" s="110"/>
      <c r="T18" s="110">
        <v>24.0</v>
      </c>
      <c r="U18" s="24"/>
      <c r="V18" s="24">
        <v>24.0</v>
      </c>
      <c r="W18" s="24"/>
      <c r="X18" s="24">
        <v>24.0</v>
      </c>
      <c r="Y18" s="24"/>
      <c r="Z18" s="110">
        <v>24.0</v>
      </c>
      <c r="AA18" s="110"/>
      <c r="AB18" s="24">
        <v>24.0</v>
      </c>
      <c r="AC18" s="24"/>
      <c r="AD18" s="24"/>
      <c r="AE18" s="24"/>
      <c r="AF18" s="24">
        <v>24.0</v>
      </c>
      <c r="AG18" s="110"/>
      <c r="AH18" s="110">
        <v>24.0</v>
      </c>
      <c r="AI18" s="24"/>
      <c r="AJ18" s="24">
        <v>24.0</v>
      </c>
      <c r="AK18" s="211">
        <v>13.5</v>
      </c>
      <c r="AL18" s="452">
        <f t="shared" si="4"/>
        <v>324</v>
      </c>
    </row>
    <row r="19" ht="14.25" customHeight="1">
      <c r="A19" s="34">
        <v>12.0</v>
      </c>
      <c r="B19" s="35" t="s">
        <v>62</v>
      </c>
      <c r="C19" s="27">
        <v>1.0</v>
      </c>
      <c r="D19" s="462" t="s">
        <v>358</v>
      </c>
      <c r="E19" s="27" t="s">
        <v>292</v>
      </c>
      <c r="F19" s="47" t="s">
        <v>46</v>
      </c>
      <c r="G19" s="24"/>
      <c r="H19" s="24"/>
      <c r="I19" s="24"/>
      <c r="J19" s="24"/>
      <c r="K19" s="24"/>
      <c r="L19" s="110"/>
      <c r="M19" s="110"/>
      <c r="N19" s="24"/>
      <c r="O19" s="24"/>
      <c r="P19" s="24"/>
      <c r="Q19" s="24"/>
      <c r="R19" s="24"/>
      <c r="S19" s="110"/>
      <c r="T19" s="110"/>
      <c r="U19" s="24"/>
      <c r="V19" s="24"/>
      <c r="W19" s="24"/>
      <c r="X19" s="24"/>
      <c r="Y19" s="24"/>
      <c r="Z19" s="110"/>
      <c r="AA19" s="110"/>
      <c r="AB19" s="24">
        <v>12.0</v>
      </c>
      <c r="AC19" s="24">
        <v>12.0</v>
      </c>
      <c r="AD19" s="24">
        <v>12.0</v>
      </c>
      <c r="AE19" s="24"/>
      <c r="AF19" s="24">
        <v>12.0</v>
      </c>
      <c r="AG19" s="110">
        <v>12.0</v>
      </c>
      <c r="AH19" s="110"/>
      <c r="AI19" s="24"/>
      <c r="AJ19" s="24"/>
      <c r="AK19" s="211">
        <f>COUNTA(G19:AJ19)</f>
        <v>5</v>
      </c>
      <c r="AL19" s="452">
        <f t="shared" si="4"/>
        <v>60</v>
      </c>
    </row>
    <row r="20" ht="14.25" customHeight="1">
      <c r="A20" s="34"/>
      <c r="B20" s="35" t="s">
        <v>62</v>
      </c>
      <c r="C20" s="27">
        <v>1.0</v>
      </c>
      <c r="D20" s="462" t="s">
        <v>359</v>
      </c>
      <c r="E20" s="27" t="s">
        <v>292</v>
      </c>
      <c r="F20" s="47" t="s">
        <v>46</v>
      </c>
      <c r="G20" s="24"/>
      <c r="H20" s="24"/>
      <c r="I20" s="24"/>
      <c r="J20" s="24"/>
      <c r="K20" s="24"/>
      <c r="L20" s="110">
        <v>12.0</v>
      </c>
      <c r="M20" s="110">
        <v>12.0</v>
      </c>
      <c r="N20" s="24">
        <v>12.0</v>
      </c>
      <c r="O20" s="24">
        <v>12.0</v>
      </c>
      <c r="P20" s="24">
        <v>12.0</v>
      </c>
      <c r="Q20" s="24"/>
      <c r="R20" s="24">
        <v>12.0</v>
      </c>
      <c r="S20" s="110">
        <v>12.0</v>
      </c>
      <c r="T20" s="110"/>
      <c r="U20" s="24"/>
      <c r="V20" s="24"/>
      <c r="W20" s="24"/>
      <c r="X20" s="24"/>
      <c r="Y20" s="24"/>
      <c r="Z20" s="110"/>
      <c r="AA20" s="110"/>
      <c r="AB20" s="24"/>
      <c r="AC20" s="24"/>
      <c r="AD20" s="24"/>
      <c r="AE20" s="24"/>
      <c r="AF20" s="24"/>
      <c r="AG20" s="110"/>
      <c r="AH20" s="110"/>
      <c r="AI20" s="24"/>
      <c r="AJ20" s="24"/>
      <c r="AK20" s="211">
        <v>7.0</v>
      </c>
      <c r="AL20" s="452"/>
    </row>
    <row r="21" ht="14.25" customHeight="1">
      <c r="A21" s="34">
        <v>13.0</v>
      </c>
      <c r="B21" s="35" t="s">
        <v>67</v>
      </c>
      <c r="C21" s="27">
        <v>1.0</v>
      </c>
      <c r="D21" s="36" t="s">
        <v>243</v>
      </c>
      <c r="E21" s="27" t="s">
        <v>70</v>
      </c>
      <c r="F21" s="28" t="s">
        <v>30</v>
      </c>
      <c r="G21" s="24"/>
      <c r="H21" s="24"/>
      <c r="I21" s="24"/>
      <c r="J21" s="24"/>
      <c r="K21" s="24"/>
      <c r="L21" s="110"/>
      <c r="M21" s="110"/>
      <c r="N21" s="24"/>
      <c r="O21" s="24"/>
      <c r="P21" s="24"/>
      <c r="Q21" s="24"/>
      <c r="R21" s="24"/>
      <c r="S21" s="110"/>
      <c r="T21" s="110"/>
      <c r="U21" s="24"/>
      <c r="V21" s="24"/>
      <c r="W21" s="24"/>
      <c r="X21" s="24">
        <v>12.0</v>
      </c>
      <c r="Y21" s="24">
        <v>12.0</v>
      </c>
      <c r="Z21" s="110">
        <v>12.0</v>
      </c>
      <c r="AA21" s="110">
        <v>12.0</v>
      </c>
      <c r="AB21" s="24">
        <v>12.0</v>
      </c>
      <c r="AC21" s="24"/>
      <c r="AD21" s="24">
        <v>12.0</v>
      </c>
      <c r="AE21" s="24">
        <v>12.0</v>
      </c>
      <c r="AF21" s="24">
        <v>12.0</v>
      </c>
      <c r="AG21" s="110">
        <v>12.0</v>
      </c>
      <c r="AH21" s="110">
        <v>12.0</v>
      </c>
      <c r="AI21" s="24"/>
      <c r="AJ21" s="24">
        <v>12.0</v>
      </c>
      <c r="AK21" s="211">
        <f t="shared" ref="AK21:AK22" si="5">COUNTA(G21:AJ21)</f>
        <v>11</v>
      </c>
      <c r="AL21" s="452">
        <f t="shared" ref="AL21:AL22" si="6">SUM(G21:AJ21)</f>
        <v>132</v>
      </c>
    </row>
    <row r="22" ht="14.25" customHeight="1">
      <c r="A22" s="34">
        <v>13.0</v>
      </c>
      <c r="B22" s="35" t="s">
        <v>67</v>
      </c>
      <c r="C22" s="27">
        <v>1.0</v>
      </c>
      <c r="D22" s="36" t="s">
        <v>360</v>
      </c>
      <c r="E22" s="27" t="s">
        <v>70</v>
      </c>
      <c r="F22" s="28" t="s">
        <v>30</v>
      </c>
      <c r="G22" s="24">
        <v>12.0</v>
      </c>
      <c r="H22" s="24"/>
      <c r="I22" s="24">
        <v>12.0</v>
      </c>
      <c r="J22" s="24">
        <v>12.0</v>
      </c>
      <c r="K22" s="24">
        <v>12.0</v>
      </c>
      <c r="L22" s="110">
        <v>12.0</v>
      </c>
      <c r="M22" s="110">
        <v>12.0</v>
      </c>
      <c r="N22" s="24">
        <v>12.0</v>
      </c>
      <c r="O22" s="24"/>
      <c r="P22" s="24">
        <v>12.0</v>
      </c>
      <c r="Q22" s="24">
        <v>12.0</v>
      </c>
      <c r="R22" s="24">
        <v>12.0</v>
      </c>
      <c r="S22" s="110">
        <v>12.0</v>
      </c>
      <c r="T22" s="110">
        <v>12.0</v>
      </c>
      <c r="U22" s="24">
        <v>12.0</v>
      </c>
      <c r="V22" s="24"/>
      <c r="W22" s="24">
        <v>12.0</v>
      </c>
      <c r="X22" s="24"/>
      <c r="Y22" s="24"/>
      <c r="Z22" s="110"/>
      <c r="AA22" s="110"/>
      <c r="AB22" s="24"/>
      <c r="AC22" s="24"/>
      <c r="AD22" s="24"/>
      <c r="AE22" s="24"/>
      <c r="AF22" s="24"/>
      <c r="AG22" s="110"/>
      <c r="AH22" s="110"/>
      <c r="AI22" s="24"/>
      <c r="AJ22" s="24"/>
      <c r="AK22" s="211">
        <f t="shared" si="5"/>
        <v>14</v>
      </c>
      <c r="AL22" s="452">
        <f t="shared" si="6"/>
        <v>168</v>
      </c>
    </row>
    <row r="23" ht="14.25" customHeight="1">
      <c r="A23" s="34">
        <v>14.0</v>
      </c>
      <c r="B23" s="35" t="s">
        <v>71</v>
      </c>
      <c r="C23" s="27"/>
      <c r="D23" s="36" t="s">
        <v>76</v>
      </c>
      <c r="E23" s="27" t="s">
        <v>73</v>
      </c>
      <c r="F23" s="28" t="s">
        <v>26</v>
      </c>
      <c r="G23" s="24"/>
      <c r="H23" s="24">
        <v>12.0</v>
      </c>
      <c r="I23" s="24">
        <v>12.0</v>
      </c>
      <c r="J23" s="24">
        <v>12.0</v>
      </c>
      <c r="K23" s="24">
        <v>12.0</v>
      </c>
      <c r="L23" s="110">
        <v>12.0</v>
      </c>
      <c r="M23" s="110">
        <v>12.0</v>
      </c>
      <c r="N23" s="24">
        <v>12.0</v>
      </c>
      <c r="O23" s="24">
        <v>6.0</v>
      </c>
      <c r="P23" s="24">
        <v>12.0</v>
      </c>
      <c r="Q23" s="24">
        <v>12.0</v>
      </c>
      <c r="R23" s="24">
        <v>12.0</v>
      </c>
      <c r="S23" s="110">
        <v>12.0</v>
      </c>
      <c r="T23" s="110">
        <v>12.0</v>
      </c>
      <c r="U23" s="24"/>
      <c r="V23" s="24">
        <v>12.0</v>
      </c>
      <c r="W23" s="24">
        <v>12.0</v>
      </c>
      <c r="X23" s="24">
        <v>12.0</v>
      </c>
      <c r="Y23" s="24">
        <v>12.0</v>
      </c>
      <c r="Z23" s="110">
        <v>12.0</v>
      </c>
      <c r="AA23" s="110">
        <v>12.0</v>
      </c>
      <c r="AB23" s="24">
        <v>12.0</v>
      </c>
      <c r="AC23" s="24"/>
      <c r="AD23" s="24">
        <v>12.0</v>
      </c>
      <c r="AE23" s="24">
        <v>12.0</v>
      </c>
      <c r="AF23" s="24">
        <v>12.0</v>
      </c>
      <c r="AG23" s="110">
        <v>12.0</v>
      </c>
      <c r="AH23" s="110">
        <v>12.0</v>
      </c>
      <c r="AI23" s="24"/>
      <c r="AJ23" s="24">
        <v>12.0</v>
      </c>
      <c r="AK23" s="461">
        <v>25.5</v>
      </c>
      <c r="AL23" s="452">
        <f>SUM(G23:AK23)</f>
        <v>331.5</v>
      </c>
    </row>
    <row r="24" ht="14.25" customHeight="1">
      <c r="A24" s="19"/>
      <c r="B24" s="20" t="s">
        <v>78</v>
      </c>
      <c r="C24" s="21"/>
      <c r="D24" s="77" t="s">
        <v>78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455"/>
    </row>
    <row r="25" ht="14.25" customHeight="1">
      <c r="A25" s="34">
        <v>15.0</v>
      </c>
      <c r="B25" s="35" t="s">
        <v>86</v>
      </c>
      <c r="C25" s="27">
        <v>1.0</v>
      </c>
      <c r="D25" s="37" t="s">
        <v>82</v>
      </c>
      <c r="E25" s="27" t="s">
        <v>102</v>
      </c>
      <c r="F25" s="250" t="s">
        <v>85</v>
      </c>
      <c r="G25" s="24"/>
      <c r="H25" s="24">
        <v>24.0</v>
      </c>
      <c r="I25" s="24"/>
      <c r="J25" s="24"/>
      <c r="K25" s="24">
        <v>24.0</v>
      </c>
      <c r="L25" s="110"/>
      <c r="M25" s="110"/>
      <c r="N25" s="24">
        <v>24.0</v>
      </c>
      <c r="O25" s="24"/>
      <c r="P25" s="24"/>
      <c r="Q25" s="24">
        <v>24.0</v>
      </c>
      <c r="R25" s="24"/>
      <c r="S25" s="110">
        <v>12.0</v>
      </c>
      <c r="T25" s="110">
        <v>12.0</v>
      </c>
      <c r="U25" s="24">
        <v>12.0</v>
      </c>
      <c r="V25" s="24">
        <v>12.0</v>
      </c>
      <c r="W25" s="24">
        <v>12.0</v>
      </c>
      <c r="X25" s="24">
        <v>12.0</v>
      </c>
      <c r="Y25" s="24">
        <v>12.0</v>
      </c>
      <c r="Z25" s="110">
        <v>24.0</v>
      </c>
      <c r="AA25" s="110"/>
      <c r="AB25" s="24"/>
      <c r="AC25" s="24">
        <v>24.0</v>
      </c>
      <c r="AD25" s="24"/>
      <c r="AE25" s="24"/>
      <c r="AF25" s="24">
        <v>24.0</v>
      </c>
      <c r="AG25" s="110"/>
      <c r="AH25" s="110"/>
      <c r="AI25" s="24">
        <v>24.0</v>
      </c>
      <c r="AJ25" s="24"/>
      <c r="AK25" s="211">
        <v>11.0</v>
      </c>
      <c r="AL25" s="452">
        <f>SUM(G25:AK25)</f>
        <v>287</v>
      </c>
    </row>
    <row r="26" ht="14.25" customHeight="1">
      <c r="A26" s="34">
        <v>16.0</v>
      </c>
      <c r="B26" s="35" t="s">
        <v>86</v>
      </c>
      <c r="C26" s="27">
        <v>1.0</v>
      </c>
      <c r="D26" s="189" t="s">
        <v>299</v>
      </c>
      <c r="E26" s="27" t="s">
        <v>102</v>
      </c>
      <c r="F26" s="88"/>
      <c r="G26" s="24"/>
      <c r="H26" s="24"/>
      <c r="I26" s="24">
        <v>24.0</v>
      </c>
      <c r="J26" s="24"/>
      <c r="K26" s="24"/>
      <c r="L26" s="110">
        <v>24.0</v>
      </c>
      <c r="M26" s="110"/>
      <c r="N26" s="24"/>
      <c r="O26" s="24">
        <v>24.0</v>
      </c>
      <c r="P26" s="24"/>
      <c r="Q26" s="24"/>
      <c r="R26" s="24">
        <v>24.0</v>
      </c>
      <c r="S26" s="110"/>
      <c r="T26" s="110">
        <v>24.0</v>
      </c>
      <c r="U26" s="24"/>
      <c r="V26" s="24">
        <v>24.0</v>
      </c>
      <c r="W26" s="24"/>
      <c r="X26" s="24">
        <v>24.0</v>
      </c>
      <c r="Y26" s="24"/>
      <c r="Z26" s="110"/>
      <c r="AA26" s="110">
        <v>24.0</v>
      </c>
      <c r="AB26" s="24"/>
      <c r="AC26" s="24"/>
      <c r="AD26" s="24">
        <v>24.0</v>
      </c>
      <c r="AE26" s="24"/>
      <c r="AF26" s="24"/>
      <c r="AG26" s="110">
        <v>24.0</v>
      </c>
      <c r="AH26" s="110"/>
      <c r="AI26" s="24"/>
      <c r="AJ26" s="24">
        <v>24.0</v>
      </c>
      <c r="AK26" s="211">
        <f t="shared" ref="AK26:AK31" si="7">COUNTA(G26:AJ26)</f>
        <v>11</v>
      </c>
      <c r="AL26" s="452">
        <f t="shared" ref="AL26:AL31" si="8">SUM(G26:AJ26)</f>
        <v>264</v>
      </c>
      <c r="AM26" s="73" t="s">
        <v>364</v>
      </c>
    </row>
    <row r="27" ht="14.25" customHeight="1">
      <c r="A27" s="34">
        <v>17.0</v>
      </c>
      <c r="B27" s="35" t="s">
        <v>86</v>
      </c>
      <c r="C27" s="65">
        <v>1.0</v>
      </c>
      <c r="D27" s="37" t="s">
        <v>198</v>
      </c>
      <c r="E27" s="27" t="s">
        <v>102</v>
      </c>
      <c r="F27" s="88"/>
      <c r="G27" s="24">
        <v>24.0</v>
      </c>
      <c r="H27" s="24"/>
      <c r="I27" s="24"/>
      <c r="J27" s="24">
        <v>24.0</v>
      </c>
      <c r="K27" s="24"/>
      <c r="L27" s="110"/>
      <c r="M27" s="110">
        <v>24.0</v>
      </c>
      <c r="N27" s="24"/>
      <c r="O27" s="24"/>
      <c r="P27" s="24">
        <v>24.0</v>
      </c>
      <c r="Q27" s="24"/>
      <c r="R27" s="24"/>
      <c r="S27" s="110">
        <v>24.0</v>
      </c>
      <c r="T27" s="110"/>
      <c r="U27" s="24">
        <v>24.0</v>
      </c>
      <c r="V27" s="24"/>
      <c r="W27" s="24">
        <v>24.0</v>
      </c>
      <c r="X27" s="24"/>
      <c r="Y27" s="24">
        <v>24.0</v>
      </c>
      <c r="Z27" s="110"/>
      <c r="AA27" s="110"/>
      <c r="AB27" s="24">
        <v>24.0</v>
      </c>
      <c r="AC27" s="24"/>
      <c r="AD27" s="24"/>
      <c r="AE27" s="24">
        <v>24.0</v>
      </c>
      <c r="AF27" s="24"/>
      <c r="AG27" s="110"/>
      <c r="AH27" s="110">
        <v>24.0</v>
      </c>
      <c r="AI27" s="24"/>
      <c r="AJ27" s="24"/>
      <c r="AK27" s="211">
        <f t="shared" si="7"/>
        <v>11</v>
      </c>
      <c r="AL27" s="452">
        <f t="shared" si="8"/>
        <v>264</v>
      </c>
    </row>
    <row r="28" ht="14.25" customHeight="1">
      <c r="A28" s="34">
        <v>18.0</v>
      </c>
      <c r="B28" s="35" t="s">
        <v>95</v>
      </c>
      <c r="C28" s="65">
        <v>1.0</v>
      </c>
      <c r="D28" s="90" t="s">
        <v>100</v>
      </c>
      <c r="E28" s="27" t="s">
        <v>102</v>
      </c>
      <c r="F28" s="88"/>
      <c r="G28" s="24">
        <v>24.0</v>
      </c>
      <c r="H28" s="24"/>
      <c r="I28" s="24"/>
      <c r="J28" s="24">
        <v>24.0</v>
      </c>
      <c r="K28" s="24"/>
      <c r="L28" s="110"/>
      <c r="M28" s="110">
        <v>24.0</v>
      </c>
      <c r="N28" s="24"/>
      <c r="O28" s="24"/>
      <c r="P28" s="24"/>
      <c r="Q28" s="24">
        <v>17.0</v>
      </c>
      <c r="R28" s="24">
        <v>17.0</v>
      </c>
      <c r="S28" s="110">
        <v>17.0</v>
      </c>
      <c r="T28" s="110">
        <v>17.0</v>
      </c>
      <c r="U28" s="24"/>
      <c r="V28" s="24"/>
      <c r="W28" s="24">
        <v>24.0</v>
      </c>
      <c r="X28" s="24"/>
      <c r="Y28" s="24"/>
      <c r="Z28" s="110">
        <v>24.0</v>
      </c>
      <c r="AA28" s="110"/>
      <c r="AB28" s="24"/>
      <c r="AC28" s="24">
        <v>24.0</v>
      </c>
      <c r="AD28" s="24"/>
      <c r="AE28" s="24"/>
      <c r="AF28" s="24"/>
      <c r="AG28" s="110"/>
      <c r="AH28" s="110"/>
      <c r="AI28" s="24">
        <v>24.0</v>
      </c>
      <c r="AJ28" s="24"/>
      <c r="AK28" s="211">
        <f t="shared" si="7"/>
        <v>11</v>
      </c>
      <c r="AL28" s="457">
        <f t="shared" si="8"/>
        <v>236</v>
      </c>
    </row>
    <row r="29" ht="14.25" customHeight="1">
      <c r="A29" s="34">
        <v>19.0</v>
      </c>
      <c r="B29" s="35" t="s">
        <v>95</v>
      </c>
      <c r="C29" s="65">
        <v>1.0</v>
      </c>
      <c r="D29" s="90" t="s">
        <v>212</v>
      </c>
      <c r="E29" s="27" t="s">
        <v>102</v>
      </c>
      <c r="F29" s="88"/>
      <c r="G29" s="24"/>
      <c r="H29" s="24"/>
      <c r="I29" s="24">
        <v>24.0</v>
      </c>
      <c r="J29" s="24"/>
      <c r="K29" s="24"/>
      <c r="L29" s="110">
        <v>24.0</v>
      </c>
      <c r="M29" s="110"/>
      <c r="N29" s="24"/>
      <c r="O29" s="24">
        <v>24.0</v>
      </c>
      <c r="P29" s="24"/>
      <c r="Q29" s="24"/>
      <c r="R29" s="24">
        <v>24.0</v>
      </c>
      <c r="S29" s="110"/>
      <c r="T29" s="110"/>
      <c r="U29" s="24">
        <v>24.0</v>
      </c>
      <c r="V29" s="24"/>
      <c r="W29" s="24"/>
      <c r="X29" s="24">
        <v>24.0</v>
      </c>
      <c r="Y29" s="24"/>
      <c r="Z29" s="110"/>
      <c r="AA29" s="110"/>
      <c r="AB29" s="24"/>
      <c r="AC29" s="24"/>
      <c r="AD29" s="24">
        <v>17.0</v>
      </c>
      <c r="AE29" s="24">
        <v>17.0</v>
      </c>
      <c r="AF29" s="24">
        <v>17.0</v>
      </c>
      <c r="AG29" s="110">
        <v>17.0</v>
      </c>
      <c r="AH29" s="110">
        <v>17.0</v>
      </c>
      <c r="AI29" s="24"/>
      <c r="AJ29" s="24"/>
      <c r="AK29" s="211">
        <f t="shared" si="7"/>
        <v>11</v>
      </c>
      <c r="AL29" s="457">
        <f t="shared" si="8"/>
        <v>229</v>
      </c>
      <c r="AM29" s="73" t="s">
        <v>368</v>
      </c>
    </row>
    <row r="30" ht="14.25" customHeight="1">
      <c r="A30" s="34">
        <v>21.0</v>
      </c>
      <c r="B30" s="97" t="s">
        <v>95</v>
      </c>
      <c r="C30" s="65">
        <v>1.0</v>
      </c>
      <c r="D30" s="90" t="s">
        <v>296</v>
      </c>
      <c r="E30" s="27" t="s">
        <v>269</v>
      </c>
      <c r="F30" s="88"/>
      <c r="G30" s="24"/>
      <c r="H30" s="24"/>
      <c r="I30" s="106">
        <v>17.0</v>
      </c>
      <c r="J30" s="24">
        <v>17.0</v>
      </c>
      <c r="K30" s="24">
        <v>17.0</v>
      </c>
      <c r="L30" s="110">
        <v>17.0</v>
      </c>
      <c r="M30" s="110">
        <v>17.0</v>
      </c>
      <c r="N30" s="24"/>
      <c r="O30" s="24"/>
      <c r="P30" s="24">
        <v>24.0</v>
      </c>
      <c r="Q30" s="24"/>
      <c r="R30" s="24"/>
      <c r="S30" s="110">
        <v>24.0</v>
      </c>
      <c r="T30" s="110"/>
      <c r="U30" s="24"/>
      <c r="V30" s="24">
        <v>24.0</v>
      </c>
      <c r="W30" s="24"/>
      <c r="X30" s="24"/>
      <c r="Y30" s="24">
        <v>24.0</v>
      </c>
      <c r="Z30" s="110"/>
      <c r="AA30" s="110"/>
      <c r="AB30" s="24">
        <v>24.0</v>
      </c>
      <c r="AC30" s="24"/>
      <c r="AD30" s="24"/>
      <c r="AE30" s="24">
        <v>24.0</v>
      </c>
      <c r="AF30" s="24"/>
      <c r="AG30" s="110"/>
      <c r="AH30" s="110">
        <v>24.0</v>
      </c>
      <c r="AI30" s="24"/>
      <c r="AJ30" s="24"/>
      <c r="AK30" s="211">
        <f t="shared" si="7"/>
        <v>12</v>
      </c>
      <c r="AL30" s="458">
        <f t="shared" si="8"/>
        <v>253</v>
      </c>
    </row>
    <row r="31" ht="14.25" customHeight="1">
      <c r="A31" s="34">
        <v>20.0</v>
      </c>
      <c r="B31" s="35" t="s">
        <v>95</v>
      </c>
      <c r="C31" s="65">
        <v>1.0</v>
      </c>
      <c r="D31" s="100" t="s">
        <v>267</v>
      </c>
      <c r="E31" s="27" t="s">
        <v>102</v>
      </c>
      <c r="F31" s="450"/>
      <c r="G31" s="24"/>
      <c r="H31" s="24">
        <v>24.0</v>
      </c>
      <c r="I31" s="24"/>
      <c r="J31" s="24"/>
      <c r="K31" s="24">
        <v>24.0</v>
      </c>
      <c r="L31" s="110"/>
      <c r="M31" s="110"/>
      <c r="N31" s="24">
        <v>24.0</v>
      </c>
      <c r="O31" s="24"/>
      <c r="P31" s="24"/>
      <c r="Q31" s="24">
        <v>24.0</v>
      </c>
      <c r="R31" s="24"/>
      <c r="S31" s="110"/>
      <c r="T31" s="110">
        <v>24.0</v>
      </c>
      <c r="U31" s="24"/>
      <c r="V31" s="24"/>
      <c r="W31" s="24">
        <v>17.0</v>
      </c>
      <c r="X31" s="24">
        <v>17.0</v>
      </c>
      <c r="Y31" s="24">
        <v>17.0</v>
      </c>
      <c r="Z31" s="110">
        <v>17.0</v>
      </c>
      <c r="AA31" s="110">
        <v>17.0</v>
      </c>
      <c r="AB31" s="24"/>
      <c r="AC31" s="24"/>
      <c r="AD31" s="24">
        <v>24.0</v>
      </c>
      <c r="AE31" s="24"/>
      <c r="AF31" s="24">
        <v>24.0</v>
      </c>
      <c r="AG31" s="110">
        <v>24.0</v>
      </c>
      <c r="AH31" s="110"/>
      <c r="AI31" s="24"/>
      <c r="AJ31" s="24">
        <v>24.0</v>
      </c>
      <c r="AK31" s="211">
        <f t="shared" si="7"/>
        <v>14</v>
      </c>
      <c r="AL31" s="457">
        <f t="shared" si="8"/>
        <v>301</v>
      </c>
    </row>
    <row r="32" ht="14.25" customHeight="1">
      <c r="A32" s="106">
        <v>22.0</v>
      </c>
      <c r="B32" s="64" t="s">
        <v>184</v>
      </c>
      <c r="C32" s="101">
        <v>1.0</v>
      </c>
      <c r="D32" s="102"/>
      <c r="E32" s="101" t="s">
        <v>105</v>
      </c>
      <c r="F32" s="103">
        <v>0.4</v>
      </c>
      <c r="G32" s="106"/>
      <c r="H32" s="106"/>
      <c r="I32" s="106"/>
      <c r="J32" s="106"/>
      <c r="K32" s="106"/>
      <c r="L32" s="107"/>
      <c r="M32" s="107"/>
      <c r="N32" s="106"/>
      <c r="O32" s="106"/>
      <c r="P32" s="106"/>
      <c r="Q32" s="106"/>
      <c r="R32" s="106"/>
      <c r="S32" s="107"/>
      <c r="T32" s="107"/>
      <c r="U32" s="106"/>
      <c r="V32" s="106"/>
      <c r="W32" s="106"/>
      <c r="X32" s="106"/>
      <c r="Y32" s="106"/>
      <c r="Z32" s="107"/>
      <c r="AA32" s="107"/>
      <c r="AB32" s="106"/>
      <c r="AC32" s="106"/>
      <c r="AD32" s="106"/>
      <c r="AE32" s="106"/>
      <c r="AF32" s="106"/>
      <c r="AG32" s="107"/>
      <c r="AH32" s="107"/>
      <c r="AI32" s="106"/>
      <c r="AJ32" s="106"/>
      <c r="AK32" s="459">
        <f t="shared" ref="AK32:AK33" si="9">COUNTA(F32:AJ32)</f>
        <v>1</v>
      </c>
      <c r="AL32" s="460">
        <f t="shared" ref="AL32:AL33" si="10">SUM(F32:AJ32)</f>
        <v>0.4</v>
      </c>
    </row>
    <row r="33" ht="14.25" customHeight="1">
      <c r="A33" s="119">
        <v>23.0</v>
      </c>
      <c r="B33" s="137" t="s">
        <v>184</v>
      </c>
      <c r="C33" s="129">
        <v>1.0</v>
      </c>
      <c r="D33" s="102"/>
      <c r="E33" s="121" t="s">
        <v>105</v>
      </c>
      <c r="F33" s="103">
        <v>0.4</v>
      </c>
      <c r="G33" s="106"/>
      <c r="H33" s="106"/>
      <c r="I33" s="106"/>
      <c r="J33" s="106"/>
      <c r="K33" s="106"/>
      <c r="L33" s="107"/>
      <c r="M33" s="107"/>
      <c r="N33" s="106"/>
      <c r="O33" s="106"/>
      <c r="P33" s="106"/>
      <c r="Q33" s="106"/>
      <c r="R33" s="106"/>
      <c r="S33" s="107"/>
      <c r="T33" s="107"/>
      <c r="U33" s="106"/>
      <c r="V33" s="106"/>
      <c r="W33" s="106"/>
      <c r="X33" s="106"/>
      <c r="Y33" s="106"/>
      <c r="Z33" s="107"/>
      <c r="AA33" s="107"/>
      <c r="AB33" s="106"/>
      <c r="AC33" s="106"/>
      <c r="AD33" s="106"/>
      <c r="AE33" s="106"/>
      <c r="AF33" s="106"/>
      <c r="AG33" s="107"/>
      <c r="AH33" s="107"/>
      <c r="AI33" s="106"/>
      <c r="AJ33" s="106"/>
      <c r="AK33" s="459">
        <f t="shared" si="9"/>
        <v>1</v>
      </c>
      <c r="AL33" s="460">
        <f t="shared" si="10"/>
        <v>0.4</v>
      </c>
    </row>
    <row r="34" ht="14.25" customHeight="1">
      <c r="A34" s="34">
        <v>24.0</v>
      </c>
      <c r="B34" s="36" t="s">
        <v>109</v>
      </c>
      <c r="C34" s="65">
        <v>1.0</v>
      </c>
      <c r="D34" s="90" t="s">
        <v>300</v>
      </c>
      <c r="E34" s="27" t="s">
        <v>111</v>
      </c>
      <c r="F34" s="118" t="s">
        <v>26</v>
      </c>
      <c r="G34" s="24"/>
      <c r="H34" s="24"/>
      <c r="I34" s="24"/>
      <c r="J34" s="24"/>
      <c r="K34" s="24"/>
      <c r="L34" s="110"/>
      <c r="M34" s="110"/>
      <c r="N34" s="24"/>
      <c r="O34" s="24"/>
      <c r="P34" s="24"/>
      <c r="Q34" s="24">
        <v>12.0</v>
      </c>
      <c r="R34" s="24">
        <v>12.0</v>
      </c>
      <c r="S34" s="110">
        <v>12.0</v>
      </c>
      <c r="T34" s="110">
        <v>12.0</v>
      </c>
      <c r="U34" s="24">
        <v>12.0</v>
      </c>
      <c r="V34" s="24">
        <v>12.0</v>
      </c>
      <c r="W34" s="24">
        <v>12.0</v>
      </c>
      <c r="X34" s="24">
        <v>6.0</v>
      </c>
      <c r="Y34" s="24">
        <v>12.0</v>
      </c>
      <c r="Z34" s="110">
        <v>12.0</v>
      </c>
      <c r="AA34" s="110">
        <v>12.0</v>
      </c>
      <c r="AB34" s="24">
        <v>12.0</v>
      </c>
      <c r="AC34" s="24">
        <v>12.0</v>
      </c>
      <c r="AD34" s="24"/>
      <c r="AE34" s="24">
        <v>12.0</v>
      </c>
      <c r="AF34" s="24">
        <v>12.0</v>
      </c>
      <c r="AG34" s="110">
        <v>12.0</v>
      </c>
      <c r="AH34" s="110">
        <v>12.0</v>
      </c>
      <c r="AI34" s="24">
        <v>12.0</v>
      </c>
      <c r="AJ34" s="24">
        <v>12.0</v>
      </c>
      <c r="AK34" s="211">
        <v>18.5</v>
      </c>
      <c r="AL34" s="57">
        <f>SUM(G34:AJ34)</f>
        <v>222</v>
      </c>
      <c r="AM34" s="73" t="s">
        <v>372</v>
      </c>
    </row>
    <row r="35" ht="14.25" customHeight="1">
      <c r="A35" s="34">
        <v>25.0</v>
      </c>
      <c r="B35" s="35" t="s">
        <v>135</v>
      </c>
      <c r="C35" s="65">
        <v>1.0</v>
      </c>
      <c r="D35" s="117" t="s">
        <v>301</v>
      </c>
      <c r="E35" s="27" t="s">
        <v>111</v>
      </c>
      <c r="F35" s="118" t="s">
        <v>26</v>
      </c>
      <c r="G35" s="24"/>
      <c r="H35" s="24"/>
      <c r="I35" s="24"/>
      <c r="J35" s="24"/>
      <c r="K35" s="24"/>
      <c r="L35" s="110"/>
      <c r="M35" s="110"/>
      <c r="N35" s="24"/>
      <c r="O35" s="24"/>
      <c r="P35" s="24"/>
      <c r="Q35" s="24">
        <v>12.0</v>
      </c>
      <c r="R35" s="24">
        <v>12.0</v>
      </c>
      <c r="S35" s="110">
        <v>24.0</v>
      </c>
      <c r="T35" s="110">
        <v>12.0</v>
      </c>
      <c r="U35" s="24">
        <v>12.0</v>
      </c>
      <c r="V35" s="24">
        <v>12.0</v>
      </c>
      <c r="W35" s="24"/>
      <c r="X35" s="24">
        <v>12.0</v>
      </c>
      <c r="Y35" s="24">
        <v>12.0</v>
      </c>
      <c r="Z35" s="110">
        <v>12.0</v>
      </c>
      <c r="AA35" s="110">
        <v>12.0</v>
      </c>
      <c r="AB35" s="24">
        <v>12.0</v>
      </c>
      <c r="AC35" s="24">
        <v>12.0</v>
      </c>
      <c r="AD35" s="24"/>
      <c r="AE35" s="24">
        <v>6.0</v>
      </c>
      <c r="AF35" s="24">
        <v>12.0</v>
      </c>
      <c r="AG35" s="110">
        <v>12.0</v>
      </c>
      <c r="AH35" s="110">
        <v>12.0</v>
      </c>
      <c r="AI35" s="24">
        <v>12.0</v>
      </c>
      <c r="AJ35" s="24">
        <v>12.0</v>
      </c>
      <c r="AK35" s="211">
        <v>18.5</v>
      </c>
      <c r="AL35" s="57">
        <f>SUM(G35:AK35)</f>
        <v>240.5</v>
      </c>
    </row>
    <row r="36" ht="14.25" customHeight="1">
      <c r="A36" s="34">
        <v>26.0</v>
      </c>
      <c r="B36" s="35" t="s">
        <v>135</v>
      </c>
      <c r="C36" s="65">
        <v>1.0</v>
      </c>
      <c r="D36" s="90" t="s">
        <v>297</v>
      </c>
      <c r="E36" s="27" t="s">
        <v>73</v>
      </c>
      <c r="F36" s="123" t="s">
        <v>26</v>
      </c>
      <c r="G36" s="24">
        <v>12.0</v>
      </c>
      <c r="H36" s="24">
        <v>12.0</v>
      </c>
      <c r="I36" s="24"/>
      <c r="J36" s="24">
        <v>12.0</v>
      </c>
      <c r="K36" s="24">
        <v>12.0</v>
      </c>
      <c r="L36" s="110">
        <v>12.0</v>
      </c>
      <c r="M36" s="110">
        <v>12.0</v>
      </c>
      <c r="N36" s="24">
        <v>12.0</v>
      </c>
      <c r="O36" s="24">
        <v>18.0</v>
      </c>
      <c r="P36" s="24">
        <v>12.0</v>
      </c>
      <c r="Q36" s="24"/>
      <c r="R36" s="24">
        <v>12.0</v>
      </c>
      <c r="S36" s="110"/>
      <c r="T36" s="110">
        <v>12.0</v>
      </c>
      <c r="U36" s="24">
        <v>12.0</v>
      </c>
      <c r="V36" s="24">
        <v>12.0</v>
      </c>
      <c r="W36" s="24"/>
      <c r="X36" s="24">
        <v>12.0</v>
      </c>
      <c r="Y36" s="24">
        <v>12.0</v>
      </c>
      <c r="Z36" s="110">
        <v>12.0</v>
      </c>
      <c r="AA36" s="110">
        <v>12.0</v>
      </c>
      <c r="AB36" s="24"/>
      <c r="AC36" s="24">
        <v>12.0</v>
      </c>
      <c r="AD36" s="24">
        <v>12.0</v>
      </c>
      <c r="AE36" s="24">
        <v>12.0</v>
      </c>
      <c r="AF36" s="24">
        <v>12.0</v>
      </c>
      <c r="AG36" s="110">
        <v>12.0</v>
      </c>
      <c r="AH36" s="110"/>
      <c r="AI36" s="24">
        <v>12.0</v>
      </c>
      <c r="AJ36" s="24">
        <v>12.0</v>
      </c>
      <c r="AK36" s="211">
        <v>24.5</v>
      </c>
      <c r="AL36" s="57">
        <f t="shared" ref="AL36:AL39" si="11">SUM(G36:AJ36)</f>
        <v>294</v>
      </c>
      <c r="AM36" s="73" t="s">
        <v>372</v>
      </c>
    </row>
    <row r="37" ht="26.25" customHeight="1">
      <c r="A37" s="465">
        <v>27.0</v>
      </c>
      <c r="B37" s="128" t="s">
        <v>142</v>
      </c>
      <c r="C37" s="129">
        <v>1.0</v>
      </c>
      <c r="D37" s="130" t="s">
        <v>298</v>
      </c>
      <c r="E37" s="129" t="s">
        <v>125</v>
      </c>
      <c r="F37" s="250"/>
      <c r="G37" s="106">
        <v>12.0</v>
      </c>
      <c r="H37" s="106">
        <v>12.0</v>
      </c>
      <c r="I37" s="106">
        <v>12.0</v>
      </c>
      <c r="J37" s="106">
        <v>12.0</v>
      </c>
      <c r="K37" s="106">
        <v>12.0</v>
      </c>
      <c r="L37" s="107">
        <v>12.0</v>
      </c>
      <c r="M37" s="107">
        <v>12.0</v>
      </c>
      <c r="N37" s="106">
        <v>12.0</v>
      </c>
      <c r="O37" s="106">
        <v>12.0</v>
      </c>
      <c r="P37" s="106">
        <v>12.0</v>
      </c>
      <c r="Q37" s="106"/>
      <c r="R37" s="106"/>
      <c r="S37" s="107"/>
      <c r="T37" s="107"/>
      <c r="U37" s="106"/>
      <c r="V37" s="106"/>
      <c r="W37" s="106"/>
      <c r="X37" s="106"/>
      <c r="Y37" s="106"/>
      <c r="Z37" s="107"/>
      <c r="AA37" s="107"/>
      <c r="AB37" s="106"/>
      <c r="AC37" s="106"/>
      <c r="AD37" s="106"/>
      <c r="AE37" s="106"/>
      <c r="AF37" s="106"/>
      <c r="AG37" s="107"/>
      <c r="AH37" s="107"/>
      <c r="AI37" s="106"/>
      <c r="AJ37" s="106"/>
      <c r="AK37" s="459">
        <f t="shared" ref="AK37:AK38" si="12">COUNTA(G37:AJ37)</f>
        <v>10</v>
      </c>
      <c r="AL37" s="466">
        <f t="shared" si="11"/>
        <v>120</v>
      </c>
    </row>
    <row r="38" ht="30.0" customHeight="1">
      <c r="A38" s="17"/>
      <c r="B38" s="17"/>
      <c r="C38" s="17"/>
      <c r="D38" s="17"/>
      <c r="E38" s="121" t="s">
        <v>315</v>
      </c>
      <c r="F38" s="17"/>
      <c r="G38" s="106"/>
      <c r="H38" s="106"/>
      <c r="I38" s="106"/>
      <c r="J38" s="106"/>
      <c r="K38" s="106"/>
      <c r="L38" s="107"/>
      <c r="M38" s="107"/>
      <c r="N38" s="106"/>
      <c r="O38" s="106"/>
      <c r="P38" s="106"/>
      <c r="Q38" s="106"/>
      <c r="R38" s="106"/>
      <c r="S38" s="107"/>
      <c r="T38" s="107"/>
      <c r="U38" s="106"/>
      <c r="V38" s="106"/>
      <c r="W38" s="106">
        <v>12.0</v>
      </c>
      <c r="X38" s="106">
        <v>12.0</v>
      </c>
      <c r="Y38" s="106">
        <v>12.0</v>
      </c>
      <c r="Z38" s="107">
        <v>12.0</v>
      </c>
      <c r="AA38" s="107">
        <v>12.0</v>
      </c>
      <c r="AB38" s="106"/>
      <c r="AC38" s="106">
        <v>12.0</v>
      </c>
      <c r="AD38" s="106"/>
      <c r="AE38" s="106">
        <v>12.0</v>
      </c>
      <c r="AF38" s="106">
        <v>12.0</v>
      </c>
      <c r="AG38" s="107">
        <v>12.0</v>
      </c>
      <c r="AH38" s="107">
        <v>12.0</v>
      </c>
      <c r="AI38" s="106">
        <v>12.0</v>
      </c>
      <c r="AJ38" s="106"/>
      <c r="AK38" s="459">
        <f t="shared" si="12"/>
        <v>11</v>
      </c>
      <c r="AL38" s="466">
        <f t="shared" si="11"/>
        <v>132</v>
      </c>
    </row>
    <row r="39" ht="21.0" customHeight="1">
      <c r="A39" s="34">
        <v>28.0</v>
      </c>
      <c r="B39" s="35" t="s">
        <v>144</v>
      </c>
      <c r="C39" s="27">
        <v>1.0</v>
      </c>
      <c r="D39" s="117" t="s">
        <v>131</v>
      </c>
      <c r="E39" s="27" t="s">
        <v>133</v>
      </c>
      <c r="F39" s="123" t="s">
        <v>26</v>
      </c>
      <c r="G39" s="24"/>
      <c r="H39" s="24"/>
      <c r="I39" s="24"/>
      <c r="J39" s="24"/>
      <c r="K39" s="24"/>
      <c r="L39" s="110"/>
      <c r="M39" s="110"/>
      <c r="N39" s="24"/>
      <c r="O39" s="24"/>
      <c r="P39" s="24"/>
      <c r="Q39" s="24">
        <v>12.0</v>
      </c>
      <c r="R39" s="24">
        <v>12.0</v>
      </c>
      <c r="S39" s="110"/>
      <c r="T39" s="110">
        <v>12.0</v>
      </c>
      <c r="U39" s="24">
        <v>12.0</v>
      </c>
      <c r="V39" s="24"/>
      <c r="W39" s="24">
        <v>12.0</v>
      </c>
      <c r="X39" s="24">
        <v>12.0</v>
      </c>
      <c r="Y39" s="24">
        <v>12.0</v>
      </c>
      <c r="Z39" s="110">
        <v>12.0</v>
      </c>
      <c r="AA39" s="110">
        <v>12.0</v>
      </c>
      <c r="AB39" s="24">
        <v>18.0</v>
      </c>
      <c r="AC39" s="24"/>
      <c r="AD39" s="24">
        <v>12.0</v>
      </c>
      <c r="AE39" s="24">
        <v>12.0</v>
      </c>
      <c r="AF39" s="24">
        <v>12.0</v>
      </c>
      <c r="AG39" s="110">
        <v>12.0</v>
      </c>
      <c r="AH39" s="110">
        <v>12.0</v>
      </c>
      <c r="AI39" s="24">
        <v>12.0</v>
      </c>
      <c r="AJ39" s="24">
        <v>12.0</v>
      </c>
      <c r="AK39" s="211">
        <v>17.5</v>
      </c>
      <c r="AL39" s="57">
        <f t="shared" si="11"/>
        <v>210</v>
      </c>
    </row>
    <row r="40" ht="19.5" customHeight="1">
      <c r="A40" s="34">
        <v>30.0</v>
      </c>
      <c r="B40" s="35" t="s">
        <v>136</v>
      </c>
      <c r="C40" s="27">
        <v>1.0</v>
      </c>
      <c r="D40" s="117" t="s">
        <v>145</v>
      </c>
      <c r="E40" s="26" t="s">
        <v>138</v>
      </c>
      <c r="F40" s="28" t="s">
        <v>26</v>
      </c>
      <c r="G40" s="24">
        <v>11.0</v>
      </c>
      <c r="H40" s="24">
        <v>11.0</v>
      </c>
      <c r="I40" s="24">
        <v>11.0</v>
      </c>
      <c r="J40" s="24">
        <v>11.0</v>
      </c>
      <c r="K40" s="24">
        <v>11.0</v>
      </c>
      <c r="L40" s="110">
        <v>11.0</v>
      </c>
      <c r="M40" s="110">
        <v>11.0</v>
      </c>
      <c r="N40" s="24">
        <v>11.0</v>
      </c>
      <c r="O40" s="24">
        <v>11.0</v>
      </c>
      <c r="P40" s="24">
        <v>11.0</v>
      </c>
      <c r="Q40" s="24">
        <v>11.0</v>
      </c>
      <c r="R40" s="24">
        <v>11.0</v>
      </c>
      <c r="S40" s="110">
        <v>11.0</v>
      </c>
      <c r="T40" s="110">
        <v>11.0</v>
      </c>
      <c r="U40" s="24">
        <v>11.0</v>
      </c>
      <c r="V40" s="24">
        <v>11.0</v>
      </c>
      <c r="W40" s="24"/>
      <c r="X40" s="24">
        <v>11.0</v>
      </c>
      <c r="Y40" s="24">
        <v>11.0</v>
      </c>
      <c r="Z40" s="110">
        <v>11.0</v>
      </c>
      <c r="AA40" s="110">
        <v>11.0</v>
      </c>
      <c r="AB40" s="24">
        <v>11.0</v>
      </c>
      <c r="AC40" s="24">
        <v>11.0</v>
      </c>
      <c r="AD40" s="24">
        <v>11.0</v>
      </c>
      <c r="AE40" s="24">
        <v>11.0</v>
      </c>
      <c r="AF40" s="24">
        <v>11.0</v>
      </c>
      <c r="AG40" s="110">
        <v>11.0</v>
      </c>
      <c r="AH40" s="110">
        <v>11.0</v>
      </c>
      <c r="AI40" s="24">
        <v>11.0</v>
      </c>
      <c r="AJ40" s="24">
        <v>11.0</v>
      </c>
      <c r="AK40" s="461">
        <v>29.0</v>
      </c>
      <c r="AL40" s="57">
        <f>SUM(G40:AK40)</f>
        <v>348</v>
      </c>
    </row>
    <row r="41" ht="14.25" customHeight="1">
      <c r="A41" s="21"/>
      <c r="B41" s="20" t="s">
        <v>140</v>
      </c>
      <c r="C41" s="21"/>
      <c r="D41" s="20" t="s">
        <v>140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2"/>
      <c r="AD41" s="212"/>
      <c r="AE41" s="212"/>
      <c r="AF41" s="212"/>
      <c r="AG41" s="212"/>
      <c r="AH41" s="212"/>
      <c r="AI41" s="212"/>
      <c r="AJ41" s="212"/>
      <c r="AK41" s="21"/>
      <c r="AL41" s="45"/>
    </row>
    <row r="42" ht="14.25" customHeight="1">
      <c r="A42" s="34">
        <v>31.0</v>
      </c>
      <c r="B42" s="35" t="s">
        <v>140</v>
      </c>
      <c r="C42" s="27">
        <v>1.0</v>
      </c>
      <c r="D42" s="117" t="s">
        <v>366</v>
      </c>
      <c r="E42" s="139" t="s">
        <v>51</v>
      </c>
      <c r="F42" s="28" t="s">
        <v>85</v>
      </c>
      <c r="G42" s="24"/>
      <c r="H42" s="24">
        <v>24.0</v>
      </c>
      <c r="I42" s="24"/>
      <c r="J42" s="24"/>
      <c r="K42" s="24">
        <v>24.0</v>
      </c>
      <c r="L42" s="110"/>
      <c r="M42" s="110"/>
      <c r="N42" s="24">
        <v>24.0</v>
      </c>
      <c r="O42" s="24"/>
      <c r="P42" s="24"/>
      <c r="Q42" s="24">
        <v>24.0</v>
      </c>
      <c r="R42" s="24"/>
      <c r="S42" s="110"/>
      <c r="T42" s="110">
        <v>24.0</v>
      </c>
      <c r="U42" s="24"/>
      <c r="V42" s="24"/>
      <c r="W42" s="24">
        <v>24.0</v>
      </c>
      <c r="X42" s="24"/>
      <c r="Y42" s="24"/>
      <c r="Z42" s="110">
        <v>24.0</v>
      </c>
      <c r="AA42" s="110"/>
      <c r="AB42" s="24"/>
      <c r="AC42" s="24">
        <v>24.0</v>
      </c>
      <c r="AD42" s="24"/>
      <c r="AE42" s="24"/>
      <c r="AF42" s="24">
        <v>24.0</v>
      </c>
      <c r="AG42" s="110"/>
      <c r="AH42" s="110"/>
      <c r="AI42" s="24">
        <v>24.0</v>
      </c>
      <c r="AJ42" s="24"/>
      <c r="AK42" s="211">
        <f t="shared" ref="AK42:AK43" si="13">COUNTA(G42:AJ42)</f>
        <v>10</v>
      </c>
      <c r="AL42" s="57">
        <f t="shared" ref="AL42:AL44" si="14">SUM(G42:AJ42)</f>
        <v>240</v>
      </c>
    </row>
    <row r="43" ht="14.25" customHeight="1">
      <c r="A43" s="24">
        <v>32.0</v>
      </c>
      <c r="B43" s="35" t="s">
        <v>140</v>
      </c>
      <c r="C43" s="27">
        <v>1.0</v>
      </c>
      <c r="D43" s="117" t="s">
        <v>303</v>
      </c>
      <c r="E43" s="139" t="s">
        <v>51</v>
      </c>
      <c r="F43" s="28" t="s">
        <v>85</v>
      </c>
      <c r="G43" s="24">
        <v>24.0</v>
      </c>
      <c r="H43" s="24"/>
      <c r="I43" s="476">
        <v>24.0</v>
      </c>
      <c r="J43" s="24">
        <v>24.0</v>
      </c>
      <c r="K43" s="24"/>
      <c r="L43" s="110"/>
      <c r="M43" s="110">
        <v>24.0</v>
      </c>
      <c r="N43" s="24"/>
      <c r="O43" s="24"/>
      <c r="P43" s="24">
        <v>24.0</v>
      </c>
      <c r="Q43" s="24"/>
      <c r="R43" s="24"/>
      <c r="S43" s="110">
        <v>24.0</v>
      </c>
      <c r="T43" s="110"/>
      <c r="U43" s="24"/>
      <c r="V43" s="24">
        <v>24.0</v>
      </c>
      <c r="W43" s="24"/>
      <c r="X43" s="24">
        <v>24.0</v>
      </c>
      <c r="Y43" s="24"/>
      <c r="Z43" s="110"/>
      <c r="AA43" s="110"/>
      <c r="AB43" s="24">
        <v>24.0</v>
      </c>
      <c r="AC43" s="24"/>
      <c r="AD43" s="24"/>
      <c r="AE43" s="24">
        <v>24.0</v>
      </c>
      <c r="AF43" s="24"/>
      <c r="AG43" s="110"/>
      <c r="AH43" s="110">
        <v>24.0</v>
      </c>
      <c r="AI43" s="24"/>
      <c r="AJ43" s="24"/>
      <c r="AK43" s="211">
        <f t="shared" si="13"/>
        <v>11</v>
      </c>
      <c r="AL43" s="57">
        <f t="shared" si="14"/>
        <v>264</v>
      </c>
    </row>
    <row r="44" ht="14.25" customHeight="1">
      <c r="A44" s="24">
        <v>33.0</v>
      </c>
      <c r="B44" s="35" t="s">
        <v>140</v>
      </c>
      <c r="C44" s="27">
        <v>1.0</v>
      </c>
      <c r="D44" s="117" t="s">
        <v>145</v>
      </c>
      <c r="E44" s="139" t="s">
        <v>51</v>
      </c>
      <c r="F44" s="28" t="s">
        <v>85</v>
      </c>
      <c r="G44" s="24"/>
      <c r="H44" s="24"/>
      <c r="I44" s="106"/>
      <c r="J44" s="24"/>
      <c r="K44" s="24"/>
      <c r="L44" s="110">
        <v>24.0</v>
      </c>
      <c r="M44" s="110"/>
      <c r="N44" s="24"/>
      <c r="O44" s="24">
        <v>24.0</v>
      </c>
      <c r="P44" s="24"/>
      <c r="Q44" s="24"/>
      <c r="R44" s="24">
        <v>24.0</v>
      </c>
      <c r="S44" s="110"/>
      <c r="T44" s="110"/>
      <c r="U44" s="24">
        <v>24.0</v>
      </c>
      <c r="V44" s="24"/>
      <c r="W44" s="24"/>
      <c r="X44" s="24"/>
      <c r="Y44" s="24">
        <v>24.0</v>
      </c>
      <c r="Z44" s="110"/>
      <c r="AA44" s="110">
        <v>24.0</v>
      </c>
      <c r="AB44" s="24"/>
      <c r="AC44" s="24"/>
      <c r="AD44" s="24">
        <v>24.0</v>
      </c>
      <c r="AE44" s="24"/>
      <c r="AF44" s="24"/>
      <c r="AG44" s="110">
        <v>24.0</v>
      </c>
      <c r="AH44" s="110"/>
      <c r="AI44" s="24"/>
      <c r="AJ44" s="24">
        <v>24.0</v>
      </c>
      <c r="AK44" s="211">
        <v>9.0</v>
      </c>
      <c r="AL44" s="57">
        <f t="shared" si="14"/>
        <v>216</v>
      </c>
    </row>
    <row r="45" ht="14.25" customHeight="1">
      <c r="A45" s="142"/>
      <c r="B45" s="143" t="s">
        <v>151</v>
      </c>
      <c r="C45" s="144">
        <v>33.0</v>
      </c>
      <c r="D45" s="143" t="s">
        <v>152</v>
      </c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21"/>
      <c r="AL45" s="45"/>
    </row>
    <row r="46" ht="14.25" customHeight="1">
      <c r="A46" s="142"/>
      <c r="B46" s="146" t="s">
        <v>154</v>
      </c>
      <c r="C46" s="147"/>
      <c r="D46" s="147"/>
      <c r="E46" s="147"/>
      <c r="F46" s="148"/>
      <c r="G46" s="144" t="s">
        <v>155</v>
      </c>
      <c r="H46" s="144" t="s">
        <v>155</v>
      </c>
      <c r="I46" s="144" t="s">
        <v>155</v>
      </c>
      <c r="J46" s="144" t="s">
        <v>155</v>
      </c>
      <c r="K46" s="144" t="s">
        <v>155</v>
      </c>
      <c r="L46" s="144" t="s">
        <v>155</v>
      </c>
      <c r="M46" s="144" t="s">
        <v>155</v>
      </c>
      <c r="N46" s="144" t="s">
        <v>155</v>
      </c>
      <c r="O46" s="144" t="s">
        <v>155</v>
      </c>
      <c r="P46" s="144" t="s">
        <v>155</v>
      </c>
      <c r="Q46" s="144" t="s">
        <v>155</v>
      </c>
      <c r="R46" s="144" t="s">
        <v>155</v>
      </c>
      <c r="S46" s="144" t="s">
        <v>155</v>
      </c>
      <c r="T46" s="144" t="s">
        <v>155</v>
      </c>
      <c r="U46" s="144" t="s">
        <v>155</v>
      </c>
      <c r="V46" s="144" t="s">
        <v>155</v>
      </c>
      <c r="W46" s="144" t="s">
        <v>155</v>
      </c>
      <c r="X46" s="144" t="s">
        <v>155</v>
      </c>
      <c r="Y46" s="144" t="s">
        <v>155</v>
      </c>
      <c r="Z46" s="144" t="s">
        <v>155</v>
      </c>
      <c r="AA46" s="144" t="s">
        <v>155</v>
      </c>
      <c r="AB46" s="144" t="s">
        <v>155</v>
      </c>
      <c r="AC46" s="144" t="s">
        <v>155</v>
      </c>
      <c r="AD46" s="144" t="s">
        <v>155</v>
      </c>
      <c r="AE46" s="144" t="s">
        <v>155</v>
      </c>
      <c r="AF46" s="144" t="s">
        <v>155</v>
      </c>
      <c r="AG46" s="144" t="s">
        <v>155</v>
      </c>
      <c r="AH46" s="144" t="s">
        <v>155</v>
      </c>
      <c r="AI46" s="144" t="s">
        <v>155</v>
      </c>
      <c r="AJ46" s="144" t="s">
        <v>155</v>
      </c>
      <c r="AK46" s="21"/>
      <c r="AL46" s="45"/>
    </row>
    <row r="47" ht="14.25" customHeight="1">
      <c r="A47" s="142"/>
      <c r="B47" s="146" t="s">
        <v>156</v>
      </c>
      <c r="C47" s="147"/>
      <c r="D47" s="147"/>
      <c r="E47" s="147"/>
      <c r="F47" s="148"/>
      <c r="G47" s="144">
        <f t="shared" ref="G47:AJ47" si="15">COUNTA(#REF!,#REF!,#REF!,#REF!,#REF!)</f>
        <v>5</v>
      </c>
      <c r="H47" s="144">
        <f t="shared" si="15"/>
        <v>5</v>
      </c>
      <c r="I47" s="144">
        <f t="shared" si="15"/>
        <v>5</v>
      </c>
      <c r="J47" s="144">
        <f t="shared" si="15"/>
        <v>5</v>
      </c>
      <c r="K47" s="144">
        <f t="shared" si="15"/>
        <v>5</v>
      </c>
      <c r="L47" s="144">
        <f t="shared" si="15"/>
        <v>5</v>
      </c>
      <c r="M47" s="144">
        <f t="shared" si="15"/>
        <v>5</v>
      </c>
      <c r="N47" s="144">
        <f t="shared" si="15"/>
        <v>5</v>
      </c>
      <c r="O47" s="144">
        <f t="shared" si="15"/>
        <v>5</v>
      </c>
      <c r="P47" s="144">
        <f t="shared" si="15"/>
        <v>5</v>
      </c>
      <c r="Q47" s="144">
        <f t="shared" si="15"/>
        <v>5</v>
      </c>
      <c r="R47" s="144">
        <f t="shared" si="15"/>
        <v>5</v>
      </c>
      <c r="S47" s="144">
        <f t="shared" si="15"/>
        <v>5</v>
      </c>
      <c r="T47" s="144">
        <f t="shared" si="15"/>
        <v>5</v>
      </c>
      <c r="U47" s="144">
        <f t="shared" si="15"/>
        <v>5</v>
      </c>
      <c r="V47" s="144">
        <f t="shared" si="15"/>
        <v>5</v>
      </c>
      <c r="W47" s="144">
        <f t="shared" si="15"/>
        <v>5</v>
      </c>
      <c r="X47" s="144">
        <f t="shared" si="15"/>
        <v>5</v>
      </c>
      <c r="Y47" s="144">
        <f t="shared" si="15"/>
        <v>5</v>
      </c>
      <c r="Z47" s="144">
        <f t="shared" si="15"/>
        <v>5</v>
      </c>
      <c r="AA47" s="144">
        <f t="shared" si="15"/>
        <v>5</v>
      </c>
      <c r="AB47" s="144">
        <f t="shared" si="15"/>
        <v>5</v>
      </c>
      <c r="AC47" s="144">
        <f t="shared" si="15"/>
        <v>5</v>
      </c>
      <c r="AD47" s="144">
        <f t="shared" si="15"/>
        <v>5</v>
      </c>
      <c r="AE47" s="144">
        <f t="shared" si="15"/>
        <v>5</v>
      </c>
      <c r="AF47" s="144">
        <f t="shared" si="15"/>
        <v>5</v>
      </c>
      <c r="AG47" s="144">
        <f t="shared" si="15"/>
        <v>5</v>
      </c>
      <c r="AH47" s="144">
        <f t="shared" si="15"/>
        <v>5</v>
      </c>
      <c r="AI47" s="144">
        <f t="shared" si="15"/>
        <v>5</v>
      </c>
      <c r="AJ47" s="144">
        <f t="shared" si="15"/>
        <v>5</v>
      </c>
      <c r="AK47" s="21"/>
      <c r="AL47" s="45"/>
    </row>
    <row r="48" ht="14.25" customHeight="1">
      <c r="A48" s="142"/>
      <c r="B48" s="146" t="s">
        <v>157</v>
      </c>
      <c r="C48" s="147"/>
      <c r="D48" s="147"/>
      <c r="E48" s="147"/>
      <c r="F48" s="148"/>
      <c r="G48" s="269">
        <f t="shared" ref="G48:AJ48" si="16">COUNTA(#REF!,#REF!)</f>
        <v>2</v>
      </c>
      <c r="H48" s="269">
        <f t="shared" si="16"/>
        <v>2</v>
      </c>
      <c r="I48" s="269">
        <f t="shared" si="16"/>
        <v>2</v>
      </c>
      <c r="J48" s="269">
        <f t="shared" si="16"/>
        <v>2</v>
      </c>
      <c r="K48" s="269">
        <f t="shared" si="16"/>
        <v>2</v>
      </c>
      <c r="L48" s="269">
        <f t="shared" si="16"/>
        <v>2</v>
      </c>
      <c r="M48" s="269">
        <f t="shared" si="16"/>
        <v>2</v>
      </c>
      <c r="N48" s="269">
        <f t="shared" si="16"/>
        <v>2</v>
      </c>
      <c r="O48" s="269">
        <f t="shared" si="16"/>
        <v>2</v>
      </c>
      <c r="P48" s="269">
        <f t="shared" si="16"/>
        <v>2</v>
      </c>
      <c r="Q48" s="269">
        <f t="shared" si="16"/>
        <v>2</v>
      </c>
      <c r="R48" s="269">
        <f t="shared" si="16"/>
        <v>2</v>
      </c>
      <c r="S48" s="269">
        <f t="shared" si="16"/>
        <v>2</v>
      </c>
      <c r="T48" s="269">
        <f t="shared" si="16"/>
        <v>2</v>
      </c>
      <c r="U48" s="269">
        <f t="shared" si="16"/>
        <v>2</v>
      </c>
      <c r="V48" s="269">
        <f t="shared" si="16"/>
        <v>2</v>
      </c>
      <c r="W48" s="269">
        <f t="shared" si="16"/>
        <v>2</v>
      </c>
      <c r="X48" s="269">
        <f t="shared" si="16"/>
        <v>2</v>
      </c>
      <c r="Y48" s="269">
        <f t="shared" si="16"/>
        <v>2</v>
      </c>
      <c r="Z48" s="269">
        <f t="shared" si="16"/>
        <v>2</v>
      </c>
      <c r="AA48" s="269">
        <f t="shared" si="16"/>
        <v>2</v>
      </c>
      <c r="AB48" s="269">
        <f t="shared" si="16"/>
        <v>2</v>
      </c>
      <c r="AC48" s="269">
        <f t="shared" si="16"/>
        <v>2</v>
      </c>
      <c r="AD48" s="269">
        <f t="shared" si="16"/>
        <v>2</v>
      </c>
      <c r="AE48" s="269">
        <f t="shared" si="16"/>
        <v>2</v>
      </c>
      <c r="AF48" s="269">
        <f t="shared" si="16"/>
        <v>2</v>
      </c>
      <c r="AG48" s="269">
        <f t="shared" si="16"/>
        <v>2</v>
      </c>
      <c r="AH48" s="269">
        <f t="shared" si="16"/>
        <v>2</v>
      </c>
      <c r="AI48" s="269">
        <f t="shared" si="16"/>
        <v>2</v>
      </c>
      <c r="AJ48" s="269">
        <f t="shared" si="16"/>
        <v>2</v>
      </c>
      <c r="AK48" s="21"/>
      <c r="AL48" s="45"/>
    </row>
    <row r="49" ht="14.25" customHeight="1">
      <c r="A49" s="2"/>
      <c r="B49" s="3"/>
      <c r="C49" s="2"/>
      <c r="D49" s="2"/>
      <c r="E49" s="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280"/>
      <c r="AL49" s="11"/>
    </row>
    <row r="50" ht="14.25" customHeight="1">
      <c r="A50" s="152"/>
      <c r="B50" s="153"/>
      <c r="C50" s="154"/>
      <c r="D50" s="155" t="s">
        <v>159</v>
      </c>
      <c r="E50" s="155"/>
      <c r="F50" s="156"/>
      <c r="G50" s="213">
        <f t="shared" ref="G50:AG50" si="17">COUNTA(G10,G11:G14,#REF!,G25:G26,G41,G24:G39,G30)</f>
        <v>7</v>
      </c>
      <c r="H50" s="213">
        <f t="shared" si="17"/>
        <v>8</v>
      </c>
      <c r="I50" s="213">
        <f t="shared" si="17"/>
        <v>10</v>
      </c>
      <c r="J50" s="213">
        <f t="shared" si="17"/>
        <v>10</v>
      </c>
      <c r="K50" s="213">
        <f t="shared" si="17"/>
        <v>11</v>
      </c>
      <c r="L50" s="213">
        <f t="shared" si="17"/>
        <v>9</v>
      </c>
      <c r="M50" s="213">
        <f t="shared" si="17"/>
        <v>7</v>
      </c>
      <c r="N50" s="213">
        <f t="shared" si="17"/>
        <v>8</v>
      </c>
      <c r="O50" s="213">
        <f t="shared" si="17"/>
        <v>9</v>
      </c>
      <c r="P50" s="213">
        <f t="shared" si="17"/>
        <v>9</v>
      </c>
      <c r="Q50" s="213">
        <f t="shared" si="17"/>
        <v>11</v>
      </c>
      <c r="R50" s="213">
        <f t="shared" si="17"/>
        <v>12</v>
      </c>
      <c r="S50" s="213">
        <f t="shared" si="17"/>
        <v>9</v>
      </c>
      <c r="T50" s="213">
        <f t="shared" si="17"/>
        <v>11</v>
      </c>
      <c r="U50" s="213">
        <f t="shared" si="17"/>
        <v>11</v>
      </c>
      <c r="V50" s="213">
        <f t="shared" si="17"/>
        <v>12</v>
      </c>
      <c r="W50" s="213">
        <f t="shared" si="17"/>
        <v>11</v>
      </c>
      <c r="X50" s="213">
        <f t="shared" si="17"/>
        <v>14</v>
      </c>
      <c r="Y50" s="213">
        <f t="shared" si="17"/>
        <v>15</v>
      </c>
      <c r="Z50" s="213">
        <f t="shared" si="17"/>
        <v>10</v>
      </c>
      <c r="AA50" s="213">
        <f t="shared" si="17"/>
        <v>10</v>
      </c>
      <c r="AB50" s="213">
        <f t="shared" si="17"/>
        <v>10</v>
      </c>
      <c r="AC50" s="213">
        <f t="shared" si="17"/>
        <v>11</v>
      </c>
      <c r="AD50" s="213">
        <f t="shared" si="17"/>
        <v>10</v>
      </c>
      <c r="AE50" s="213">
        <f t="shared" si="17"/>
        <v>12</v>
      </c>
      <c r="AF50" s="213">
        <f t="shared" si="17"/>
        <v>12</v>
      </c>
      <c r="AG50" s="213">
        <f t="shared" si="17"/>
        <v>10</v>
      </c>
      <c r="AH50" s="213"/>
      <c r="AI50" s="213"/>
      <c r="AJ50" s="213"/>
      <c r="AK50" s="287">
        <f t="shared" ref="AK50:AK53" si="19">SUM(G50:AJ50)</f>
        <v>279</v>
      </c>
      <c r="AL50" s="158">
        <v>250.0</v>
      </c>
    </row>
    <row r="51" ht="14.25" customHeight="1">
      <c r="A51" s="159"/>
      <c r="B51" s="160"/>
      <c r="C51" s="161"/>
      <c r="D51" s="162" t="s">
        <v>160</v>
      </c>
      <c r="E51" s="162"/>
      <c r="F51" s="163"/>
      <c r="G51" s="289">
        <f>COUNTA(G10,#REF!,#REF!,H14,G24:G39,G25:G41)</f>
        <v>12</v>
      </c>
      <c r="H51" s="289">
        <f>COUNTA(H10,#REF!,#REF!,#REF!,H24:H39,H25:H41)</f>
        <v>13</v>
      </c>
      <c r="I51" s="289">
        <f t="shared" ref="I51:AG51" si="18">COUNTA(I10,#REF!,#REF!,I14,I24:I39,I25:I41)</f>
        <v>12</v>
      </c>
      <c r="J51" s="289">
        <f t="shared" si="18"/>
        <v>14</v>
      </c>
      <c r="K51" s="289">
        <f t="shared" si="18"/>
        <v>14</v>
      </c>
      <c r="L51" s="289">
        <f t="shared" si="18"/>
        <v>13</v>
      </c>
      <c r="M51" s="289">
        <f t="shared" si="18"/>
        <v>13</v>
      </c>
      <c r="N51" s="289">
        <f t="shared" si="18"/>
        <v>12</v>
      </c>
      <c r="O51" s="289">
        <f t="shared" si="18"/>
        <v>12</v>
      </c>
      <c r="P51" s="289">
        <f t="shared" si="18"/>
        <v>12</v>
      </c>
      <c r="Q51" s="289">
        <f t="shared" si="18"/>
        <v>16</v>
      </c>
      <c r="R51" s="289">
        <f t="shared" si="18"/>
        <v>18</v>
      </c>
      <c r="S51" s="289">
        <f t="shared" si="18"/>
        <v>15</v>
      </c>
      <c r="T51" s="289">
        <f t="shared" si="18"/>
        <v>19</v>
      </c>
      <c r="U51" s="289">
        <f t="shared" si="18"/>
        <v>18</v>
      </c>
      <c r="V51" s="289">
        <f t="shared" si="18"/>
        <v>16</v>
      </c>
      <c r="W51" s="289">
        <f t="shared" si="18"/>
        <v>17</v>
      </c>
      <c r="X51" s="289">
        <f t="shared" si="18"/>
        <v>22</v>
      </c>
      <c r="Y51" s="289">
        <f t="shared" si="18"/>
        <v>22</v>
      </c>
      <c r="Z51" s="289">
        <f t="shared" si="18"/>
        <v>19</v>
      </c>
      <c r="AA51" s="289">
        <f t="shared" si="18"/>
        <v>17</v>
      </c>
      <c r="AB51" s="289">
        <f t="shared" si="18"/>
        <v>14</v>
      </c>
      <c r="AC51" s="289">
        <f t="shared" si="18"/>
        <v>16</v>
      </c>
      <c r="AD51" s="289">
        <f t="shared" si="18"/>
        <v>14</v>
      </c>
      <c r="AE51" s="289">
        <f t="shared" si="18"/>
        <v>20</v>
      </c>
      <c r="AF51" s="289">
        <f t="shared" si="18"/>
        <v>20</v>
      </c>
      <c r="AG51" s="289">
        <f t="shared" si="18"/>
        <v>19</v>
      </c>
      <c r="AH51" s="289"/>
      <c r="AI51" s="289"/>
      <c r="AJ51" s="289"/>
      <c r="AK51" s="294">
        <f t="shared" si="19"/>
        <v>429</v>
      </c>
      <c r="AL51" s="158"/>
    </row>
    <row r="52" ht="14.25" customHeight="1">
      <c r="A52" s="166"/>
      <c r="B52" s="167"/>
      <c r="C52" s="168"/>
      <c r="D52" s="169" t="s">
        <v>161</v>
      </c>
      <c r="E52" s="169"/>
      <c r="F52" s="170"/>
      <c r="G52" s="295">
        <f t="shared" ref="G52:AG52" si="20">COUNTA(G24:G39,G30,G41:G42)</f>
        <v>4</v>
      </c>
      <c r="H52" s="295">
        <f t="shared" si="20"/>
        <v>5</v>
      </c>
      <c r="I52" s="295">
        <f t="shared" si="20"/>
        <v>5</v>
      </c>
      <c r="J52" s="295">
        <f t="shared" si="20"/>
        <v>6</v>
      </c>
      <c r="K52" s="295">
        <f t="shared" si="20"/>
        <v>7</v>
      </c>
      <c r="L52" s="295">
        <f t="shared" si="20"/>
        <v>6</v>
      </c>
      <c r="M52" s="295">
        <f t="shared" si="20"/>
        <v>6</v>
      </c>
      <c r="N52" s="295">
        <f t="shared" si="20"/>
        <v>5</v>
      </c>
      <c r="O52" s="295">
        <f t="shared" si="20"/>
        <v>4</v>
      </c>
      <c r="P52" s="295">
        <f t="shared" si="20"/>
        <v>5</v>
      </c>
      <c r="Q52" s="295">
        <f t="shared" si="20"/>
        <v>7</v>
      </c>
      <c r="R52" s="295">
        <f t="shared" si="20"/>
        <v>7</v>
      </c>
      <c r="S52" s="295">
        <f t="shared" si="20"/>
        <v>7</v>
      </c>
      <c r="T52" s="295">
        <f t="shared" si="20"/>
        <v>9</v>
      </c>
      <c r="U52" s="295">
        <f t="shared" si="20"/>
        <v>7</v>
      </c>
      <c r="V52" s="295">
        <f t="shared" si="20"/>
        <v>7</v>
      </c>
      <c r="W52" s="295">
        <f t="shared" si="20"/>
        <v>8</v>
      </c>
      <c r="X52" s="295">
        <f t="shared" si="20"/>
        <v>9</v>
      </c>
      <c r="Y52" s="295">
        <f t="shared" si="20"/>
        <v>10</v>
      </c>
      <c r="Z52" s="295">
        <f t="shared" si="20"/>
        <v>9</v>
      </c>
      <c r="AA52" s="295">
        <f t="shared" si="20"/>
        <v>7</v>
      </c>
      <c r="AB52" s="295">
        <f t="shared" si="20"/>
        <v>6</v>
      </c>
      <c r="AC52" s="295">
        <f t="shared" si="20"/>
        <v>7</v>
      </c>
      <c r="AD52" s="295">
        <f t="shared" si="20"/>
        <v>5</v>
      </c>
      <c r="AE52" s="295">
        <f t="shared" si="20"/>
        <v>9</v>
      </c>
      <c r="AF52" s="295">
        <f t="shared" si="20"/>
        <v>9</v>
      </c>
      <c r="AG52" s="295">
        <f t="shared" si="20"/>
        <v>8</v>
      </c>
      <c r="AH52" s="295"/>
      <c r="AI52" s="295"/>
      <c r="AJ52" s="295"/>
      <c r="AK52" s="301">
        <f t="shared" si="19"/>
        <v>184</v>
      </c>
      <c r="AL52" s="173">
        <f>AL50*AK54</f>
        <v>246000</v>
      </c>
    </row>
    <row r="53" ht="14.25" customHeight="1">
      <c r="A53" s="174"/>
      <c r="B53" s="175"/>
      <c r="C53" s="176"/>
      <c r="D53" s="177" t="s">
        <v>162</v>
      </c>
      <c r="E53" s="177"/>
      <c r="F53" s="178"/>
      <c r="G53" s="302">
        <f t="shared" ref="G53:AG53" si="21">COUNTA(#REF!,#REF!,G30,#REF!)</f>
        <v>3</v>
      </c>
      <c r="H53" s="302">
        <f t="shared" si="21"/>
        <v>3</v>
      </c>
      <c r="I53" s="302">
        <f t="shared" si="21"/>
        <v>4</v>
      </c>
      <c r="J53" s="302">
        <f t="shared" si="21"/>
        <v>4</v>
      </c>
      <c r="K53" s="302">
        <f t="shared" si="21"/>
        <v>4</v>
      </c>
      <c r="L53" s="302">
        <f t="shared" si="21"/>
        <v>4</v>
      </c>
      <c r="M53" s="302">
        <f t="shared" si="21"/>
        <v>4</v>
      </c>
      <c r="N53" s="302">
        <f t="shared" si="21"/>
        <v>3</v>
      </c>
      <c r="O53" s="302">
        <f t="shared" si="21"/>
        <v>3</v>
      </c>
      <c r="P53" s="302">
        <f t="shared" si="21"/>
        <v>4</v>
      </c>
      <c r="Q53" s="302">
        <f t="shared" si="21"/>
        <v>3</v>
      </c>
      <c r="R53" s="302">
        <f t="shared" si="21"/>
        <v>3</v>
      </c>
      <c r="S53" s="302">
        <f t="shared" si="21"/>
        <v>4</v>
      </c>
      <c r="T53" s="302">
        <f t="shared" si="21"/>
        <v>3</v>
      </c>
      <c r="U53" s="302">
        <f t="shared" si="21"/>
        <v>3</v>
      </c>
      <c r="V53" s="302">
        <f t="shared" si="21"/>
        <v>4</v>
      </c>
      <c r="W53" s="302">
        <f t="shared" si="21"/>
        <v>3</v>
      </c>
      <c r="X53" s="302">
        <f t="shared" si="21"/>
        <v>3</v>
      </c>
      <c r="Y53" s="302">
        <f t="shared" si="21"/>
        <v>4</v>
      </c>
      <c r="Z53" s="302">
        <f t="shared" si="21"/>
        <v>3</v>
      </c>
      <c r="AA53" s="302">
        <f t="shared" si="21"/>
        <v>3</v>
      </c>
      <c r="AB53" s="302">
        <f t="shared" si="21"/>
        <v>4</v>
      </c>
      <c r="AC53" s="302">
        <f t="shared" si="21"/>
        <v>3</v>
      </c>
      <c r="AD53" s="302">
        <f t="shared" si="21"/>
        <v>3</v>
      </c>
      <c r="AE53" s="302">
        <f t="shared" si="21"/>
        <v>4</v>
      </c>
      <c r="AF53" s="302">
        <f t="shared" si="21"/>
        <v>3</v>
      </c>
      <c r="AG53" s="302">
        <f t="shared" si="21"/>
        <v>3</v>
      </c>
      <c r="AH53" s="302"/>
      <c r="AI53" s="302"/>
      <c r="AJ53" s="302"/>
      <c r="AK53" s="302">
        <f t="shared" si="19"/>
        <v>92</v>
      </c>
      <c r="AL53" s="180"/>
    </row>
    <row r="54" ht="14.25" customHeight="1">
      <c r="A54" s="146" t="s">
        <v>163</v>
      </c>
      <c r="B54" s="147"/>
      <c r="C54" s="147"/>
      <c r="D54" s="147"/>
      <c r="E54" s="147"/>
      <c r="F54" s="148"/>
      <c r="G54" s="144">
        <f t="shared" ref="G54:AG54" si="22">SUM(G50:G53)</f>
        <v>26</v>
      </c>
      <c r="H54" s="144">
        <f t="shared" si="22"/>
        <v>29</v>
      </c>
      <c r="I54" s="144">
        <f t="shared" si="22"/>
        <v>31</v>
      </c>
      <c r="J54" s="144">
        <f t="shared" si="22"/>
        <v>34</v>
      </c>
      <c r="K54" s="144">
        <f t="shared" si="22"/>
        <v>36</v>
      </c>
      <c r="L54" s="144">
        <f t="shared" si="22"/>
        <v>32</v>
      </c>
      <c r="M54" s="144">
        <f t="shared" si="22"/>
        <v>30</v>
      </c>
      <c r="N54" s="144">
        <f t="shared" si="22"/>
        <v>28</v>
      </c>
      <c r="O54" s="144">
        <f t="shared" si="22"/>
        <v>28</v>
      </c>
      <c r="P54" s="144">
        <f t="shared" si="22"/>
        <v>30</v>
      </c>
      <c r="Q54" s="144">
        <f t="shared" si="22"/>
        <v>37</v>
      </c>
      <c r="R54" s="144">
        <f t="shared" si="22"/>
        <v>40</v>
      </c>
      <c r="S54" s="144">
        <f t="shared" si="22"/>
        <v>35</v>
      </c>
      <c r="T54" s="144">
        <f t="shared" si="22"/>
        <v>42</v>
      </c>
      <c r="U54" s="144">
        <f t="shared" si="22"/>
        <v>39</v>
      </c>
      <c r="V54" s="144">
        <f t="shared" si="22"/>
        <v>39</v>
      </c>
      <c r="W54" s="144">
        <f t="shared" si="22"/>
        <v>39</v>
      </c>
      <c r="X54" s="144">
        <f t="shared" si="22"/>
        <v>48</v>
      </c>
      <c r="Y54" s="144">
        <f t="shared" si="22"/>
        <v>51</v>
      </c>
      <c r="Z54" s="144">
        <f t="shared" si="22"/>
        <v>41</v>
      </c>
      <c r="AA54" s="144">
        <f t="shared" si="22"/>
        <v>37</v>
      </c>
      <c r="AB54" s="144">
        <f t="shared" si="22"/>
        <v>34</v>
      </c>
      <c r="AC54" s="144">
        <f t="shared" si="22"/>
        <v>37</v>
      </c>
      <c r="AD54" s="144">
        <f t="shared" si="22"/>
        <v>32</v>
      </c>
      <c r="AE54" s="144">
        <f t="shared" si="22"/>
        <v>45</v>
      </c>
      <c r="AF54" s="144">
        <f t="shared" si="22"/>
        <v>44</v>
      </c>
      <c r="AG54" s="144">
        <f t="shared" si="22"/>
        <v>40</v>
      </c>
      <c r="AH54" s="144"/>
      <c r="AI54" s="144"/>
      <c r="AJ54" s="144"/>
      <c r="AK54" s="144">
        <f>SUM(AK50:AK53)</f>
        <v>984</v>
      </c>
      <c r="AL54" s="181"/>
    </row>
    <row r="55" ht="14.25" customHeight="1">
      <c r="A55" s="2"/>
      <c r="B55" s="182" t="s">
        <v>164</v>
      </c>
      <c r="C55" s="182"/>
      <c r="D55" s="182"/>
      <c r="E55" s="18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5"/>
      <c r="V55" s="4"/>
      <c r="W55" s="4"/>
      <c r="X55" s="4"/>
      <c r="Y55" s="4"/>
      <c r="Z55" s="5"/>
      <c r="AA55" s="5"/>
      <c r="AB55" s="5"/>
      <c r="AC55" s="4"/>
      <c r="AD55" s="4"/>
      <c r="AE55" s="4"/>
      <c r="AF55" s="4"/>
      <c r="AG55" s="5"/>
      <c r="AH55" s="5"/>
      <c r="AI55" s="5"/>
      <c r="AJ55" s="5"/>
      <c r="AK55" s="2"/>
      <c r="AL55" s="183"/>
    </row>
    <row r="56" ht="14.25" customHeight="1">
      <c r="A56" s="2"/>
      <c r="B56" s="182" t="s">
        <v>165</v>
      </c>
      <c r="C56" s="2"/>
      <c r="D56" s="2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11"/>
      <c r="AL56" s="2"/>
    </row>
    <row r="57" ht="14.25" customHeight="1">
      <c r="A57" s="2"/>
      <c r="B57" s="182" t="s">
        <v>166</v>
      </c>
      <c r="C57" s="184"/>
      <c r="D57" s="184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11"/>
      <c r="AL57" s="2"/>
    </row>
    <row r="58" ht="14.25" customHeight="1">
      <c r="A58" s="2"/>
      <c r="B58" s="182"/>
      <c r="C58" s="184"/>
      <c r="D58" s="184"/>
      <c r="E58" s="4" t="s">
        <v>167</v>
      </c>
      <c r="G58" s="463"/>
      <c r="H58" s="463"/>
      <c r="I58" s="5"/>
      <c r="J58" s="5"/>
      <c r="K58" s="5"/>
      <c r="L58" s="5"/>
      <c r="M58" s="5"/>
      <c r="N58" s="5"/>
      <c r="O58" s="5"/>
      <c r="P58" s="5" t="s">
        <v>168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11"/>
      <c r="AL58" s="2"/>
    </row>
    <row r="59" ht="14.25" customHeight="1">
      <c r="A59" s="2"/>
      <c r="B59" s="3"/>
      <c r="C59" s="2"/>
      <c r="D59" s="2"/>
      <c r="E59" s="2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11"/>
      <c r="AL59" s="11"/>
    </row>
    <row r="60" ht="14.25" customHeight="1">
      <c r="A60" s="2"/>
      <c r="B60" s="3"/>
      <c r="C60" s="2"/>
      <c r="D60" s="2"/>
      <c r="E60" s="4" t="s">
        <v>169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 t="s">
        <v>170</v>
      </c>
      <c r="T60" s="5"/>
      <c r="U60" s="5"/>
      <c r="V60" s="5" t="s">
        <v>171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1"/>
      <c r="AL60" s="11"/>
    </row>
    <row r="61" ht="14.25" customHeight="1">
      <c r="A61" s="2"/>
      <c r="B61" s="3"/>
      <c r="C61" s="2"/>
      <c r="D61" s="2"/>
      <c r="E61" s="2"/>
      <c r="F61" s="18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4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1"/>
      <c r="AL61" s="11"/>
    </row>
    <row r="62" ht="30.75" customHeight="1">
      <c r="A62" s="2"/>
      <c r="B62" s="3"/>
      <c r="C62" s="2"/>
      <c r="D62" s="2"/>
      <c r="E62" s="185" t="s">
        <v>172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 t="s">
        <v>170</v>
      </c>
      <c r="T62" s="5"/>
      <c r="U62" s="5"/>
      <c r="V62" s="5" t="s">
        <v>171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11"/>
      <c r="AL62" s="11"/>
    </row>
    <row r="63" ht="14.25" customHeight="1">
      <c r="A63" s="11"/>
      <c r="B63" s="3"/>
      <c r="C63" s="2"/>
      <c r="D63" s="186"/>
      <c r="E63" s="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11"/>
      <c r="AL63" s="11"/>
    </row>
    <row r="64" ht="14.25" customHeight="1">
      <c r="F64" s="187"/>
    </row>
    <row r="65" ht="14.25" customHeight="1">
      <c r="F65" s="187"/>
    </row>
    <row r="66" ht="14.25" customHeight="1">
      <c r="F66" s="187"/>
    </row>
    <row r="67" ht="14.25" customHeight="1">
      <c r="F67" s="187"/>
    </row>
    <row r="68" ht="15.7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3">
    <mergeCell ref="AL6:AL7"/>
    <mergeCell ref="AM13:AO13"/>
    <mergeCell ref="A5:D5"/>
    <mergeCell ref="C6:C7"/>
    <mergeCell ref="D6:D7"/>
    <mergeCell ref="E6:E7"/>
    <mergeCell ref="F6:F7"/>
    <mergeCell ref="AK6:AK7"/>
    <mergeCell ref="F25:F31"/>
    <mergeCell ref="B47:F47"/>
    <mergeCell ref="B48:F48"/>
    <mergeCell ref="A54:F54"/>
    <mergeCell ref="E58:F58"/>
    <mergeCell ref="P58:W58"/>
    <mergeCell ref="E60:F60"/>
    <mergeCell ref="E62:F62"/>
    <mergeCell ref="B6:B7"/>
    <mergeCell ref="A37:A38"/>
    <mergeCell ref="B37:B38"/>
    <mergeCell ref="C37:C38"/>
    <mergeCell ref="D37:D38"/>
    <mergeCell ref="F37:F38"/>
    <mergeCell ref="B46:F4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8.29"/>
    <col customWidth="1" min="4" max="4" width="32.43"/>
    <col customWidth="1" min="5" max="5" width="31.86"/>
    <col customWidth="1" min="6" max="6" width="7.43"/>
    <col customWidth="1" min="7" max="7" width="4.29"/>
    <col customWidth="1" min="8" max="8" width="4.57"/>
    <col customWidth="1" min="9" max="9" width="5.0"/>
    <col customWidth="1" min="10" max="10" width="4.71"/>
    <col customWidth="1" min="11" max="11" width="4.57"/>
    <col customWidth="1" min="12" max="12" width="5.14"/>
    <col customWidth="1" min="13" max="13" width="4.71"/>
    <col customWidth="1" min="14" max="14" width="4.43"/>
    <col customWidth="1" min="15" max="15" width="4.71"/>
    <col customWidth="1" min="16" max="18" width="5.29"/>
    <col customWidth="1" min="19" max="19" width="5.86"/>
    <col customWidth="1" min="20" max="20" width="5.29"/>
    <col customWidth="1" min="21" max="21" width="4.86"/>
    <col customWidth="1" min="22" max="22" width="5.29"/>
    <col customWidth="1" min="23" max="23" width="5.0"/>
    <col customWidth="1" min="24" max="24" width="5.43"/>
    <col customWidth="1" min="25" max="25" width="5.0"/>
    <col customWidth="1" min="26" max="26" width="5.29"/>
    <col customWidth="1" min="27" max="27" width="4.71"/>
    <col customWidth="1" min="28" max="28" width="4.57"/>
    <col customWidth="1" min="29" max="29" width="4.71"/>
    <col customWidth="1" min="30" max="30" width="5.0"/>
    <col customWidth="1" min="31" max="31" width="4.86"/>
    <col customWidth="1" min="32" max="33" width="5.0"/>
    <col customWidth="1" min="34" max="34" width="4.86"/>
    <col customWidth="1" min="35" max="35" width="4.71"/>
    <col customWidth="1" min="36" max="37" width="4.57"/>
    <col customWidth="1" min="38" max="38" width="9.0"/>
    <col customWidth="1" min="39" max="39" width="17.43"/>
    <col customWidth="1" min="40" max="40" width="38.14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 t="s">
        <v>3</v>
      </c>
    </row>
    <row r="5" ht="14.25" customHeight="1">
      <c r="A5" s="8" t="s">
        <v>288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f t="shared" ref="H6:AF6" si="1">G6+1</f>
        <v>2</v>
      </c>
      <c r="I6" s="15">
        <f t="shared" si="1"/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f t="shared" si="1"/>
        <v>24</v>
      </c>
      <c r="AE6" s="15">
        <f t="shared" si="1"/>
        <v>25</v>
      </c>
      <c r="AF6" s="15">
        <f t="shared" si="1"/>
        <v>26</v>
      </c>
      <c r="AG6" s="15">
        <v>27.0</v>
      </c>
      <c r="AH6" s="15">
        <v>28.0</v>
      </c>
      <c r="AI6" s="15">
        <v>29.0</v>
      </c>
      <c r="AJ6" s="15">
        <v>30.0</v>
      </c>
      <c r="AK6" s="15">
        <v>31.0</v>
      </c>
      <c r="AL6" s="13" t="s">
        <v>14</v>
      </c>
      <c r="AM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253</v>
      </c>
      <c r="H7" s="446" t="s">
        <v>247</v>
      </c>
      <c r="I7" s="446" t="s">
        <v>248</v>
      </c>
      <c r="J7" s="446" t="s">
        <v>249</v>
      </c>
      <c r="K7" s="446" t="s">
        <v>250</v>
      </c>
      <c r="L7" s="446" t="s">
        <v>251</v>
      </c>
      <c r="M7" s="446" t="s">
        <v>252</v>
      </c>
      <c r="N7" s="446" t="s">
        <v>253</v>
      </c>
      <c r="O7" s="446" t="s">
        <v>247</v>
      </c>
      <c r="P7" s="446" t="s">
        <v>248</v>
      </c>
      <c r="Q7" s="446" t="s">
        <v>249</v>
      </c>
      <c r="R7" s="446" t="s">
        <v>250</v>
      </c>
      <c r="S7" s="446" t="s">
        <v>251</v>
      </c>
      <c r="T7" s="446" t="s">
        <v>252</v>
      </c>
      <c r="U7" s="446" t="s">
        <v>253</v>
      </c>
      <c r="V7" s="446" t="s">
        <v>247</v>
      </c>
      <c r="W7" s="446" t="s">
        <v>248</v>
      </c>
      <c r="X7" s="446" t="s">
        <v>249</v>
      </c>
      <c r="Y7" s="446" t="s">
        <v>250</v>
      </c>
      <c r="Z7" s="446" t="s">
        <v>251</v>
      </c>
      <c r="AA7" s="446" t="s">
        <v>252</v>
      </c>
      <c r="AB7" s="446" t="s">
        <v>253</v>
      </c>
      <c r="AC7" s="446" t="s">
        <v>247</v>
      </c>
      <c r="AD7" s="446" t="s">
        <v>248</v>
      </c>
      <c r="AE7" s="446" t="s">
        <v>249</v>
      </c>
      <c r="AF7" s="446" t="s">
        <v>250</v>
      </c>
      <c r="AG7" s="446" t="s">
        <v>251</v>
      </c>
      <c r="AH7" s="446" t="s">
        <v>252</v>
      </c>
      <c r="AI7" s="446" t="s">
        <v>253</v>
      </c>
      <c r="AJ7" s="446" t="s">
        <v>247</v>
      </c>
      <c r="AK7" s="446" t="s">
        <v>248</v>
      </c>
      <c r="AL7" s="17"/>
      <c r="AM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3"/>
    </row>
    <row r="9" ht="14.25" customHeight="1">
      <c r="A9" s="24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09" t="s">
        <v>205</v>
      </c>
      <c r="H9" s="209" t="s">
        <v>205</v>
      </c>
      <c r="I9" s="209" t="s">
        <v>205</v>
      </c>
      <c r="J9" s="210" t="s">
        <v>205</v>
      </c>
      <c r="K9" s="210"/>
      <c r="L9" s="209" t="s">
        <v>205</v>
      </c>
      <c r="M9" s="209" t="s">
        <v>205</v>
      </c>
      <c r="N9" s="209" t="s">
        <v>205</v>
      </c>
      <c r="O9" s="209" t="s">
        <v>205</v>
      </c>
      <c r="P9" s="209" t="s">
        <v>205</v>
      </c>
      <c r="Q9" s="210" t="s">
        <v>205</v>
      </c>
      <c r="R9" s="210"/>
      <c r="S9" s="209" t="s">
        <v>205</v>
      </c>
      <c r="T9" s="209" t="s">
        <v>205</v>
      </c>
      <c r="U9" s="209" t="s">
        <v>205</v>
      </c>
      <c r="V9" s="209" t="s">
        <v>205</v>
      </c>
      <c r="W9" s="209" t="s">
        <v>205</v>
      </c>
      <c r="X9" s="210" t="s">
        <v>205</v>
      </c>
      <c r="Y9" s="210"/>
      <c r="Z9" s="209" t="s">
        <v>205</v>
      </c>
      <c r="AA9" s="209" t="s">
        <v>205</v>
      </c>
      <c r="AB9" s="209" t="s">
        <v>205</v>
      </c>
      <c r="AC9" s="209" t="s">
        <v>205</v>
      </c>
      <c r="AD9" s="209" t="s">
        <v>205</v>
      </c>
      <c r="AE9" s="210" t="s">
        <v>205</v>
      </c>
      <c r="AF9" s="210"/>
      <c r="AG9" s="209" t="s">
        <v>205</v>
      </c>
      <c r="AH9" s="209" t="s">
        <v>205</v>
      </c>
      <c r="AI9" s="209" t="s">
        <v>205</v>
      </c>
      <c r="AJ9" s="24">
        <v>12.0</v>
      </c>
      <c r="AK9" s="24">
        <v>12.0</v>
      </c>
      <c r="AL9" s="211">
        <f>COUNTA(G9:AJ9)</f>
        <v>26</v>
      </c>
      <c r="AM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24"/>
      <c r="H10" s="24"/>
      <c r="I10" s="24"/>
      <c r="J10" s="110"/>
      <c r="K10" s="110"/>
      <c r="L10" s="24"/>
      <c r="M10" s="24"/>
      <c r="N10" s="24"/>
      <c r="O10" s="24"/>
      <c r="P10" s="24"/>
      <c r="Q10" s="110"/>
      <c r="R10" s="110"/>
      <c r="S10" s="24"/>
      <c r="T10" s="24"/>
      <c r="U10" s="24"/>
      <c r="V10" s="24"/>
      <c r="W10" s="24"/>
      <c r="X10" s="110"/>
      <c r="Y10" s="110"/>
      <c r="Z10" s="24"/>
      <c r="AA10" s="24"/>
      <c r="AB10" s="24"/>
      <c r="AC10" s="24"/>
      <c r="AD10" s="24"/>
      <c r="AE10" s="110"/>
      <c r="AF10" s="110"/>
      <c r="AG10" s="24"/>
      <c r="AH10" s="24"/>
      <c r="AI10" s="24"/>
      <c r="AJ10" s="24"/>
      <c r="AK10" s="24"/>
      <c r="AL10" s="211">
        <f t="shared" ref="AL10:AL13" si="2">COUNTA(G10:AK10)</f>
        <v>0</v>
      </c>
      <c r="AM10" s="57">
        <f t="shared" ref="AM10:AM11" si="3">SUM(G10:AK10)</f>
        <v>0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24"/>
      <c r="H11" s="24"/>
      <c r="I11" s="24"/>
      <c r="J11" s="110"/>
      <c r="K11" s="110"/>
      <c r="L11" s="24"/>
      <c r="M11" s="24"/>
      <c r="N11" s="24"/>
      <c r="O11" s="24"/>
      <c r="P11" s="24"/>
      <c r="Q11" s="110"/>
      <c r="R11" s="110"/>
      <c r="S11" s="24"/>
      <c r="T11" s="24"/>
      <c r="U11" s="24"/>
      <c r="V11" s="24"/>
      <c r="W11" s="24"/>
      <c r="X11" s="110"/>
      <c r="Y11" s="110"/>
      <c r="Z11" s="24"/>
      <c r="AA11" s="24"/>
      <c r="AB11" s="24"/>
      <c r="AC11" s="24"/>
      <c r="AD11" s="24"/>
      <c r="AE11" s="110"/>
      <c r="AF11" s="110"/>
      <c r="AG11" s="24"/>
      <c r="AH11" s="24"/>
      <c r="AI11" s="24"/>
      <c r="AJ11" s="24"/>
      <c r="AK11" s="24"/>
      <c r="AL11" s="211">
        <f t="shared" si="2"/>
        <v>0</v>
      </c>
      <c r="AM11" s="57">
        <f t="shared" si="3"/>
        <v>0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35</v>
      </c>
      <c r="E12" s="27" t="s">
        <v>294</v>
      </c>
      <c r="F12" s="28" t="s">
        <v>289</v>
      </c>
      <c r="G12" s="24"/>
      <c r="H12" s="24"/>
      <c r="I12" s="24"/>
      <c r="J12" s="110"/>
      <c r="K12" s="110"/>
      <c r="L12" s="24"/>
      <c r="M12" s="24"/>
      <c r="N12" s="24"/>
      <c r="O12" s="24"/>
      <c r="P12" s="24"/>
      <c r="Q12" s="110"/>
      <c r="R12" s="110"/>
      <c r="S12" s="24"/>
      <c r="T12" s="24"/>
      <c r="U12" s="24"/>
      <c r="V12" s="24"/>
      <c r="W12" s="24"/>
      <c r="X12" s="110"/>
      <c r="Y12" s="110"/>
      <c r="Z12" s="24"/>
      <c r="AA12" s="24"/>
      <c r="AB12" s="24"/>
      <c r="AC12" s="24"/>
      <c r="AD12" s="24"/>
      <c r="AE12" s="110"/>
      <c r="AF12" s="110"/>
      <c r="AG12" s="24"/>
      <c r="AH12" s="24"/>
      <c r="AI12" s="24"/>
      <c r="AJ12" s="24"/>
      <c r="AK12" s="24"/>
      <c r="AL12" s="211">
        <f t="shared" si="2"/>
        <v>0</v>
      </c>
      <c r="AM12" s="57"/>
    </row>
    <row r="13" ht="14.25" customHeight="1">
      <c r="A13" s="34">
        <v>7.0</v>
      </c>
      <c r="B13" s="25" t="s">
        <v>362</v>
      </c>
      <c r="C13" s="27">
        <v>1.0</v>
      </c>
      <c r="D13" s="37" t="s">
        <v>363</v>
      </c>
      <c r="E13" s="27" t="s">
        <v>40</v>
      </c>
      <c r="F13" s="28" t="s">
        <v>30</v>
      </c>
      <c r="G13" s="24"/>
      <c r="H13" s="24"/>
      <c r="I13" s="24"/>
      <c r="J13" s="110"/>
      <c r="K13" s="110"/>
      <c r="L13" s="24"/>
      <c r="M13" s="24"/>
      <c r="N13" s="24"/>
      <c r="O13" s="24"/>
      <c r="P13" s="24"/>
      <c r="Q13" s="110">
        <v>12.0</v>
      </c>
      <c r="R13" s="110">
        <v>12.0</v>
      </c>
      <c r="S13" s="24">
        <v>12.0</v>
      </c>
      <c r="T13" s="24">
        <v>12.0</v>
      </c>
      <c r="U13" s="24">
        <v>12.0</v>
      </c>
      <c r="V13" s="24">
        <v>12.0</v>
      </c>
      <c r="W13" s="24">
        <v>12.0</v>
      </c>
      <c r="X13" s="110">
        <v>12.0</v>
      </c>
      <c r="Y13" s="110">
        <v>12.0</v>
      </c>
      <c r="Z13" s="24">
        <v>12.0</v>
      </c>
      <c r="AA13" s="24"/>
      <c r="AB13" s="24"/>
      <c r="AC13" s="24">
        <v>12.0</v>
      </c>
      <c r="AD13" s="24">
        <v>12.0</v>
      </c>
      <c r="AE13" s="110">
        <v>12.0</v>
      </c>
      <c r="AF13" s="110">
        <v>12.0</v>
      </c>
      <c r="AG13" s="24">
        <v>12.0</v>
      </c>
      <c r="AH13" s="24"/>
      <c r="AI13" s="24"/>
      <c r="AJ13" s="24">
        <v>12.0</v>
      </c>
      <c r="AK13" s="24">
        <v>12.0</v>
      </c>
      <c r="AL13" s="211">
        <f t="shared" si="2"/>
        <v>17</v>
      </c>
      <c r="AM13" s="57">
        <f>SUM(G13:AJ13)</f>
        <v>192</v>
      </c>
    </row>
    <row r="14" ht="14.25" customHeight="1">
      <c r="A14" s="19"/>
      <c r="B14" s="20" t="s">
        <v>41</v>
      </c>
      <c r="C14" s="21"/>
      <c r="D14" s="20" t="s">
        <v>41</v>
      </c>
      <c r="E14" s="21"/>
      <c r="F14" s="3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2"/>
      <c r="AD14" s="212"/>
      <c r="AE14" s="212"/>
      <c r="AF14" s="212"/>
      <c r="AG14" s="212"/>
      <c r="AH14" s="212"/>
      <c r="AI14" s="212"/>
      <c r="AJ14" s="212"/>
      <c r="AK14" s="212"/>
      <c r="AL14" s="21"/>
      <c r="AM14" s="45"/>
    </row>
    <row r="15" ht="14.25" customHeight="1">
      <c r="A15" s="24">
        <v>9.0</v>
      </c>
      <c r="B15" s="25" t="s">
        <v>181</v>
      </c>
      <c r="C15" s="26">
        <v>1.0</v>
      </c>
      <c r="D15" s="25" t="s">
        <v>280</v>
      </c>
      <c r="E15" s="26" t="s">
        <v>40</v>
      </c>
      <c r="F15" s="47" t="s">
        <v>46</v>
      </c>
      <c r="G15" s="26">
        <v>12.0</v>
      </c>
      <c r="H15" s="26">
        <v>12.0</v>
      </c>
      <c r="I15" s="26">
        <v>12.0</v>
      </c>
      <c r="J15" s="213">
        <v>12.0</v>
      </c>
      <c r="K15" s="213">
        <v>12.0</v>
      </c>
      <c r="L15" s="26">
        <v>12.0</v>
      </c>
      <c r="M15" s="26">
        <v>12.0</v>
      </c>
      <c r="N15" s="26"/>
      <c r="O15" s="26">
        <v>12.0</v>
      </c>
      <c r="P15" s="26">
        <v>12.0</v>
      </c>
      <c r="Q15" s="213">
        <v>12.0</v>
      </c>
      <c r="R15" s="213">
        <v>12.0</v>
      </c>
      <c r="S15" s="26">
        <v>12.0</v>
      </c>
      <c r="T15" s="26"/>
      <c r="U15" s="26">
        <v>12.0</v>
      </c>
      <c r="V15" s="26">
        <v>12.0</v>
      </c>
      <c r="W15" s="26">
        <v>12.0</v>
      </c>
      <c r="X15" s="213">
        <v>12.0</v>
      </c>
      <c r="Y15" s="213">
        <v>12.0</v>
      </c>
      <c r="Z15" s="26">
        <v>12.0</v>
      </c>
      <c r="AA15" s="26">
        <v>12.0</v>
      </c>
      <c r="AB15" s="26"/>
      <c r="AC15" s="26">
        <v>12.0</v>
      </c>
      <c r="AD15" s="26">
        <v>12.0</v>
      </c>
      <c r="AE15" s="213">
        <v>12.0</v>
      </c>
      <c r="AF15" s="213">
        <v>12.0</v>
      </c>
      <c r="AG15" s="26">
        <v>12.0</v>
      </c>
      <c r="AH15" s="26">
        <v>12.0</v>
      </c>
      <c r="AI15" s="26"/>
      <c r="AJ15" s="215">
        <v>30.0</v>
      </c>
      <c r="AK15" s="215">
        <v>31.0</v>
      </c>
      <c r="AL15" s="211">
        <f>COUNTA(G15:AK15)</f>
        <v>27</v>
      </c>
      <c r="AM15" s="452">
        <f>SUM(G15:AK15)</f>
        <v>361</v>
      </c>
    </row>
    <row r="16" ht="14.25" customHeight="1">
      <c r="A16" s="34">
        <v>10.0</v>
      </c>
      <c r="B16" s="35" t="s">
        <v>49</v>
      </c>
      <c r="C16" s="27">
        <v>1.0</v>
      </c>
      <c r="D16" s="67" t="s">
        <v>291</v>
      </c>
      <c r="E16" s="27" t="s">
        <v>51</v>
      </c>
      <c r="F16" s="47" t="s">
        <v>46</v>
      </c>
      <c r="G16" s="456">
        <v>24.0</v>
      </c>
      <c r="H16" s="456"/>
      <c r="I16" s="456"/>
      <c r="J16" s="456"/>
      <c r="K16" s="456">
        <v>24.0</v>
      </c>
      <c r="L16" s="456"/>
      <c r="M16" s="456">
        <v>24.0</v>
      </c>
      <c r="N16" s="24"/>
      <c r="O16" s="24">
        <v>24.0</v>
      </c>
      <c r="P16" s="24"/>
      <c r="Q16" s="110">
        <v>24.0</v>
      </c>
      <c r="R16" s="110">
        <v>12.0</v>
      </c>
      <c r="S16" s="24">
        <v>24.0</v>
      </c>
      <c r="T16" s="24"/>
      <c r="U16" s="24"/>
      <c r="V16" s="24"/>
      <c r="W16" s="24"/>
      <c r="X16" s="110"/>
      <c r="Y16" s="110">
        <v>24.0</v>
      </c>
      <c r="Z16" s="24"/>
      <c r="AA16" s="24">
        <v>24.0</v>
      </c>
      <c r="AB16" s="24"/>
      <c r="AC16" s="453">
        <v>24.0</v>
      </c>
      <c r="AD16" s="24"/>
      <c r="AE16" s="453">
        <v>24.0</v>
      </c>
      <c r="AF16" s="110"/>
      <c r="AG16" s="453">
        <v>24.0</v>
      </c>
      <c r="AH16" s="24"/>
      <c r="AI16" s="453">
        <v>24.0</v>
      </c>
      <c r="AJ16" s="24"/>
      <c r="AK16" s="453">
        <v>24.0</v>
      </c>
      <c r="AL16" s="211">
        <f t="shared" ref="AL16:AL17" si="4">COUNTA(G16:AJ16)</f>
        <v>13</v>
      </c>
      <c r="AM16" s="452">
        <f t="shared" ref="AM16:AM17" si="5">SUM(G16:AJ16)</f>
        <v>300</v>
      </c>
      <c r="AN16" s="491" t="s">
        <v>365</v>
      </c>
    </row>
    <row r="17" ht="14.25" customHeight="1">
      <c r="A17" s="34">
        <v>11.0</v>
      </c>
      <c r="B17" s="35" t="s">
        <v>49</v>
      </c>
      <c r="C17" s="27">
        <v>1.0</v>
      </c>
      <c r="D17" s="36" t="s">
        <v>54</v>
      </c>
      <c r="E17" s="27" t="s">
        <v>51</v>
      </c>
      <c r="F17" s="47" t="s">
        <v>46</v>
      </c>
      <c r="G17" s="24"/>
      <c r="H17" s="24">
        <v>24.0</v>
      </c>
      <c r="I17" s="24"/>
      <c r="J17" s="110">
        <v>24.0</v>
      </c>
      <c r="K17" s="110"/>
      <c r="L17" s="24">
        <v>24.0</v>
      </c>
      <c r="M17" s="24"/>
      <c r="N17" s="24">
        <v>24.0</v>
      </c>
      <c r="O17" s="24"/>
      <c r="P17" s="24">
        <v>24.0</v>
      </c>
      <c r="Q17" s="110"/>
      <c r="R17" s="110"/>
      <c r="S17" s="24"/>
      <c r="T17" s="24">
        <v>24.0</v>
      </c>
      <c r="U17" s="24"/>
      <c r="V17" s="24">
        <v>24.0</v>
      </c>
      <c r="W17" s="24">
        <v>12.0</v>
      </c>
      <c r="X17" s="110">
        <v>24.0</v>
      </c>
      <c r="Y17" s="110"/>
      <c r="Z17" s="24">
        <v>24.0</v>
      </c>
      <c r="AA17" s="24"/>
      <c r="AB17" s="24">
        <v>24.0</v>
      </c>
      <c r="AC17" s="24"/>
      <c r="AD17" s="24">
        <v>24.0</v>
      </c>
      <c r="AE17" s="110"/>
      <c r="AF17" s="110">
        <v>24.0</v>
      </c>
      <c r="AG17" s="24"/>
      <c r="AH17" s="24">
        <v>24.0</v>
      </c>
      <c r="AI17" s="24"/>
      <c r="AJ17" s="24">
        <v>24.0</v>
      </c>
      <c r="AK17" s="24"/>
      <c r="AL17" s="211">
        <f t="shared" si="4"/>
        <v>15</v>
      </c>
      <c r="AM17" s="452">
        <f t="shared" si="5"/>
        <v>348</v>
      </c>
      <c r="AN17" s="73" t="s">
        <v>369</v>
      </c>
    </row>
    <row r="18" ht="14.25" customHeight="1">
      <c r="A18" s="34">
        <v>12.0</v>
      </c>
      <c r="B18" s="35" t="s">
        <v>62</v>
      </c>
      <c r="C18" s="27">
        <v>1.0</v>
      </c>
      <c r="D18" s="67" t="s">
        <v>370</v>
      </c>
      <c r="E18" s="27" t="s">
        <v>292</v>
      </c>
      <c r="F18" s="47" t="s">
        <v>46</v>
      </c>
      <c r="G18" s="24"/>
      <c r="H18" s="24"/>
      <c r="I18" s="24"/>
      <c r="J18" s="110"/>
      <c r="K18" s="110"/>
      <c r="L18" s="24">
        <v>12.0</v>
      </c>
      <c r="M18" s="24">
        <v>12.0</v>
      </c>
      <c r="N18" s="24">
        <v>12.0</v>
      </c>
      <c r="O18" s="24">
        <v>12.0</v>
      </c>
      <c r="P18" s="24">
        <v>12.0</v>
      </c>
      <c r="Q18" s="110">
        <v>12.0</v>
      </c>
      <c r="R18" s="110"/>
      <c r="S18" s="24">
        <v>12.0</v>
      </c>
      <c r="T18" s="24">
        <v>12.0</v>
      </c>
      <c r="U18" s="24">
        <v>12.0</v>
      </c>
      <c r="V18" s="24">
        <v>12.0</v>
      </c>
      <c r="W18" s="24">
        <v>12.0</v>
      </c>
      <c r="X18" s="110">
        <v>12.0</v>
      </c>
      <c r="Y18" s="110"/>
      <c r="Z18" s="24">
        <v>12.0</v>
      </c>
      <c r="AA18" s="24">
        <v>12.0</v>
      </c>
      <c r="AB18" s="24">
        <v>12.0</v>
      </c>
      <c r="AC18" s="24"/>
      <c r="AD18" s="24"/>
      <c r="AE18" s="110"/>
      <c r="AF18" s="110"/>
      <c r="AG18" s="24"/>
      <c r="AH18" s="24"/>
      <c r="AI18" s="24"/>
      <c r="AJ18" s="24"/>
      <c r="AK18" s="24"/>
      <c r="AL18" s="211">
        <f t="shared" ref="AL18:AL20" si="6">COUNTA(G18:AK18)</f>
        <v>15</v>
      </c>
      <c r="AM18" s="452">
        <f t="shared" ref="AM18:AM20" si="7">SUM(G18:AK18)</f>
        <v>180</v>
      </c>
      <c r="AN18" s="73" t="s">
        <v>371</v>
      </c>
    </row>
    <row r="19" ht="14.25" customHeight="1">
      <c r="A19" s="34">
        <v>13.0</v>
      </c>
      <c r="B19" s="35" t="s">
        <v>67</v>
      </c>
      <c r="C19" s="27">
        <v>1.0</v>
      </c>
      <c r="D19" s="67" t="s">
        <v>243</v>
      </c>
      <c r="E19" s="27" t="s">
        <v>70</v>
      </c>
      <c r="F19" s="28" t="s">
        <v>30</v>
      </c>
      <c r="G19" s="24"/>
      <c r="H19" s="24">
        <v>12.0</v>
      </c>
      <c r="I19" s="24">
        <v>12.0</v>
      </c>
      <c r="J19" s="110">
        <v>12.0</v>
      </c>
      <c r="K19" s="110">
        <v>12.0</v>
      </c>
      <c r="L19" s="24"/>
      <c r="M19" s="24"/>
      <c r="N19" s="24">
        <v>12.0</v>
      </c>
      <c r="O19" s="24">
        <v>12.0</v>
      </c>
      <c r="P19" s="24">
        <v>12.0</v>
      </c>
      <c r="Q19" s="110">
        <v>12.0</v>
      </c>
      <c r="R19" s="110">
        <v>12.0</v>
      </c>
      <c r="S19" s="24"/>
      <c r="T19" s="24">
        <v>12.0</v>
      </c>
      <c r="U19" s="24">
        <v>12.0</v>
      </c>
      <c r="V19" s="24">
        <v>12.0</v>
      </c>
      <c r="W19" s="24">
        <v>12.0</v>
      </c>
      <c r="X19" s="110">
        <v>12.0</v>
      </c>
      <c r="Y19" s="110"/>
      <c r="Z19" s="24"/>
      <c r="AA19" s="24"/>
      <c r="AB19" s="24">
        <v>12.0</v>
      </c>
      <c r="AC19" s="24">
        <v>12.0</v>
      </c>
      <c r="AD19" s="24">
        <v>12.0</v>
      </c>
      <c r="AE19" s="110">
        <v>12.0</v>
      </c>
      <c r="AF19" s="110">
        <v>12.0</v>
      </c>
      <c r="AG19" s="24"/>
      <c r="AH19" s="24"/>
      <c r="AI19" s="24">
        <v>12.0</v>
      </c>
      <c r="AJ19" s="24">
        <v>12.0</v>
      </c>
      <c r="AK19" s="24">
        <v>12.0</v>
      </c>
      <c r="AL19" s="211">
        <f t="shared" si="6"/>
        <v>22</v>
      </c>
      <c r="AM19" s="452">
        <f t="shared" si="7"/>
        <v>264</v>
      </c>
    </row>
    <row r="20" ht="14.25" customHeight="1">
      <c r="A20" s="34">
        <v>14.0</v>
      </c>
      <c r="B20" s="35" t="s">
        <v>71</v>
      </c>
      <c r="C20" s="27">
        <v>1.0</v>
      </c>
      <c r="D20" s="36" t="s">
        <v>76</v>
      </c>
      <c r="E20" s="27" t="s">
        <v>73</v>
      </c>
      <c r="F20" s="28" t="s">
        <v>26</v>
      </c>
      <c r="G20" s="24">
        <v>12.0</v>
      </c>
      <c r="H20" s="24">
        <v>12.0</v>
      </c>
      <c r="I20" s="24">
        <v>12.0</v>
      </c>
      <c r="J20" s="110">
        <v>12.0</v>
      </c>
      <c r="K20" s="110">
        <v>12.0</v>
      </c>
      <c r="L20" s="24"/>
      <c r="M20" s="24">
        <v>12.0</v>
      </c>
      <c r="N20" s="24">
        <v>12.0</v>
      </c>
      <c r="O20" s="24">
        <v>12.0</v>
      </c>
      <c r="P20" s="24">
        <v>12.0</v>
      </c>
      <c r="Q20" s="110">
        <v>12.0</v>
      </c>
      <c r="R20" s="110">
        <v>12.0</v>
      </c>
      <c r="S20" s="24">
        <v>12.0</v>
      </c>
      <c r="T20" s="24"/>
      <c r="U20" s="24">
        <v>12.0</v>
      </c>
      <c r="V20" s="24">
        <v>12.0</v>
      </c>
      <c r="W20" s="24">
        <v>12.0</v>
      </c>
      <c r="X20" s="110">
        <v>12.0</v>
      </c>
      <c r="Y20" s="110">
        <v>12.0</v>
      </c>
      <c r="Z20" s="24">
        <v>12.0</v>
      </c>
      <c r="AA20" s="24">
        <v>12.0</v>
      </c>
      <c r="AB20" s="24"/>
      <c r="AC20" s="24">
        <v>12.0</v>
      </c>
      <c r="AD20" s="24">
        <v>12.0</v>
      </c>
      <c r="AE20" s="110">
        <v>12.0</v>
      </c>
      <c r="AF20" s="110">
        <v>12.0</v>
      </c>
      <c r="AG20" s="24">
        <v>18.0</v>
      </c>
      <c r="AH20" s="24">
        <v>12.0</v>
      </c>
      <c r="AI20" s="24">
        <v>12.0</v>
      </c>
      <c r="AJ20" s="24"/>
      <c r="AK20" s="24">
        <v>12.0</v>
      </c>
      <c r="AL20" s="211">
        <f t="shared" si="6"/>
        <v>27</v>
      </c>
      <c r="AM20" s="452">
        <f t="shared" si="7"/>
        <v>330</v>
      </c>
    </row>
    <row r="21" ht="14.25" customHeight="1">
      <c r="A21" s="19"/>
      <c r="B21" s="20" t="s">
        <v>78</v>
      </c>
      <c r="C21" s="21"/>
      <c r="D21" s="77" t="s">
        <v>78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55"/>
    </row>
    <row r="22" ht="14.25" customHeight="1">
      <c r="A22" s="34">
        <v>15.0</v>
      </c>
      <c r="B22" s="35" t="s">
        <v>86</v>
      </c>
      <c r="C22" s="27">
        <v>1.0</v>
      </c>
      <c r="D22" s="37" t="s">
        <v>82</v>
      </c>
      <c r="E22" s="27" t="s">
        <v>102</v>
      </c>
      <c r="F22" s="250" t="s">
        <v>85</v>
      </c>
      <c r="G22" s="24"/>
      <c r="H22" s="24">
        <v>24.0</v>
      </c>
      <c r="I22" s="24"/>
      <c r="J22" s="110"/>
      <c r="K22" s="110">
        <v>24.0</v>
      </c>
      <c r="L22" s="24"/>
      <c r="M22" s="24"/>
      <c r="N22" s="24">
        <v>24.0</v>
      </c>
      <c r="O22" s="24"/>
      <c r="P22" s="24"/>
      <c r="Q22" s="110">
        <v>24.0</v>
      </c>
      <c r="R22" s="110"/>
      <c r="S22" s="24"/>
      <c r="T22" s="24">
        <v>24.0</v>
      </c>
      <c r="U22" s="24"/>
      <c r="V22" s="24"/>
      <c r="W22" s="24">
        <v>24.0</v>
      </c>
      <c r="X22" s="110"/>
      <c r="Y22" s="110"/>
      <c r="Z22" s="24">
        <v>24.0</v>
      </c>
      <c r="AA22" s="24"/>
      <c r="AB22" s="24"/>
      <c r="AC22" s="24">
        <v>24.0</v>
      </c>
      <c r="AD22" s="24"/>
      <c r="AE22" s="110"/>
      <c r="AF22" s="110">
        <v>24.0</v>
      </c>
      <c r="AG22" s="24"/>
      <c r="AH22" s="24"/>
      <c r="AI22" s="24">
        <v>24.0</v>
      </c>
      <c r="AJ22" s="24"/>
      <c r="AK22" s="24">
        <v>24.0</v>
      </c>
      <c r="AL22" s="211">
        <f t="shared" ref="AL22:AL28" si="8">COUNTA(G22:AK22)</f>
        <v>11</v>
      </c>
      <c r="AM22" s="452">
        <f t="shared" ref="AM22:AM28" si="9">SUM(G22:AK22)</f>
        <v>264</v>
      </c>
    </row>
    <row r="23" ht="14.25" customHeight="1">
      <c r="A23" s="34">
        <v>16.0</v>
      </c>
      <c r="B23" s="35" t="s">
        <v>86</v>
      </c>
      <c r="C23" s="27">
        <v>1.0</v>
      </c>
      <c r="D23" s="189" t="s">
        <v>212</v>
      </c>
      <c r="E23" s="27" t="s">
        <v>102</v>
      </c>
      <c r="F23" s="88"/>
      <c r="G23" s="24"/>
      <c r="H23" s="24"/>
      <c r="I23" s="24">
        <v>24.0</v>
      </c>
      <c r="J23" s="110"/>
      <c r="K23" s="110"/>
      <c r="L23" s="24">
        <v>24.0</v>
      </c>
      <c r="M23" s="24"/>
      <c r="N23" s="24"/>
      <c r="O23" s="24">
        <v>24.0</v>
      </c>
      <c r="P23" s="24"/>
      <c r="Q23" s="110"/>
      <c r="R23" s="110">
        <v>24.0</v>
      </c>
      <c r="S23" s="24"/>
      <c r="T23" s="24"/>
      <c r="U23" s="24">
        <v>24.0</v>
      </c>
      <c r="V23" s="24"/>
      <c r="W23" s="24"/>
      <c r="X23" s="110">
        <v>24.0</v>
      </c>
      <c r="Y23" s="110"/>
      <c r="Z23" s="24"/>
      <c r="AA23" s="24">
        <v>24.0</v>
      </c>
      <c r="AB23" s="24"/>
      <c r="AC23" s="24"/>
      <c r="AD23" s="24">
        <v>24.0</v>
      </c>
      <c r="AE23" s="110"/>
      <c r="AF23" s="110"/>
      <c r="AG23" s="24">
        <v>24.0</v>
      </c>
      <c r="AH23" s="24"/>
      <c r="AI23" s="24"/>
      <c r="AJ23" s="24">
        <v>24.0</v>
      </c>
      <c r="AK23" s="24"/>
      <c r="AL23" s="211">
        <f t="shared" si="8"/>
        <v>10</v>
      </c>
      <c r="AM23" s="452">
        <f t="shared" si="9"/>
        <v>240</v>
      </c>
    </row>
    <row r="24" ht="14.25" customHeight="1">
      <c r="A24" s="34">
        <v>17.0</v>
      </c>
      <c r="B24" s="35" t="s">
        <v>86</v>
      </c>
      <c r="C24" s="65">
        <v>1.0</v>
      </c>
      <c r="D24" s="37" t="s">
        <v>198</v>
      </c>
      <c r="E24" s="27" t="s">
        <v>102</v>
      </c>
      <c r="F24" s="88"/>
      <c r="G24" s="24">
        <v>24.0</v>
      </c>
      <c r="H24" s="24"/>
      <c r="I24" s="24"/>
      <c r="J24" s="110">
        <v>24.0</v>
      </c>
      <c r="K24" s="110"/>
      <c r="L24" s="24"/>
      <c r="M24" s="24">
        <v>24.0</v>
      </c>
      <c r="N24" s="24"/>
      <c r="O24" s="24"/>
      <c r="P24" s="24">
        <v>24.0</v>
      </c>
      <c r="Q24" s="110"/>
      <c r="R24" s="110"/>
      <c r="S24" s="24">
        <v>24.0</v>
      </c>
      <c r="T24" s="24"/>
      <c r="U24" s="24"/>
      <c r="V24" s="24">
        <v>24.0</v>
      </c>
      <c r="W24" s="24"/>
      <c r="X24" s="110"/>
      <c r="Y24" s="110">
        <v>24.0</v>
      </c>
      <c r="Z24" s="24"/>
      <c r="AA24" s="24"/>
      <c r="AB24" s="24">
        <v>24.0</v>
      </c>
      <c r="AC24" s="24"/>
      <c r="AD24" s="24"/>
      <c r="AE24" s="110">
        <v>24.0</v>
      </c>
      <c r="AF24" s="110"/>
      <c r="AG24" s="24"/>
      <c r="AH24" s="24">
        <v>24.0</v>
      </c>
      <c r="AI24" s="24"/>
      <c r="AJ24" s="24"/>
      <c r="AK24" s="24"/>
      <c r="AL24" s="211">
        <f t="shared" si="8"/>
        <v>10</v>
      </c>
      <c r="AM24" s="452">
        <f t="shared" si="9"/>
        <v>240</v>
      </c>
    </row>
    <row r="25" ht="14.25" customHeight="1">
      <c r="A25" s="34">
        <v>18.0</v>
      </c>
      <c r="B25" s="35" t="s">
        <v>95</v>
      </c>
      <c r="C25" s="65">
        <v>1.0</v>
      </c>
      <c r="D25" s="90" t="s">
        <v>100</v>
      </c>
      <c r="E25" s="27" t="s">
        <v>102</v>
      </c>
      <c r="F25" s="88"/>
      <c r="G25" s="24"/>
      <c r="H25" s="24">
        <v>24.0</v>
      </c>
      <c r="I25" s="24"/>
      <c r="J25" s="110"/>
      <c r="K25" s="110">
        <v>24.0</v>
      </c>
      <c r="L25" s="24"/>
      <c r="M25" s="24"/>
      <c r="N25" s="24">
        <v>24.0</v>
      </c>
      <c r="O25" s="24"/>
      <c r="P25" s="24"/>
      <c r="Q25" s="110">
        <v>24.0</v>
      </c>
      <c r="R25" s="110"/>
      <c r="S25" s="24"/>
      <c r="T25" s="24">
        <v>24.0</v>
      </c>
      <c r="U25" s="24"/>
      <c r="V25" s="24"/>
      <c r="W25" s="24">
        <v>24.0</v>
      </c>
      <c r="X25" s="110"/>
      <c r="Y25" s="110">
        <v>24.0</v>
      </c>
      <c r="Z25" s="24"/>
      <c r="AA25" s="24"/>
      <c r="AB25" s="24">
        <v>24.0</v>
      </c>
      <c r="AC25" s="24"/>
      <c r="AD25" s="24">
        <v>24.0</v>
      </c>
      <c r="AE25" s="110"/>
      <c r="AF25" s="110">
        <v>24.0</v>
      </c>
      <c r="AG25" s="24"/>
      <c r="AH25" s="24"/>
      <c r="AI25" s="24">
        <v>17.0</v>
      </c>
      <c r="AJ25" s="24">
        <v>17.0</v>
      </c>
      <c r="AK25" s="24">
        <v>17.0</v>
      </c>
      <c r="AL25" s="211">
        <f t="shared" si="8"/>
        <v>13</v>
      </c>
      <c r="AM25" s="452">
        <f t="shared" si="9"/>
        <v>291</v>
      </c>
    </row>
    <row r="26" ht="14.25" customHeight="1">
      <c r="A26" s="34">
        <v>19.0</v>
      </c>
      <c r="B26" s="35" t="s">
        <v>95</v>
      </c>
      <c r="C26" s="65">
        <v>1.0</v>
      </c>
      <c r="D26" s="90" t="s">
        <v>212</v>
      </c>
      <c r="E26" s="27" t="s">
        <v>102</v>
      </c>
      <c r="F26" s="88"/>
      <c r="G26" s="24">
        <v>24.0</v>
      </c>
      <c r="H26" s="24"/>
      <c r="I26" s="24"/>
      <c r="J26" s="110"/>
      <c r="K26" s="110"/>
      <c r="L26" s="24"/>
      <c r="M26" s="24"/>
      <c r="N26" s="24"/>
      <c r="O26" s="24"/>
      <c r="P26" s="24">
        <v>24.0</v>
      </c>
      <c r="Q26" s="110"/>
      <c r="R26" s="110"/>
      <c r="S26" s="24"/>
      <c r="T26" s="24"/>
      <c r="U26" s="24"/>
      <c r="V26" s="24"/>
      <c r="W26" s="24"/>
      <c r="X26" s="110"/>
      <c r="Y26" s="110"/>
      <c r="Z26" s="24"/>
      <c r="AA26" s="24"/>
      <c r="AB26" s="24">
        <v>17.0</v>
      </c>
      <c r="AC26" s="24"/>
      <c r="AD26" s="24"/>
      <c r="AE26" s="110"/>
      <c r="AF26" s="110"/>
      <c r="AG26" s="24"/>
      <c r="AH26" s="24"/>
      <c r="AI26" s="24"/>
      <c r="AJ26" s="24"/>
      <c r="AK26" s="24"/>
      <c r="AL26" s="211">
        <f t="shared" si="8"/>
        <v>3</v>
      </c>
      <c r="AM26" s="452">
        <f t="shared" si="9"/>
        <v>65</v>
      </c>
    </row>
    <row r="27" ht="14.25" customHeight="1">
      <c r="A27" s="34">
        <v>20.0</v>
      </c>
      <c r="B27" s="97" t="s">
        <v>95</v>
      </c>
      <c r="C27" s="65">
        <v>1.0</v>
      </c>
      <c r="D27" s="90" t="s">
        <v>296</v>
      </c>
      <c r="E27" s="27" t="s">
        <v>269</v>
      </c>
      <c r="F27" s="88"/>
      <c r="G27" s="24"/>
      <c r="H27" s="24">
        <v>17.0</v>
      </c>
      <c r="I27" s="24">
        <v>17.0</v>
      </c>
      <c r="J27" s="110">
        <v>17.0</v>
      </c>
      <c r="K27" s="110"/>
      <c r="L27" s="24"/>
      <c r="M27" s="24">
        <v>24.0</v>
      </c>
      <c r="N27" s="24"/>
      <c r="O27" s="24"/>
      <c r="P27" s="24"/>
      <c r="Q27" s="110"/>
      <c r="R27" s="110"/>
      <c r="S27" s="24">
        <v>24.0</v>
      </c>
      <c r="T27" s="24"/>
      <c r="U27" s="24"/>
      <c r="V27" s="24">
        <v>24.0</v>
      </c>
      <c r="W27" s="24"/>
      <c r="X27" s="110">
        <v>24.0</v>
      </c>
      <c r="Y27" s="110"/>
      <c r="Z27" s="24">
        <v>24.0</v>
      </c>
      <c r="AA27" s="24"/>
      <c r="AB27" s="24"/>
      <c r="AC27" s="24">
        <v>24.0</v>
      </c>
      <c r="AD27" s="24"/>
      <c r="AE27" s="110"/>
      <c r="AF27" s="110"/>
      <c r="AG27" s="24">
        <v>24.0</v>
      </c>
      <c r="AH27" s="24"/>
      <c r="AI27" s="24"/>
      <c r="AJ27" s="24"/>
      <c r="AK27" s="476">
        <v>24.0</v>
      </c>
      <c r="AL27" s="211">
        <f t="shared" si="8"/>
        <v>11</v>
      </c>
      <c r="AM27" s="452">
        <f t="shared" si="9"/>
        <v>243</v>
      </c>
    </row>
    <row r="28" ht="14.25" customHeight="1">
      <c r="A28" s="34">
        <v>21.0</v>
      </c>
      <c r="B28" s="35" t="s">
        <v>95</v>
      </c>
      <c r="C28" s="65">
        <v>1.0</v>
      </c>
      <c r="D28" s="100" t="s">
        <v>267</v>
      </c>
      <c r="E28" s="27" t="s">
        <v>102</v>
      </c>
      <c r="F28" s="450"/>
      <c r="G28" s="24"/>
      <c r="H28" s="24"/>
      <c r="I28" s="24">
        <v>24.0</v>
      </c>
      <c r="J28" s="110">
        <v>24.0</v>
      </c>
      <c r="K28" s="110"/>
      <c r="L28" s="24">
        <v>24.0</v>
      </c>
      <c r="M28" s="24"/>
      <c r="N28" s="24"/>
      <c r="O28" s="24">
        <v>24.0</v>
      </c>
      <c r="P28" s="24"/>
      <c r="Q28" s="110"/>
      <c r="R28" s="110">
        <v>24.0</v>
      </c>
      <c r="S28" s="24"/>
      <c r="T28" s="24"/>
      <c r="U28" s="476"/>
      <c r="V28" s="24">
        <v>17.0</v>
      </c>
      <c r="W28" s="24">
        <v>17.0</v>
      </c>
      <c r="X28" s="110">
        <v>17.0</v>
      </c>
      <c r="Y28" s="110">
        <v>17.0</v>
      </c>
      <c r="Z28" s="24"/>
      <c r="AA28" s="24">
        <v>24.0</v>
      </c>
      <c r="AB28" s="24"/>
      <c r="AC28" s="24"/>
      <c r="AD28" s="24"/>
      <c r="AE28" s="110"/>
      <c r="AF28" s="110"/>
      <c r="AG28" s="24"/>
      <c r="AH28" s="24">
        <v>24.0</v>
      </c>
      <c r="AI28" s="24"/>
      <c r="AJ28" s="24"/>
      <c r="AK28" s="24"/>
      <c r="AL28" s="211">
        <f t="shared" si="8"/>
        <v>11</v>
      </c>
      <c r="AM28" s="452">
        <f t="shared" si="9"/>
        <v>236</v>
      </c>
    </row>
    <row r="29" ht="14.25" customHeight="1">
      <c r="A29" s="34">
        <v>22.0</v>
      </c>
      <c r="B29" s="35" t="s">
        <v>95</v>
      </c>
      <c r="C29" s="65">
        <v>1.0</v>
      </c>
      <c r="D29" s="100" t="s">
        <v>106</v>
      </c>
      <c r="E29" s="27" t="s">
        <v>102</v>
      </c>
      <c r="F29" s="492"/>
      <c r="G29" s="24"/>
      <c r="H29" s="24"/>
      <c r="I29" s="24"/>
      <c r="J29" s="110"/>
      <c r="K29" s="110"/>
      <c r="L29" s="24"/>
      <c r="M29" s="24"/>
      <c r="N29" s="24"/>
      <c r="O29" s="24"/>
      <c r="P29" s="24"/>
      <c r="Q29" s="110"/>
      <c r="R29" s="110"/>
      <c r="S29" s="24"/>
      <c r="T29" s="24"/>
      <c r="U29" s="24"/>
      <c r="V29" s="24"/>
      <c r="W29" s="24"/>
      <c r="X29" s="110"/>
      <c r="Y29" s="110"/>
      <c r="Z29" s="24"/>
      <c r="AA29" s="24"/>
      <c r="AB29" s="24"/>
      <c r="AC29" s="24">
        <v>17.0</v>
      </c>
      <c r="AD29" s="24">
        <v>17.0</v>
      </c>
      <c r="AE29" s="110">
        <v>17.0</v>
      </c>
      <c r="AF29" s="110">
        <v>17.0</v>
      </c>
      <c r="AG29" s="24"/>
      <c r="AH29" s="24"/>
      <c r="AI29" s="24">
        <v>24.0</v>
      </c>
      <c r="AJ29" s="24"/>
      <c r="AK29" s="24"/>
      <c r="AL29" s="211">
        <v>5.0</v>
      </c>
      <c r="AM29" s="452">
        <f>AI29+AF29+AE29+AD29+AC29</f>
        <v>92</v>
      </c>
    </row>
    <row r="30" ht="14.25" customHeight="1">
      <c r="A30" s="106">
        <v>23.0</v>
      </c>
      <c r="B30" s="64" t="s">
        <v>184</v>
      </c>
      <c r="C30" s="101">
        <v>1.0</v>
      </c>
      <c r="D30" s="102"/>
      <c r="E30" s="101" t="s">
        <v>105</v>
      </c>
      <c r="F30" s="103">
        <v>0.4</v>
      </c>
      <c r="G30" s="106"/>
      <c r="H30" s="106"/>
      <c r="I30" s="106"/>
      <c r="J30" s="107"/>
      <c r="K30" s="107"/>
      <c r="L30" s="106"/>
      <c r="M30" s="106"/>
      <c r="N30" s="106"/>
      <c r="O30" s="106"/>
      <c r="P30" s="106"/>
      <c r="Q30" s="107"/>
      <c r="R30" s="107"/>
      <c r="S30" s="106"/>
      <c r="T30" s="106"/>
      <c r="U30" s="106"/>
      <c r="V30" s="106"/>
      <c r="W30" s="106"/>
      <c r="X30" s="107"/>
      <c r="Y30" s="107"/>
      <c r="Z30" s="106"/>
      <c r="AA30" s="106"/>
      <c r="AB30" s="106"/>
      <c r="AC30" s="106"/>
      <c r="AD30" s="106"/>
      <c r="AE30" s="107"/>
      <c r="AF30" s="107"/>
      <c r="AG30" s="106"/>
      <c r="AH30" s="106"/>
      <c r="AI30" s="106"/>
      <c r="AJ30" s="106"/>
      <c r="AK30" s="106"/>
      <c r="AL30" s="211">
        <f t="shared" ref="AL30:AL39" si="10">COUNTA(G30:AK30)</f>
        <v>0</v>
      </c>
      <c r="AM30" s="452">
        <f t="shared" ref="AM30:AM39" si="11">SUM(G30:AK30)</f>
        <v>0</v>
      </c>
    </row>
    <row r="31" ht="14.25" customHeight="1">
      <c r="A31" s="119">
        <v>24.0</v>
      </c>
      <c r="B31" s="137" t="s">
        <v>184</v>
      </c>
      <c r="C31" s="129">
        <v>1.0</v>
      </c>
      <c r="D31" s="102"/>
      <c r="E31" s="121" t="s">
        <v>105</v>
      </c>
      <c r="F31" s="103">
        <v>0.4</v>
      </c>
      <c r="G31" s="106"/>
      <c r="H31" s="106"/>
      <c r="I31" s="106"/>
      <c r="J31" s="107"/>
      <c r="K31" s="107"/>
      <c r="L31" s="106"/>
      <c r="M31" s="106"/>
      <c r="N31" s="106"/>
      <c r="O31" s="106"/>
      <c r="P31" s="106"/>
      <c r="Q31" s="107"/>
      <c r="R31" s="107"/>
      <c r="S31" s="106"/>
      <c r="T31" s="106"/>
      <c r="U31" s="106"/>
      <c r="V31" s="106"/>
      <c r="W31" s="106"/>
      <c r="X31" s="107"/>
      <c r="Y31" s="107"/>
      <c r="Z31" s="106"/>
      <c r="AA31" s="106"/>
      <c r="AB31" s="106"/>
      <c r="AC31" s="106"/>
      <c r="AD31" s="106"/>
      <c r="AE31" s="107"/>
      <c r="AF31" s="107"/>
      <c r="AG31" s="106"/>
      <c r="AH31" s="106"/>
      <c r="AI31" s="106"/>
      <c r="AJ31" s="106"/>
      <c r="AK31" s="106"/>
      <c r="AL31" s="211">
        <f t="shared" si="10"/>
        <v>0</v>
      </c>
      <c r="AM31" s="452">
        <f t="shared" si="11"/>
        <v>0</v>
      </c>
    </row>
    <row r="32" ht="14.25" customHeight="1">
      <c r="A32" s="34">
        <v>25.0</v>
      </c>
      <c r="B32" s="36" t="s">
        <v>109</v>
      </c>
      <c r="C32" s="65">
        <v>1.0</v>
      </c>
      <c r="D32" s="90" t="s">
        <v>373</v>
      </c>
      <c r="E32" s="27" t="s">
        <v>111</v>
      </c>
      <c r="F32" s="118" t="s">
        <v>26</v>
      </c>
      <c r="G32" s="468">
        <v>12.0</v>
      </c>
      <c r="H32" s="468">
        <v>12.0</v>
      </c>
      <c r="I32" s="468">
        <v>12.0</v>
      </c>
      <c r="J32" s="468">
        <v>12.0</v>
      </c>
      <c r="K32" s="468">
        <v>12.0</v>
      </c>
      <c r="L32" s="468">
        <v>6.0</v>
      </c>
      <c r="M32" s="468">
        <v>12.0</v>
      </c>
      <c r="N32" s="24">
        <v>12.0</v>
      </c>
      <c r="O32" s="24">
        <v>12.0</v>
      </c>
      <c r="P32" s="24">
        <v>12.0</v>
      </c>
      <c r="Q32" s="110">
        <v>12.0</v>
      </c>
      <c r="R32" s="110">
        <v>12.0</v>
      </c>
      <c r="S32" s="24">
        <v>12.0</v>
      </c>
      <c r="T32" s="24">
        <v>18.0</v>
      </c>
      <c r="U32" s="24">
        <v>0.5</v>
      </c>
      <c r="V32" s="24">
        <v>12.0</v>
      </c>
      <c r="W32" s="24">
        <v>0.5</v>
      </c>
      <c r="X32" s="110">
        <v>12.0</v>
      </c>
      <c r="Y32" s="110">
        <v>12.0</v>
      </c>
      <c r="Z32" s="24">
        <v>0.5</v>
      </c>
      <c r="AA32" s="24">
        <v>0.5</v>
      </c>
      <c r="AB32" s="24">
        <v>12.0</v>
      </c>
      <c r="AC32" s="24">
        <v>12.0</v>
      </c>
      <c r="AD32" s="24">
        <v>12.0</v>
      </c>
      <c r="AE32" s="110">
        <v>0.5</v>
      </c>
      <c r="AF32" s="110">
        <v>12.0</v>
      </c>
      <c r="AG32" s="24">
        <v>12.0</v>
      </c>
      <c r="AH32" s="24"/>
      <c r="AI32" s="24"/>
      <c r="AJ32" s="24">
        <v>12.0</v>
      </c>
      <c r="AK32" s="24">
        <v>12.0</v>
      </c>
      <c r="AL32" s="211">
        <f t="shared" si="10"/>
        <v>29</v>
      </c>
      <c r="AM32" s="452">
        <f t="shared" si="11"/>
        <v>290.5</v>
      </c>
    </row>
    <row r="33" ht="16.5" customHeight="1">
      <c r="A33" s="34">
        <v>26.0</v>
      </c>
      <c r="B33" s="35" t="s">
        <v>135</v>
      </c>
      <c r="C33" s="65">
        <v>1.0</v>
      </c>
      <c r="D33" s="117" t="s">
        <v>301</v>
      </c>
      <c r="E33" s="27" t="s">
        <v>111</v>
      </c>
      <c r="F33" s="118" t="s">
        <v>26</v>
      </c>
      <c r="G33" s="468">
        <v>12.0</v>
      </c>
      <c r="H33" s="468">
        <v>12.0</v>
      </c>
      <c r="I33" s="468">
        <v>12.0</v>
      </c>
      <c r="J33" s="468">
        <v>12.0</v>
      </c>
      <c r="K33" s="468">
        <v>12.0</v>
      </c>
      <c r="L33" s="468">
        <v>12.0</v>
      </c>
      <c r="M33" s="468"/>
      <c r="N33" s="468">
        <v>12.0</v>
      </c>
      <c r="O33" s="468">
        <v>12.0</v>
      </c>
      <c r="P33" s="468">
        <v>12.0</v>
      </c>
      <c r="Q33" s="468">
        <v>12.0</v>
      </c>
      <c r="R33" s="468">
        <v>12.0</v>
      </c>
      <c r="S33" s="24"/>
      <c r="T33" s="24"/>
      <c r="U33" s="24"/>
      <c r="V33" s="24"/>
      <c r="W33" s="24"/>
      <c r="X33" s="110"/>
      <c r="Y33" s="110"/>
      <c r="Z33" s="24"/>
      <c r="AA33" s="24"/>
      <c r="AB33" s="24"/>
      <c r="AC33" s="24"/>
      <c r="AD33" s="24"/>
      <c r="AE33" s="110"/>
      <c r="AF33" s="110"/>
      <c r="AG33" s="24"/>
      <c r="AH33" s="24"/>
      <c r="AI33" s="24"/>
      <c r="AJ33" s="24"/>
      <c r="AK33" s="24"/>
      <c r="AL33" s="211">
        <f t="shared" si="10"/>
        <v>11</v>
      </c>
      <c r="AM33" s="452">
        <f t="shared" si="11"/>
        <v>132</v>
      </c>
    </row>
    <row r="34" ht="19.5" customHeight="1">
      <c r="A34" s="34">
        <v>27.0</v>
      </c>
      <c r="B34" s="35" t="s">
        <v>135</v>
      </c>
      <c r="C34" s="65">
        <v>1.0</v>
      </c>
      <c r="D34" s="90" t="s">
        <v>374</v>
      </c>
      <c r="E34" s="27" t="s">
        <v>73</v>
      </c>
      <c r="F34" s="123" t="s">
        <v>26</v>
      </c>
      <c r="G34" s="24">
        <v>12.0</v>
      </c>
      <c r="H34" s="24"/>
      <c r="I34" s="24">
        <v>12.0</v>
      </c>
      <c r="J34" s="110">
        <v>12.0</v>
      </c>
      <c r="K34" s="110">
        <v>12.0</v>
      </c>
      <c r="L34" s="24">
        <v>12.0</v>
      </c>
      <c r="M34" s="24">
        <v>12.0</v>
      </c>
      <c r="N34" s="24">
        <v>12.0</v>
      </c>
      <c r="O34" s="24">
        <v>12.0</v>
      </c>
      <c r="P34" s="24">
        <v>12.0</v>
      </c>
      <c r="Q34" s="110">
        <v>24.0</v>
      </c>
      <c r="R34" s="110"/>
      <c r="S34" s="24">
        <v>12.0</v>
      </c>
      <c r="T34" s="24">
        <v>12.0</v>
      </c>
      <c r="U34" s="24">
        <v>12.0</v>
      </c>
      <c r="V34" s="24">
        <v>12.0</v>
      </c>
      <c r="W34" s="24">
        <v>12.0</v>
      </c>
      <c r="X34" s="110">
        <v>12.0</v>
      </c>
      <c r="Y34" s="110">
        <v>12.0</v>
      </c>
      <c r="Z34" s="24">
        <v>12.0</v>
      </c>
      <c r="AA34" s="24"/>
      <c r="AB34" s="24">
        <v>12.0</v>
      </c>
      <c r="AC34" s="24"/>
      <c r="AD34" s="24">
        <v>12.0</v>
      </c>
      <c r="AE34" s="110">
        <v>12.0</v>
      </c>
      <c r="AF34" s="110">
        <v>12.0</v>
      </c>
      <c r="AG34" s="24">
        <v>12.0</v>
      </c>
      <c r="AH34" s="24">
        <v>12.0</v>
      </c>
      <c r="AI34" s="24">
        <v>12.0</v>
      </c>
      <c r="AJ34" s="24">
        <v>12.0</v>
      </c>
      <c r="AK34" s="24"/>
      <c r="AL34" s="211">
        <f t="shared" si="10"/>
        <v>26</v>
      </c>
      <c r="AM34" s="452">
        <f t="shared" si="11"/>
        <v>324</v>
      </c>
      <c r="AN34" s="73" t="s">
        <v>375</v>
      </c>
    </row>
    <row r="35" ht="24.75" customHeight="1">
      <c r="A35" s="124">
        <v>28.0</v>
      </c>
      <c r="B35" s="200" t="s">
        <v>142</v>
      </c>
      <c r="C35" s="65">
        <v>1.0</v>
      </c>
      <c r="D35" s="90" t="s">
        <v>298</v>
      </c>
      <c r="E35" s="65" t="s">
        <v>125</v>
      </c>
      <c r="F35" s="250"/>
      <c r="G35" s="24"/>
      <c r="H35" s="24"/>
      <c r="I35" s="24"/>
      <c r="J35" s="110"/>
      <c r="K35" s="110"/>
      <c r="L35" s="24"/>
      <c r="M35" s="24"/>
      <c r="N35" s="24"/>
      <c r="O35" s="24"/>
      <c r="P35" s="24"/>
      <c r="Q35" s="110"/>
      <c r="R35" s="110"/>
      <c r="S35" s="24"/>
      <c r="T35" s="24"/>
      <c r="U35" s="24"/>
      <c r="V35" s="24"/>
      <c r="W35" s="24"/>
      <c r="X35" s="110"/>
      <c r="Y35" s="110"/>
      <c r="Z35" s="24"/>
      <c r="AA35" s="24"/>
      <c r="AB35" s="24"/>
      <c r="AC35" s="24"/>
      <c r="AD35" s="24"/>
      <c r="AE35" s="110"/>
      <c r="AF35" s="110"/>
      <c r="AG35" s="24"/>
      <c r="AH35" s="24"/>
      <c r="AI35" s="24"/>
      <c r="AJ35" s="24"/>
      <c r="AK35" s="24"/>
      <c r="AL35" s="211">
        <f t="shared" si="10"/>
        <v>0</v>
      </c>
      <c r="AM35" s="452">
        <f t="shared" si="11"/>
        <v>0</v>
      </c>
      <c r="AN35" s="89"/>
    </row>
    <row r="36" ht="26.25" customHeight="1">
      <c r="A36" s="17"/>
      <c r="B36" s="17"/>
      <c r="C36" s="17"/>
      <c r="D36" s="17"/>
      <c r="E36" s="27" t="s">
        <v>127</v>
      </c>
      <c r="F36" s="17"/>
      <c r="G36" s="24">
        <v>12.0</v>
      </c>
      <c r="H36" s="24">
        <v>12.0</v>
      </c>
      <c r="I36" s="24">
        <v>12.0</v>
      </c>
      <c r="J36" s="110">
        <v>12.0</v>
      </c>
      <c r="K36" s="110">
        <v>12.0</v>
      </c>
      <c r="L36" s="24">
        <v>12.0</v>
      </c>
      <c r="M36" s="24"/>
      <c r="N36" s="24"/>
      <c r="O36" s="24"/>
      <c r="P36" s="24"/>
      <c r="Q36" s="110"/>
      <c r="R36" s="110"/>
      <c r="S36" s="24"/>
      <c r="T36" s="24"/>
      <c r="U36" s="24"/>
      <c r="V36" s="24"/>
      <c r="W36" s="24"/>
      <c r="X36" s="110"/>
      <c r="Y36" s="110"/>
      <c r="Z36" s="24"/>
      <c r="AA36" s="24"/>
      <c r="AB36" s="24"/>
      <c r="AC36" s="24"/>
      <c r="AD36" s="24"/>
      <c r="AE36" s="110"/>
      <c r="AF36" s="110"/>
      <c r="AG36" s="24"/>
      <c r="AH36" s="24"/>
      <c r="AI36" s="24"/>
      <c r="AJ36" s="24"/>
      <c r="AK36" s="24"/>
      <c r="AL36" s="211">
        <f t="shared" si="10"/>
        <v>6</v>
      </c>
      <c r="AM36" s="452">
        <f t="shared" si="11"/>
        <v>72</v>
      </c>
      <c r="AN36" s="89"/>
    </row>
    <row r="37" ht="21.0" customHeight="1">
      <c r="A37" s="34">
        <v>29.0</v>
      </c>
      <c r="B37" s="35" t="s">
        <v>144</v>
      </c>
      <c r="C37" s="27">
        <v>1.0</v>
      </c>
      <c r="D37" s="117" t="s">
        <v>131</v>
      </c>
      <c r="E37" s="27" t="s">
        <v>133</v>
      </c>
      <c r="F37" s="123" t="s">
        <v>26</v>
      </c>
      <c r="G37" s="24">
        <v>12.0</v>
      </c>
      <c r="H37" s="24">
        <v>12.0</v>
      </c>
      <c r="I37" s="24">
        <v>12.0</v>
      </c>
      <c r="J37" s="110">
        <v>12.0</v>
      </c>
      <c r="K37" s="110">
        <v>12.0</v>
      </c>
      <c r="L37" s="24"/>
      <c r="M37" s="24">
        <v>12.0</v>
      </c>
      <c r="N37" s="24">
        <v>12.0</v>
      </c>
      <c r="O37" s="24">
        <v>12.0</v>
      </c>
      <c r="P37" s="24">
        <v>12.0</v>
      </c>
      <c r="Q37" s="110">
        <v>12.0</v>
      </c>
      <c r="R37" s="110">
        <v>12.0</v>
      </c>
      <c r="S37" s="24"/>
      <c r="T37" s="24">
        <v>18.0</v>
      </c>
      <c r="U37" s="24">
        <v>12.0</v>
      </c>
      <c r="V37" s="24">
        <v>12.0</v>
      </c>
      <c r="W37" s="24">
        <v>12.0</v>
      </c>
      <c r="X37" s="110">
        <v>12.0</v>
      </c>
      <c r="Y37" s="110">
        <v>12.0</v>
      </c>
      <c r="Z37" s="24"/>
      <c r="AA37" s="24">
        <v>12.0</v>
      </c>
      <c r="AB37" s="24">
        <v>12.0</v>
      </c>
      <c r="AC37" s="24">
        <v>12.0</v>
      </c>
      <c r="AD37" s="24">
        <v>12.0</v>
      </c>
      <c r="AE37" s="110">
        <v>12.0</v>
      </c>
      <c r="AF37" s="110">
        <v>12.0</v>
      </c>
      <c r="AG37" s="24">
        <v>12.0</v>
      </c>
      <c r="AH37" s="24">
        <v>12.0</v>
      </c>
      <c r="AI37" s="24">
        <v>12.0</v>
      </c>
      <c r="AJ37" s="24">
        <v>12.0</v>
      </c>
      <c r="AK37" s="24">
        <v>18.0</v>
      </c>
      <c r="AL37" s="211">
        <f t="shared" si="10"/>
        <v>28</v>
      </c>
      <c r="AM37" s="452">
        <f t="shared" si="11"/>
        <v>348</v>
      </c>
      <c r="AN37" s="73" t="s">
        <v>376</v>
      </c>
    </row>
    <row r="38" ht="21.0" customHeight="1">
      <c r="A38" s="34"/>
      <c r="B38" s="35" t="s">
        <v>144</v>
      </c>
      <c r="C38" s="27">
        <v>1.0</v>
      </c>
      <c r="D38" s="117" t="s">
        <v>377</v>
      </c>
      <c r="E38" s="27" t="s">
        <v>133</v>
      </c>
      <c r="F38" s="123" t="s">
        <v>26</v>
      </c>
      <c r="G38" s="24"/>
      <c r="H38" s="24"/>
      <c r="I38" s="24"/>
      <c r="J38" s="110"/>
      <c r="K38" s="110"/>
      <c r="L38" s="24"/>
      <c r="M38" s="24"/>
      <c r="N38" s="24"/>
      <c r="O38" s="24"/>
      <c r="P38" s="24"/>
      <c r="Q38" s="110"/>
      <c r="R38" s="110"/>
      <c r="S38" s="24"/>
      <c r="T38" s="24"/>
      <c r="U38" s="24"/>
      <c r="V38" s="24"/>
      <c r="W38" s="24"/>
      <c r="X38" s="110"/>
      <c r="Y38" s="110"/>
      <c r="Z38" s="468">
        <v>12.0</v>
      </c>
      <c r="AA38" s="468">
        <v>12.0</v>
      </c>
      <c r="AB38" s="468">
        <v>12.0</v>
      </c>
      <c r="AC38" s="468">
        <v>12.0</v>
      </c>
      <c r="AD38" s="468">
        <v>12.0</v>
      </c>
      <c r="AE38" s="468">
        <v>12.0</v>
      </c>
      <c r="AF38" s="468">
        <v>12.0</v>
      </c>
      <c r="AG38" s="468">
        <v>12.0</v>
      </c>
      <c r="AH38" s="468">
        <v>12.0</v>
      </c>
      <c r="AI38" s="468">
        <v>12.0</v>
      </c>
      <c r="AJ38" s="468"/>
      <c r="AK38" s="468"/>
      <c r="AL38" s="211">
        <f t="shared" si="10"/>
        <v>10</v>
      </c>
      <c r="AM38" s="452">
        <f t="shared" si="11"/>
        <v>120</v>
      </c>
    </row>
    <row r="39" ht="19.5" customHeight="1">
      <c r="A39" s="34">
        <v>30.0</v>
      </c>
      <c r="B39" s="35" t="s">
        <v>136</v>
      </c>
      <c r="C39" s="27">
        <v>1.0</v>
      </c>
      <c r="D39" s="117" t="s">
        <v>145</v>
      </c>
      <c r="E39" s="26" t="s">
        <v>138</v>
      </c>
      <c r="F39" s="28" t="s">
        <v>26</v>
      </c>
      <c r="G39" s="24">
        <v>11.0</v>
      </c>
      <c r="H39" s="24">
        <v>11.0</v>
      </c>
      <c r="I39" s="24">
        <v>11.0</v>
      </c>
      <c r="J39" s="110">
        <v>11.0</v>
      </c>
      <c r="K39" s="110">
        <v>11.0</v>
      </c>
      <c r="L39" s="24"/>
      <c r="M39" s="24">
        <v>11.0</v>
      </c>
      <c r="N39" s="24">
        <v>11.0</v>
      </c>
      <c r="O39" s="24">
        <v>11.0</v>
      </c>
      <c r="P39" s="24">
        <v>11.0</v>
      </c>
      <c r="Q39" s="110">
        <v>11.0</v>
      </c>
      <c r="R39" s="110">
        <v>11.0</v>
      </c>
      <c r="S39" s="24">
        <v>11.0</v>
      </c>
      <c r="T39" s="24"/>
      <c r="U39" s="24">
        <v>11.0</v>
      </c>
      <c r="V39" s="24">
        <v>11.0</v>
      </c>
      <c r="W39" s="24">
        <v>11.0</v>
      </c>
      <c r="X39" s="110"/>
      <c r="Y39" s="110">
        <v>11.0</v>
      </c>
      <c r="Z39" s="24">
        <v>11.0</v>
      </c>
      <c r="AA39" s="24">
        <v>11.0</v>
      </c>
      <c r="AB39" s="24">
        <v>11.0</v>
      </c>
      <c r="AC39" s="24">
        <v>11.0</v>
      </c>
      <c r="AD39" s="24">
        <v>11.0</v>
      </c>
      <c r="AE39" s="110"/>
      <c r="AF39" s="110">
        <v>11.0</v>
      </c>
      <c r="AG39" s="24">
        <v>11.0</v>
      </c>
      <c r="AH39" s="24">
        <v>11.0</v>
      </c>
      <c r="AI39" s="24">
        <v>11.0</v>
      </c>
      <c r="AJ39" s="24">
        <v>11.0</v>
      </c>
      <c r="AK39" s="24">
        <v>11.0</v>
      </c>
      <c r="AL39" s="211">
        <f t="shared" si="10"/>
        <v>27</v>
      </c>
      <c r="AM39" s="452">
        <f t="shared" si="11"/>
        <v>297</v>
      </c>
    </row>
    <row r="40" ht="14.25" customHeight="1">
      <c r="A40" s="21"/>
      <c r="B40" s="20" t="s">
        <v>140</v>
      </c>
      <c r="C40" s="21"/>
      <c r="D40" s="20" t="s">
        <v>140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2"/>
      <c r="AD40" s="212"/>
      <c r="AE40" s="212"/>
      <c r="AF40" s="212"/>
      <c r="AG40" s="212"/>
      <c r="AH40" s="212"/>
      <c r="AI40" s="212"/>
      <c r="AJ40" s="212"/>
      <c r="AK40" s="212"/>
      <c r="AL40" s="21"/>
      <c r="AM40" s="45"/>
    </row>
    <row r="41" ht="14.25" customHeight="1">
      <c r="A41" s="34">
        <v>31.0</v>
      </c>
      <c r="B41" s="35" t="s">
        <v>140</v>
      </c>
      <c r="C41" s="27">
        <v>1.0</v>
      </c>
      <c r="D41" s="117" t="s">
        <v>366</v>
      </c>
      <c r="E41" s="139" t="s">
        <v>51</v>
      </c>
      <c r="F41" s="28" t="s">
        <v>85</v>
      </c>
      <c r="G41" s="468">
        <v>24.0</v>
      </c>
      <c r="H41" s="468"/>
      <c r="I41" s="468"/>
      <c r="J41" s="468">
        <v>24.0</v>
      </c>
      <c r="K41" s="468"/>
      <c r="L41" s="468"/>
      <c r="M41" s="468">
        <v>24.0</v>
      </c>
      <c r="N41" s="468"/>
      <c r="O41" s="468"/>
      <c r="P41" s="468">
        <v>24.0</v>
      </c>
      <c r="Q41" s="468"/>
      <c r="R41" s="468"/>
      <c r="S41" s="468">
        <v>24.0</v>
      </c>
      <c r="T41" s="24"/>
      <c r="U41" s="24"/>
      <c r="V41" s="24"/>
      <c r="W41" s="24"/>
      <c r="X41" s="110"/>
      <c r="Y41" s="110"/>
      <c r="Z41" s="24"/>
      <c r="AA41" s="24"/>
      <c r="AB41" s="24"/>
      <c r="AC41" s="24"/>
      <c r="AD41" s="24"/>
      <c r="AE41" s="110"/>
      <c r="AF41" s="110"/>
      <c r="AG41" s="24">
        <v>12.0</v>
      </c>
      <c r="AH41" s="24"/>
      <c r="AI41" s="24"/>
      <c r="AJ41" s="24"/>
      <c r="AK41" s="24"/>
      <c r="AL41" s="211">
        <f t="shared" ref="AL41:AL42" si="12">COUNTA(G41:AJ41)</f>
        <v>6</v>
      </c>
      <c r="AM41" s="57">
        <f t="shared" ref="AM41:AM42" si="13">SUM(G41:AJ41)</f>
        <v>132</v>
      </c>
      <c r="AN41" s="73" t="s">
        <v>378</v>
      </c>
    </row>
    <row r="42" ht="14.25" customHeight="1">
      <c r="A42" s="24">
        <v>32.0</v>
      </c>
      <c r="B42" s="35" t="s">
        <v>140</v>
      </c>
      <c r="C42" s="27">
        <v>1.0</v>
      </c>
      <c r="D42" s="117" t="s">
        <v>303</v>
      </c>
      <c r="E42" s="139" t="s">
        <v>51</v>
      </c>
      <c r="F42" s="28" t="s">
        <v>85</v>
      </c>
      <c r="G42" s="468"/>
      <c r="H42" s="468"/>
      <c r="I42" s="468"/>
      <c r="J42" s="468"/>
      <c r="K42" s="468">
        <v>24.0</v>
      </c>
      <c r="L42" s="468"/>
      <c r="M42" s="468"/>
      <c r="N42" s="468">
        <v>24.0</v>
      </c>
      <c r="O42" s="468"/>
      <c r="P42" s="468"/>
      <c r="Q42" s="468"/>
      <c r="R42" s="468">
        <v>24.0</v>
      </c>
      <c r="S42" s="468"/>
      <c r="T42" s="24"/>
      <c r="U42" s="24"/>
      <c r="V42" s="24">
        <v>24.0</v>
      </c>
      <c r="W42" s="24"/>
      <c r="X42" s="110"/>
      <c r="Y42" s="110">
        <v>24.0</v>
      </c>
      <c r="Z42" s="24"/>
      <c r="AA42" s="24"/>
      <c r="AB42" s="24">
        <v>24.0</v>
      </c>
      <c r="AC42" s="24"/>
      <c r="AD42" s="24"/>
      <c r="AE42" s="110"/>
      <c r="AF42" s="110"/>
      <c r="AG42" s="24"/>
      <c r="AH42" s="24"/>
      <c r="AI42" s="24"/>
      <c r="AJ42" s="24"/>
      <c r="AK42" s="24"/>
      <c r="AL42" s="211">
        <f t="shared" si="12"/>
        <v>6</v>
      </c>
      <c r="AM42" s="57">
        <f t="shared" si="13"/>
        <v>144</v>
      </c>
      <c r="AN42" s="73" t="s">
        <v>379</v>
      </c>
    </row>
    <row r="43" ht="14.25" customHeight="1">
      <c r="A43" s="24"/>
      <c r="B43" s="35"/>
      <c r="C43" s="27"/>
      <c r="D43" s="117" t="s">
        <v>380</v>
      </c>
      <c r="E43" s="139" t="s">
        <v>51</v>
      </c>
      <c r="F43" s="2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24"/>
      <c r="U43" s="24"/>
      <c r="V43" s="24"/>
      <c r="W43" s="24"/>
      <c r="X43" s="110"/>
      <c r="Y43" s="110"/>
      <c r="Z43" s="24"/>
      <c r="AA43" s="24"/>
      <c r="AB43" s="24"/>
      <c r="AC43" s="24"/>
      <c r="AD43" s="24"/>
      <c r="AE43" s="110"/>
      <c r="AF43" s="110"/>
      <c r="AG43" s="24"/>
      <c r="AH43" s="24">
        <v>24.0</v>
      </c>
      <c r="AI43" s="24"/>
      <c r="AJ43" s="24"/>
      <c r="AK43" s="24"/>
      <c r="AL43" s="211">
        <v>1.0</v>
      </c>
      <c r="AM43" s="57">
        <v>24.0</v>
      </c>
    </row>
    <row r="44" ht="14.25" customHeight="1">
      <c r="A44" s="24">
        <v>33.0</v>
      </c>
      <c r="B44" s="35" t="s">
        <v>140</v>
      </c>
      <c r="C44" s="27">
        <v>1.0</v>
      </c>
      <c r="D44" s="117" t="s">
        <v>145</v>
      </c>
      <c r="E44" s="139" t="s">
        <v>51</v>
      </c>
      <c r="F44" s="28" t="s">
        <v>85</v>
      </c>
      <c r="G44" s="24"/>
      <c r="H44" s="24">
        <v>12.0</v>
      </c>
      <c r="I44" s="24">
        <v>24.0</v>
      </c>
      <c r="J44" s="110"/>
      <c r="K44" s="110"/>
      <c r="L44" s="24">
        <v>24.0</v>
      </c>
      <c r="M44" s="24"/>
      <c r="N44" s="24"/>
      <c r="O44" s="24">
        <v>24.0</v>
      </c>
      <c r="P44" s="24"/>
      <c r="Q44" s="110">
        <v>24.0</v>
      </c>
      <c r="R44" s="110"/>
      <c r="S44" s="24"/>
      <c r="T44" s="24">
        <v>24.0</v>
      </c>
      <c r="U44" s="24">
        <v>24.0</v>
      </c>
      <c r="V44" s="24"/>
      <c r="W44" s="24">
        <v>24.0</v>
      </c>
      <c r="X44" s="110">
        <v>24.0</v>
      </c>
      <c r="Y44" s="110"/>
      <c r="Z44" s="24">
        <v>24.0</v>
      </c>
      <c r="AA44" s="24">
        <v>24.0</v>
      </c>
      <c r="AB44" s="24"/>
      <c r="AC44" s="24">
        <v>24.0</v>
      </c>
      <c r="AD44" s="24">
        <v>12.0</v>
      </c>
      <c r="AE44" s="110">
        <v>24.0</v>
      </c>
      <c r="AF44" s="110">
        <v>24.0</v>
      </c>
      <c r="AG44" s="24"/>
      <c r="AH44" s="24"/>
      <c r="AI44" s="24">
        <v>24.0</v>
      </c>
      <c r="AJ44" s="24"/>
      <c r="AK44" s="24"/>
      <c r="AL44" s="211">
        <f>COUNTA(G44:AJ44)</f>
        <v>16</v>
      </c>
      <c r="AM44" s="57">
        <f>SUM(G44:AJ44)</f>
        <v>360</v>
      </c>
    </row>
    <row r="45" ht="14.25" customHeight="1">
      <c r="A45" s="142"/>
      <c r="B45" s="143" t="s">
        <v>151</v>
      </c>
      <c r="C45" s="144">
        <v>33.0</v>
      </c>
      <c r="D45" s="143" t="s">
        <v>152</v>
      </c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21"/>
      <c r="AM45" s="45"/>
    </row>
    <row r="46" ht="14.25" customHeight="1">
      <c r="A46" s="142"/>
      <c r="B46" s="146" t="s">
        <v>154</v>
      </c>
      <c r="C46" s="147"/>
      <c r="D46" s="147"/>
      <c r="E46" s="147"/>
      <c r="F46" s="148"/>
      <c r="G46" s="144" t="s">
        <v>155</v>
      </c>
      <c r="H46" s="144" t="s">
        <v>155</v>
      </c>
      <c r="I46" s="144" t="s">
        <v>155</v>
      </c>
      <c r="J46" s="144" t="s">
        <v>155</v>
      </c>
      <c r="K46" s="144" t="s">
        <v>155</v>
      </c>
      <c r="L46" s="144" t="s">
        <v>155</v>
      </c>
      <c r="M46" s="144" t="s">
        <v>155</v>
      </c>
      <c r="N46" s="144" t="s">
        <v>155</v>
      </c>
      <c r="O46" s="144" t="s">
        <v>155</v>
      </c>
      <c r="P46" s="144" t="s">
        <v>155</v>
      </c>
      <c r="Q46" s="144" t="s">
        <v>155</v>
      </c>
      <c r="R46" s="144" t="s">
        <v>155</v>
      </c>
      <c r="S46" s="144" t="s">
        <v>155</v>
      </c>
      <c r="T46" s="144" t="s">
        <v>155</v>
      </c>
      <c r="U46" s="144" t="s">
        <v>155</v>
      </c>
      <c r="V46" s="144" t="s">
        <v>155</v>
      </c>
      <c r="W46" s="144" t="s">
        <v>155</v>
      </c>
      <c r="X46" s="144" t="s">
        <v>155</v>
      </c>
      <c r="Y46" s="144" t="s">
        <v>155</v>
      </c>
      <c r="Z46" s="144" t="s">
        <v>155</v>
      </c>
      <c r="AA46" s="144" t="s">
        <v>155</v>
      </c>
      <c r="AB46" s="144" t="s">
        <v>155</v>
      </c>
      <c r="AC46" s="144" t="s">
        <v>155</v>
      </c>
      <c r="AD46" s="144" t="s">
        <v>155</v>
      </c>
      <c r="AE46" s="144" t="s">
        <v>155</v>
      </c>
      <c r="AF46" s="144" t="s">
        <v>155</v>
      </c>
      <c r="AG46" s="144" t="s">
        <v>155</v>
      </c>
      <c r="AH46" s="144" t="s">
        <v>155</v>
      </c>
      <c r="AI46" s="144" t="s">
        <v>155</v>
      </c>
      <c r="AJ46" s="144" t="s">
        <v>155</v>
      </c>
      <c r="AK46" s="144"/>
      <c r="AL46" s="21"/>
      <c r="AM46" s="45"/>
    </row>
    <row r="47" ht="14.25" customHeight="1">
      <c r="A47" s="142"/>
      <c r="B47" s="146" t="s">
        <v>156</v>
      </c>
      <c r="C47" s="147"/>
      <c r="D47" s="147"/>
      <c r="E47" s="147"/>
      <c r="F47" s="148"/>
      <c r="G47" s="144">
        <f t="shared" ref="G47:AJ47" si="14">COUNTA(#REF!,#REF!,#REF!,#REF!,#REF!)</f>
        <v>5</v>
      </c>
      <c r="H47" s="144">
        <f t="shared" si="14"/>
        <v>5</v>
      </c>
      <c r="I47" s="144">
        <f t="shared" si="14"/>
        <v>5</v>
      </c>
      <c r="J47" s="144">
        <f t="shared" si="14"/>
        <v>5</v>
      </c>
      <c r="K47" s="144">
        <f t="shared" si="14"/>
        <v>5</v>
      </c>
      <c r="L47" s="144">
        <f t="shared" si="14"/>
        <v>5</v>
      </c>
      <c r="M47" s="144">
        <f t="shared" si="14"/>
        <v>5</v>
      </c>
      <c r="N47" s="144">
        <f t="shared" si="14"/>
        <v>5</v>
      </c>
      <c r="O47" s="144">
        <f t="shared" si="14"/>
        <v>5</v>
      </c>
      <c r="P47" s="144">
        <f t="shared" si="14"/>
        <v>5</v>
      </c>
      <c r="Q47" s="144">
        <f t="shared" si="14"/>
        <v>5</v>
      </c>
      <c r="R47" s="144">
        <f t="shared" si="14"/>
        <v>5</v>
      </c>
      <c r="S47" s="144">
        <f t="shared" si="14"/>
        <v>5</v>
      </c>
      <c r="T47" s="144">
        <f t="shared" si="14"/>
        <v>5</v>
      </c>
      <c r="U47" s="144">
        <f t="shared" si="14"/>
        <v>5</v>
      </c>
      <c r="V47" s="144">
        <f t="shared" si="14"/>
        <v>5</v>
      </c>
      <c r="W47" s="144">
        <f t="shared" si="14"/>
        <v>5</v>
      </c>
      <c r="X47" s="144">
        <f t="shared" si="14"/>
        <v>5</v>
      </c>
      <c r="Y47" s="144">
        <f t="shared" si="14"/>
        <v>5</v>
      </c>
      <c r="Z47" s="144">
        <f t="shared" si="14"/>
        <v>5</v>
      </c>
      <c r="AA47" s="144">
        <f t="shared" si="14"/>
        <v>5</v>
      </c>
      <c r="AB47" s="144">
        <f t="shared" si="14"/>
        <v>5</v>
      </c>
      <c r="AC47" s="144">
        <f t="shared" si="14"/>
        <v>5</v>
      </c>
      <c r="AD47" s="144">
        <f t="shared" si="14"/>
        <v>5</v>
      </c>
      <c r="AE47" s="144">
        <f t="shared" si="14"/>
        <v>5</v>
      </c>
      <c r="AF47" s="144">
        <f t="shared" si="14"/>
        <v>5</v>
      </c>
      <c r="AG47" s="144">
        <f t="shared" si="14"/>
        <v>5</v>
      </c>
      <c r="AH47" s="144">
        <f t="shared" si="14"/>
        <v>5</v>
      </c>
      <c r="AI47" s="144">
        <f t="shared" si="14"/>
        <v>5</v>
      </c>
      <c r="AJ47" s="144">
        <f t="shared" si="14"/>
        <v>5</v>
      </c>
      <c r="AK47" s="144"/>
      <c r="AL47" s="21"/>
      <c r="AM47" s="45"/>
    </row>
    <row r="48" ht="14.25" customHeight="1">
      <c r="A48" s="142"/>
      <c r="B48" s="146" t="s">
        <v>157</v>
      </c>
      <c r="C48" s="147"/>
      <c r="D48" s="147"/>
      <c r="E48" s="147"/>
      <c r="F48" s="148"/>
      <c r="G48" s="269">
        <f t="shared" ref="G48:AJ48" si="15">COUNTA(#REF!,#REF!)</f>
        <v>2</v>
      </c>
      <c r="H48" s="269">
        <f t="shared" si="15"/>
        <v>2</v>
      </c>
      <c r="I48" s="269">
        <f t="shared" si="15"/>
        <v>2</v>
      </c>
      <c r="J48" s="269">
        <f t="shared" si="15"/>
        <v>2</v>
      </c>
      <c r="K48" s="269">
        <f t="shared" si="15"/>
        <v>2</v>
      </c>
      <c r="L48" s="269">
        <f t="shared" si="15"/>
        <v>2</v>
      </c>
      <c r="M48" s="269">
        <f t="shared" si="15"/>
        <v>2</v>
      </c>
      <c r="N48" s="269">
        <f t="shared" si="15"/>
        <v>2</v>
      </c>
      <c r="O48" s="269">
        <f t="shared" si="15"/>
        <v>2</v>
      </c>
      <c r="P48" s="269">
        <f t="shared" si="15"/>
        <v>2</v>
      </c>
      <c r="Q48" s="269">
        <f t="shared" si="15"/>
        <v>2</v>
      </c>
      <c r="R48" s="269">
        <f t="shared" si="15"/>
        <v>2</v>
      </c>
      <c r="S48" s="269">
        <f t="shared" si="15"/>
        <v>2</v>
      </c>
      <c r="T48" s="269">
        <f t="shared" si="15"/>
        <v>2</v>
      </c>
      <c r="U48" s="269">
        <f t="shared" si="15"/>
        <v>2</v>
      </c>
      <c r="V48" s="269">
        <f t="shared" si="15"/>
        <v>2</v>
      </c>
      <c r="W48" s="269">
        <f t="shared" si="15"/>
        <v>2</v>
      </c>
      <c r="X48" s="269">
        <f t="shared" si="15"/>
        <v>2</v>
      </c>
      <c r="Y48" s="269">
        <f t="shared" si="15"/>
        <v>2</v>
      </c>
      <c r="Z48" s="269">
        <f t="shared" si="15"/>
        <v>2</v>
      </c>
      <c r="AA48" s="269">
        <f t="shared" si="15"/>
        <v>2</v>
      </c>
      <c r="AB48" s="269">
        <f t="shared" si="15"/>
        <v>2</v>
      </c>
      <c r="AC48" s="269">
        <f t="shared" si="15"/>
        <v>2</v>
      </c>
      <c r="AD48" s="269">
        <f t="shared" si="15"/>
        <v>2</v>
      </c>
      <c r="AE48" s="269">
        <f t="shared" si="15"/>
        <v>2</v>
      </c>
      <c r="AF48" s="269">
        <f t="shared" si="15"/>
        <v>2</v>
      </c>
      <c r="AG48" s="269">
        <f t="shared" si="15"/>
        <v>2</v>
      </c>
      <c r="AH48" s="269">
        <f t="shared" si="15"/>
        <v>2</v>
      </c>
      <c r="AI48" s="269">
        <f t="shared" si="15"/>
        <v>2</v>
      </c>
      <c r="AJ48" s="269">
        <f t="shared" si="15"/>
        <v>2</v>
      </c>
      <c r="AK48" s="269"/>
      <c r="AL48" s="21"/>
      <c r="AM48" s="45"/>
    </row>
    <row r="49" ht="14.25" customHeight="1">
      <c r="A49" s="2"/>
      <c r="B49" s="3"/>
      <c r="C49" s="2"/>
      <c r="D49" s="2"/>
      <c r="E49" s="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280"/>
      <c r="AM49" s="11"/>
    </row>
    <row r="50" ht="14.25" customHeight="1">
      <c r="A50" s="152"/>
      <c r="B50" s="153"/>
      <c r="C50" s="154"/>
      <c r="D50" s="155" t="s">
        <v>159</v>
      </c>
      <c r="E50" s="155"/>
      <c r="F50" s="156"/>
      <c r="G50" s="213">
        <f t="shared" ref="G50:AG50" si="16">COUNTA(G10,G11:G14,#REF!,G22:G23,G40,G21:G37,G27)</f>
        <v>8</v>
      </c>
      <c r="H50" s="213">
        <f t="shared" si="16"/>
        <v>10</v>
      </c>
      <c r="I50" s="213">
        <f t="shared" si="16"/>
        <v>11</v>
      </c>
      <c r="J50" s="213">
        <f t="shared" si="16"/>
        <v>10</v>
      </c>
      <c r="K50" s="213">
        <f t="shared" si="16"/>
        <v>9</v>
      </c>
      <c r="L50" s="213">
        <f t="shared" si="16"/>
        <v>8</v>
      </c>
      <c r="M50" s="213">
        <f t="shared" si="16"/>
        <v>7</v>
      </c>
      <c r="N50" s="213">
        <f t="shared" si="16"/>
        <v>8</v>
      </c>
      <c r="O50" s="213">
        <f t="shared" si="16"/>
        <v>8</v>
      </c>
      <c r="P50" s="213">
        <f t="shared" si="16"/>
        <v>7</v>
      </c>
      <c r="Q50" s="213">
        <f t="shared" si="16"/>
        <v>9</v>
      </c>
      <c r="R50" s="213">
        <f t="shared" si="16"/>
        <v>8</v>
      </c>
      <c r="S50" s="213">
        <f t="shared" si="16"/>
        <v>7</v>
      </c>
      <c r="T50" s="213">
        <f t="shared" si="16"/>
        <v>8</v>
      </c>
      <c r="U50" s="213">
        <f t="shared" si="16"/>
        <v>7</v>
      </c>
      <c r="V50" s="213">
        <f t="shared" si="16"/>
        <v>9</v>
      </c>
      <c r="W50" s="213">
        <f t="shared" si="16"/>
        <v>9</v>
      </c>
      <c r="X50" s="213">
        <f t="shared" si="16"/>
        <v>10</v>
      </c>
      <c r="Y50" s="213">
        <f t="shared" si="16"/>
        <v>8</v>
      </c>
      <c r="Z50" s="213">
        <f t="shared" si="16"/>
        <v>8</v>
      </c>
      <c r="AA50" s="213">
        <f t="shared" si="16"/>
        <v>6</v>
      </c>
      <c r="AB50" s="213">
        <f t="shared" si="16"/>
        <v>7</v>
      </c>
      <c r="AC50" s="213">
        <f t="shared" si="16"/>
        <v>9</v>
      </c>
      <c r="AD50" s="213">
        <f t="shared" si="16"/>
        <v>9</v>
      </c>
      <c r="AE50" s="213">
        <f t="shared" si="16"/>
        <v>7</v>
      </c>
      <c r="AF50" s="213">
        <f t="shared" si="16"/>
        <v>9</v>
      </c>
      <c r="AG50" s="213">
        <f t="shared" si="16"/>
        <v>9</v>
      </c>
      <c r="AH50" s="213"/>
      <c r="AI50" s="213"/>
      <c r="AJ50" s="213"/>
      <c r="AK50" s="213"/>
      <c r="AL50" s="287">
        <f t="shared" ref="AL50:AL53" si="18">SUM(G50:AJ50)</f>
        <v>225</v>
      </c>
      <c r="AM50" s="158">
        <v>250.0</v>
      </c>
    </row>
    <row r="51" ht="14.25" customHeight="1">
      <c r="A51" s="159"/>
      <c r="B51" s="160"/>
      <c r="C51" s="161"/>
      <c r="D51" s="162" t="s">
        <v>160</v>
      </c>
      <c r="E51" s="162"/>
      <c r="F51" s="163"/>
      <c r="G51" s="289">
        <f>COUNTA(G10,#REF!,#REF!,H14,G21:G37,G22:G40)</f>
        <v>17</v>
      </c>
      <c r="H51" s="289">
        <f>COUNTA(H10,#REF!,#REF!,#REF!,H21:H37,H22:H40)</f>
        <v>18</v>
      </c>
      <c r="I51" s="289">
        <f t="shared" ref="I51:AG51" si="17">COUNTA(I10,#REF!,#REF!,I14,I21:I37,I22:I40)</f>
        <v>19</v>
      </c>
      <c r="J51" s="289">
        <f t="shared" si="17"/>
        <v>19</v>
      </c>
      <c r="K51" s="289">
        <f t="shared" si="17"/>
        <v>17</v>
      </c>
      <c r="L51" s="289">
        <f t="shared" si="17"/>
        <v>14</v>
      </c>
      <c r="M51" s="289">
        <f t="shared" si="17"/>
        <v>13</v>
      </c>
      <c r="N51" s="289">
        <f t="shared" si="17"/>
        <v>15</v>
      </c>
      <c r="O51" s="289">
        <f t="shared" si="17"/>
        <v>15</v>
      </c>
      <c r="P51" s="289">
        <f t="shared" si="17"/>
        <v>15</v>
      </c>
      <c r="Q51" s="289">
        <f t="shared" si="17"/>
        <v>15</v>
      </c>
      <c r="R51" s="289">
        <f t="shared" si="17"/>
        <v>13</v>
      </c>
      <c r="S51" s="289">
        <f t="shared" si="17"/>
        <v>11</v>
      </c>
      <c r="T51" s="289">
        <f t="shared" si="17"/>
        <v>12</v>
      </c>
      <c r="U51" s="289">
        <f t="shared" si="17"/>
        <v>11</v>
      </c>
      <c r="V51" s="289">
        <f t="shared" si="17"/>
        <v>15</v>
      </c>
      <c r="W51" s="289">
        <f t="shared" si="17"/>
        <v>15</v>
      </c>
      <c r="X51" s="289">
        <f t="shared" si="17"/>
        <v>14</v>
      </c>
      <c r="Y51" s="289">
        <f t="shared" si="17"/>
        <v>15</v>
      </c>
      <c r="Z51" s="289">
        <f t="shared" si="17"/>
        <v>12</v>
      </c>
      <c r="AA51" s="289">
        <f t="shared" si="17"/>
        <v>12</v>
      </c>
      <c r="AB51" s="289">
        <f t="shared" si="17"/>
        <v>16</v>
      </c>
      <c r="AC51" s="289">
        <f t="shared" si="17"/>
        <v>14</v>
      </c>
      <c r="AD51" s="289">
        <f t="shared" si="17"/>
        <v>16</v>
      </c>
      <c r="AE51" s="289">
        <f t="shared" si="17"/>
        <v>13</v>
      </c>
      <c r="AF51" s="289">
        <f t="shared" si="17"/>
        <v>16</v>
      </c>
      <c r="AG51" s="289">
        <f t="shared" si="17"/>
        <v>14</v>
      </c>
      <c r="AH51" s="289"/>
      <c r="AI51" s="289"/>
      <c r="AJ51" s="289"/>
      <c r="AK51" s="289"/>
      <c r="AL51" s="294">
        <f t="shared" si="18"/>
        <v>396</v>
      </c>
      <c r="AM51" s="158"/>
    </row>
    <row r="52" ht="14.25" customHeight="1">
      <c r="A52" s="166"/>
      <c r="B52" s="167"/>
      <c r="C52" s="168"/>
      <c r="D52" s="169" t="s">
        <v>161</v>
      </c>
      <c r="E52" s="169"/>
      <c r="F52" s="170"/>
      <c r="G52" s="295">
        <f t="shared" ref="G52:AG52" si="19">COUNTA(G21:G37,G27,G40:G41)</f>
        <v>8</v>
      </c>
      <c r="H52" s="295">
        <f t="shared" si="19"/>
        <v>8</v>
      </c>
      <c r="I52" s="295">
        <f t="shared" si="19"/>
        <v>9</v>
      </c>
      <c r="J52" s="295">
        <f t="shared" si="19"/>
        <v>10</v>
      </c>
      <c r="K52" s="295">
        <f t="shared" si="19"/>
        <v>7</v>
      </c>
      <c r="L52" s="295">
        <f t="shared" si="19"/>
        <v>6</v>
      </c>
      <c r="M52" s="295">
        <f t="shared" si="19"/>
        <v>7</v>
      </c>
      <c r="N52" s="295">
        <f t="shared" si="19"/>
        <v>6</v>
      </c>
      <c r="O52" s="295">
        <f t="shared" si="19"/>
        <v>6</v>
      </c>
      <c r="P52" s="295">
        <f t="shared" si="19"/>
        <v>7</v>
      </c>
      <c r="Q52" s="295">
        <f t="shared" si="19"/>
        <v>6</v>
      </c>
      <c r="R52" s="295">
        <f t="shared" si="19"/>
        <v>5</v>
      </c>
      <c r="S52" s="295">
        <f t="shared" si="19"/>
        <v>6</v>
      </c>
      <c r="T52" s="295">
        <f t="shared" si="19"/>
        <v>5</v>
      </c>
      <c r="U52" s="295">
        <f t="shared" si="19"/>
        <v>4</v>
      </c>
      <c r="V52" s="295">
        <f t="shared" si="19"/>
        <v>7</v>
      </c>
      <c r="W52" s="295">
        <f t="shared" si="19"/>
        <v>6</v>
      </c>
      <c r="X52" s="295">
        <f t="shared" si="19"/>
        <v>7</v>
      </c>
      <c r="Y52" s="295">
        <f t="shared" si="19"/>
        <v>6</v>
      </c>
      <c r="Z52" s="295">
        <f t="shared" si="19"/>
        <v>5</v>
      </c>
      <c r="AA52" s="295">
        <f t="shared" si="19"/>
        <v>4</v>
      </c>
      <c r="AB52" s="295">
        <f t="shared" si="19"/>
        <v>6</v>
      </c>
      <c r="AC52" s="295">
        <f t="shared" si="19"/>
        <v>6</v>
      </c>
      <c r="AD52" s="295">
        <f t="shared" si="19"/>
        <v>6</v>
      </c>
      <c r="AE52" s="295">
        <f t="shared" si="19"/>
        <v>5</v>
      </c>
      <c r="AF52" s="295">
        <f t="shared" si="19"/>
        <v>6</v>
      </c>
      <c r="AG52" s="295">
        <f t="shared" si="19"/>
        <v>7</v>
      </c>
      <c r="AH52" s="295"/>
      <c r="AI52" s="295"/>
      <c r="AJ52" s="295"/>
      <c r="AK52" s="295"/>
      <c r="AL52" s="301">
        <f t="shared" si="18"/>
        <v>171</v>
      </c>
      <c r="AM52" s="173">
        <f>AM50*AL54</f>
        <v>220750</v>
      </c>
    </row>
    <row r="53" ht="14.25" customHeight="1">
      <c r="A53" s="174"/>
      <c r="B53" s="175"/>
      <c r="C53" s="176"/>
      <c r="D53" s="177" t="s">
        <v>162</v>
      </c>
      <c r="E53" s="177"/>
      <c r="F53" s="178"/>
      <c r="G53" s="302">
        <f t="shared" ref="G53:AG53" si="20">COUNTA(#REF!,#REF!,G27,#REF!)</f>
        <v>3</v>
      </c>
      <c r="H53" s="302">
        <f t="shared" si="20"/>
        <v>4</v>
      </c>
      <c r="I53" s="302">
        <f t="shared" si="20"/>
        <v>4</v>
      </c>
      <c r="J53" s="302">
        <f t="shared" si="20"/>
        <v>4</v>
      </c>
      <c r="K53" s="302">
        <f t="shared" si="20"/>
        <v>3</v>
      </c>
      <c r="L53" s="302">
        <f t="shared" si="20"/>
        <v>3</v>
      </c>
      <c r="M53" s="302">
        <f t="shared" si="20"/>
        <v>4</v>
      </c>
      <c r="N53" s="302">
        <f t="shared" si="20"/>
        <v>3</v>
      </c>
      <c r="O53" s="302">
        <f t="shared" si="20"/>
        <v>3</v>
      </c>
      <c r="P53" s="302">
        <f t="shared" si="20"/>
        <v>3</v>
      </c>
      <c r="Q53" s="302">
        <f t="shared" si="20"/>
        <v>3</v>
      </c>
      <c r="R53" s="302">
        <f t="shared" si="20"/>
        <v>3</v>
      </c>
      <c r="S53" s="302">
        <f t="shared" si="20"/>
        <v>4</v>
      </c>
      <c r="T53" s="302">
        <f t="shared" si="20"/>
        <v>3</v>
      </c>
      <c r="U53" s="302">
        <f t="shared" si="20"/>
        <v>3</v>
      </c>
      <c r="V53" s="302">
        <f t="shared" si="20"/>
        <v>4</v>
      </c>
      <c r="W53" s="302">
        <f t="shared" si="20"/>
        <v>3</v>
      </c>
      <c r="X53" s="302">
        <f t="shared" si="20"/>
        <v>4</v>
      </c>
      <c r="Y53" s="302">
        <f t="shared" si="20"/>
        <v>3</v>
      </c>
      <c r="Z53" s="302">
        <f t="shared" si="20"/>
        <v>4</v>
      </c>
      <c r="AA53" s="302">
        <f t="shared" si="20"/>
        <v>3</v>
      </c>
      <c r="AB53" s="302">
        <f t="shared" si="20"/>
        <v>3</v>
      </c>
      <c r="AC53" s="302">
        <f t="shared" si="20"/>
        <v>4</v>
      </c>
      <c r="AD53" s="302">
        <f t="shared" si="20"/>
        <v>3</v>
      </c>
      <c r="AE53" s="302">
        <f t="shared" si="20"/>
        <v>3</v>
      </c>
      <c r="AF53" s="302">
        <f t="shared" si="20"/>
        <v>3</v>
      </c>
      <c r="AG53" s="302">
        <f t="shared" si="20"/>
        <v>4</v>
      </c>
      <c r="AH53" s="302"/>
      <c r="AI53" s="302"/>
      <c r="AJ53" s="302"/>
      <c r="AK53" s="302"/>
      <c r="AL53" s="302">
        <f t="shared" si="18"/>
        <v>91</v>
      </c>
      <c r="AM53" s="180"/>
    </row>
    <row r="54" ht="14.25" customHeight="1">
      <c r="A54" s="146" t="s">
        <v>163</v>
      </c>
      <c r="B54" s="147"/>
      <c r="C54" s="147"/>
      <c r="D54" s="147"/>
      <c r="E54" s="147"/>
      <c r="F54" s="148"/>
      <c r="G54" s="144">
        <f t="shared" ref="G54:AG54" si="21">SUM(G50:G53)</f>
        <v>36</v>
      </c>
      <c r="H54" s="144">
        <f t="shared" si="21"/>
        <v>40</v>
      </c>
      <c r="I54" s="144">
        <f t="shared" si="21"/>
        <v>43</v>
      </c>
      <c r="J54" s="144">
        <f t="shared" si="21"/>
        <v>43</v>
      </c>
      <c r="K54" s="144">
        <f t="shared" si="21"/>
        <v>36</v>
      </c>
      <c r="L54" s="144">
        <f t="shared" si="21"/>
        <v>31</v>
      </c>
      <c r="M54" s="144">
        <f t="shared" si="21"/>
        <v>31</v>
      </c>
      <c r="N54" s="144">
        <f t="shared" si="21"/>
        <v>32</v>
      </c>
      <c r="O54" s="144">
        <f t="shared" si="21"/>
        <v>32</v>
      </c>
      <c r="P54" s="144">
        <f t="shared" si="21"/>
        <v>32</v>
      </c>
      <c r="Q54" s="144">
        <f t="shared" si="21"/>
        <v>33</v>
      </c>
      <c r="R54" s="144">
        <f t="shared" si="21"/>
        <v>29</v>
      </c>
      <c r="S54" s="144">
        <f t="shared" si="21"/>
        <v>28</v>
      </c>
      <c r="T54" s="144">
        <f t="shared" si="21"/>
        <v>28</v>
      </c>
      <c r="U54" s="144">
        <f t="shared" si="21"/>
        <v>25</v>
      </c>
      <c r="V54" s="144">
        <f t="shared" si="21"/>
        <v>35</v>
      </c>
      <c r="W54" s="144">
        <f t="shared" si="21"/>
        <v>33</v>
      </c>
      <c r="X54" s="144">
        <f t="shared" si="21"/>
        <v>35</v>
      </c>
      <c r="Y54" s="144">
        <f t="shared" si="21"/>
        <v>32</v>
      </c>
      <c r="Z54" s="144">
        <f t="shared" si="21"/>
        <v>29</v>
      </c>
      <c r="AA54" s="144">
        <f t="shared" si="21"/>
        <v>25</v>
      </c>
      <c r="AB54" s="144">
        <f t="shared" si="21"/>
        <v>32</v>
      </c>
      <c r="AC54" s="144">
        <f t="shared" si="21"/>
        <v>33</v>
      </c>
      <c r="AD54" s="144">
        <f t="shared" si="21"/>
        <v>34</v>
      </c>
      <c r="AE54" s="144">
        <f t="shared" si="21"/>
        <v>28</v>
      </c>
      <c r="AF54" s="144">
        <f t="shared" si="21"/>
        <v>34</v>
      </c>
      <c r="AG54" s="144">
        <f t="shared" si="21"/>
        <v>34</v>
      </c>
      <c r="AH54" s="144"/>
      <c r="AI54" s="144"/>
      <c r="AJ54" s="144"/>
      <c r="AK54" s="144"/>
      <c r="AL54" s="144">
        <f>SUM(AL50:AL53)</f>
        <v>883</v>
      </c>
      <c r="AM54" s="181"/>
    </row>
    <row r="55" ht="14.25" customHeight="1">
      <c r="A55" s="2"/>
      <c r="B55" s="182" t="s">
        <v>164</v>
      </c>
      <c r="C55" s="182"/>
      <c r="D55" s="182"/>
      <c r="E55" s="18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5"/>
      <c r="V55" s="4"/>
      <c r="W55" s="4"/>
      <c r="X55" s="4"/>
      <c r="Y55" s="4"/>
      <c r="Z55" s="5"/>
      <c r="AA55" s="5"/>
      <c r="AB55" s="5"/>
      <c r="AC55" s="4"/>
      <c r="AD55" s="4"/>
      <c r="AE55" s="4"/>
      <c r="AF55" s="4"/>
      <c r="AG55" s="5"/>
      <c r="AH55" s="5"/>
      <c r="AI55" s="5"/>
      <c r="AJ55" s="5"/>
      <c r="AK55" s="5"/>
      <c r="AL55" s="2"/>
      <c r="AM55" s="183"/>
    </row>
    <row r="56" ht="14.25" customHeight="1">
      <c r="A56" s="2"/>
      <c r="B56" s="182" t="s">
        <v>165</v>
      </c>
      <c r="C56" s="2"/>
      <c r="D56" s="2"/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11"/>
      <c r="AM56" s="2"/>
    </row>
    <row r="57" ht="14.25" customHeight="1">
      <c r="A57" s="2"/>
      <c r="B57" s="182" t="s">
        <v>166</v>
      </c>
      <c r="C57" s="184"/>
      <c r="D57" s="184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11"/>
      <c r="AM57" s="2"/>
    </row>
    <row r="58" ht="14.25" customHeight="1">
      <c r="A58" s="2"/>
      <c r="B58" s="182"/>
      <c r="C58" s="184"/>
      <c r="D58" s="184"/>
      <c r="E58" s="4" t="s">
        <v>167</v>
      </c>
      <c r="G58" s="463"/>
      <c r="H58" s="463"/>
      <c r="I58" s="5"/>
      <c r="J58" s="5"/>
      <c r="K58" s="5"/>
      <c r="L58" s="5"/>
      <c r="M58" s="5"/>
      <c r="N58" s="5"/>
      <c r="O58" s="5"/>
      <c r="P58" s="5" t="s">
        <v>168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11"/>
      <c r="AM58" s="2"/>
    </row>
    <row r="59" ht="14.25" customHeight="1">
      <c r="A59" s="2"/>
      <c r="B59" s="3"/>
      <c r="C59" s="2"/>
      <c r="D59" s="2"/>
      <c r="E59" s="2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11"/>
      <c r="AM59" s="11"/>
    </row>
    <row r="60" ht="14.25" customHeight="1">
      <c r="A60" s="2"/>
      <c r="B60" s="3"/>
      <c r="C60" s="2"/>
      <c r="D60" s="2"/>
      <c r="E60" s="4" t="s">
        <v>169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 t="s">
        <v>170</v>
      </c>
      <c r="T60" s="5"/>
      <c r="U60" s="5"/>
      <c r="V60" s="5" t="s">
        <v>171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1"/>
      <c r="AM60" s="11"/>
    </row>
    <row r="61" ht="14.25" customHeight="1">
      <c r="A61" s="2"/>
      <c r="B61" s="3"/>
      <c r="C61" s="2"/>
      <c r="D61" s="2"/>
      <c r="E61" s="2"/>
      <c r="F61" s="18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4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11"/>
      <c r="AM61" s="11"/>
    </row>
    <row r="62" ht="30.75" customHeight="1">
      <c r="A62" s="2"/>
      <c r="B62" s="3"/>
      <c r="C62" s="2"/>
      <c r="D62" s="2"/>
      <c r="E62" s="185" t="s">
        <v>172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 t="s">
        <v>170</v>
      </c>
      <c r="T62" s="5"/>
      <c r="U62" s="5"/>
      <c r="V62" s="5" t="s">
        <v>171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11"/>
      <c r="AM62" s="11"/>
    </row>
    <row r="63" ht="14.25" customHeight="1">
      <c r="A63" s="11"/>
      <c r="B63" s="3"/>
      <c r="C63" s="2"/>
      <c r="D63" s="186"/>
      <c r="E63" s="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11"/>
      <c r="AM63" s="11"/>
    </row>
    <row r="64" ht="14.25" customHeight="1">
      <c r="F64" s="187"/>
    </row>
    <row r="65" ht="14.25" customHeight="1">
      <c r="F65" s="187"/>
    </row>
    <row r="66" ht="14.25" customHeight="1">
      <c r="F66" s="187"/>
    </row>
    <row r="67" ht="14.25" customHeight="1">
      <c r="F67" s="187"/>
    </row>
    <row r="68" ht="15.7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L6:AL7"/>
    <mergeCell ref="AM6:AM7"/>
    <mergeCell ref="B46:F46"/>
    <mergeCell ref="B47:F47"/>
    <mergeCell ref="B48:F48"/>
    <mergeCell ref="A54:F54"/>
    <mergeCell ref="E58:F58"/>
    <mergeCell ref="P58:W58"/>
    <mergeCell ref="E60:F60"/>
    <mergeCell ref="E62:F62"/>
    <mergeCell ref="F6:F7"/>
    <mergeCell ref="F22:F28"/>
    <mergeCell ref="A35:A36"/>
    <mergeCell ref="B35:B36"/>
    <mergeCell ref="C35:C36"/>
    <mergeCell ref="D35:D36"/>
    <mergeCell ref="F35:F3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29"/>
    <col customWidth="1" min="3" max="3" width="9.71"/>
    <col customWidth="1" min="4" max="4" width="30.43"/>
    <col customWidth="1" min="5" max="5" width="26.71"/>
    <col customWidth="1" min="6" max="6" width="7.43"/>
    <col customWidth="1" min="7" max="7" width="4.71"/>
    <col customWidth="1" min="8" max="8" width="4.57"/>
    <col customWidth="1" min="9" max="9" width="5.14"/>
    <col customWidth="1" min="10" max="10" width="4.71"/>
    <col customWidth="1" min="11" max="11" width="4.43"/>
    <col customWidth="1" min="12" max="12" width="4.71"/>
    <col customWidth="1" min="13" max="15" width="5.29"/>
    <col customWidth="1" min="16" max="16" width="5.86"/>
    <col customWidth="1" min="17" max="17" width="5.29"/>
    <col customWidth="1" min="18" max="18" width="4.57"/>
    <col customWidth="1" min="19" max="19" width="5.29"/>
    <col customWidth="1" min="20" max="20" width="5.0"/>
    <col customWidth="1" min="21" max="21" width="5.29"/>
    <col customWidth="1" min="22" max="22" width="5.0"/>
    <col customWidth="1" min="23" max="23" width="5.29"/>
    <col customWidth="1" min="24" max="25" width="4.57"/>
    <col customWidth="1" min="26" max="26" width="4.71"/>
    <col customWidth="1" min="27" max="27" width="5.0"/>
    <col customWidth="1" min="28" max="28" width="4.86"/>
    <col customWidth="1" min="29" max="29" width="5.0"/>
    <col customWidth="1" min="30" max="30" width="5.29"/>
    <col customWidth="1" min="31" max="31" width="4.57"/>
    <col customWidth="1" min="32" max="32" width="4.71"/>
    <col customWidth="1" min="33" max="36" width="4.57"/>
    <col customWidth="1" min="37" max="37" width="9.0"/>
    <col customWidth="1" min="38" max="38" width="17.43"/>
    <col customWidth="1" min="39" max="39" width="17.57"/>
  </cols>
  <sheetData>
    <row r="1" ht="14.25" customHeight="1">
      <c r="A1" s="2"/>
      <c r="B1" s="3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7" t="s">
        <v>0</v>
      </c>
    </row>
    <row r="2" ht="14.25" customHeight="1">
      <c r="A2" s="2"/>
      <c r="B2" s="3"/>
      <c r="C2" s="2"/>
      <c r="D2" s="2"/>
      <c r="E2" s="2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 t="s">
        <v>1</v>
      </c>
    </row>
    <row r="3" ht="14.25" customHeight="1">
      <c r="A3" s="2"/>
      <c r="B3" s="3"/>
      <c r="C3" s="2"/>
      <c r="D3" s="2"/>
      <c r="E3" s="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 t="s">
        <v>2</v>
      </c>
    </row>
    <row r="4" ht="14.25" customHeight="1">
      <c r="A4" s="2"/>
      <c r="B4" s="3"/>
      <c r="C4" s="2"/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7" t="s">
        <v>3</v>
      </c>
    </row>
    <row r="5" ht="14.25" customHeight="1">
      <c r="A5" s="8" t="s">
        <v>287</v>
      </c>
      <c r="B5" s="9"/>
      <c r="C5" s="9"/>
      <c r="D5" s="9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0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11"/>
    </row>
    <row r="6" ht="14.25" customHeight="1">
      <c r="A6" s="12" t="s">
        <v>6</v>
      </c>
      <c r="B6" s="13" t="s">
        <v>8</v>
      </c>
      <c r="C6" s="13" t="s">
        <v>9</v>
      </c>
      <c r="D6" s="14" t="s">
        <v>10</v>
      </c>
      <c r="E6" s="13" t="s">
        <v>11</v>
      </c>
      <c r="F6" s="13"/>
      <c r="G6" s="15">
        <v>1.0</v>
      </c>
      <c r="H6" s="15">
        <v>2.0</v>
      </c>
      <c r="I6" s="15">
        <f t="shared" ref="I6:AC6" si="1">H6+1</f>
        <v>3</v>
      </c>
      <c r="J6" s="15">
        <f t="shared" si="1"/>
        <v>4</v>
      </c>
      <c r="K6" s="15">
        <f t="shared" si="1"/>
        <v>5</v>
      </c>
      <c r="L6" s="15">
        <f t="shared" si="1"/>
        <v>6</v>
      </c>
      <c r="M6" s="15">
        <f t="shared" si="1"/>
        <v>7</v>
      </c>
      <c r="N6" s="15">
        <f t="shared" si="1"/>
        <v>8</v>
      </c>
      <c r="O6" s="15">
        <f t="shared" si="1"/>
        <v>9</v>
      </c>
      <c r="P6" s="15">
        <f t="shared" si="1"/>
        <v>10</v>
      </c>
      <c r="Q6" s="15">
        <f t="shared" si="1"/>
        <v>11</v>
      </c>
      <c r="R6" s="15">
        <f t="shared" si="1"/>
        <v>12</v>
      </c>
      <c r="S6" s="15">
        <f t="shared" si="1"/>
        <v>13</v>
      </c>
      <c r="T6" s="15">
        <f t="shared" si="1"/>
        <v>14</v>
      </c>
      <c r="U6" s="15">
        <f t="shared" si="1"/>
        <v>15</v>
      </c>
      <c r="V6" s="15">
        <f t="shared" si="1"/>
        <v>16</v>
      </c>
      <c r="W6" s="15">
        <f t="shared" si="1"/>
        <v>17</v>
      </c>
      <c r="X6" s="15">
        <f t="shared" si="1"/>
        <v>18</v>
      </c>
      <c r="Y6" s="15">
        <f t="shared" si="1"/>
        <v>19</v>
      </c>
      <c r="Z6" s="15">
        <f t="shared" si="1"/>
        <v>20</v>
      </c>
      <c r="AA6" s="15">
        <f t="shared" si="1"/>
        <v>21</v>
      </c>
      <c r="AB6" s="15">
        <f t="shared" si="1"/>
        <v>22</v>
      </c>
      <c r="AC6" s="15">
        <f t="shared" si="1"/>
        <v>23</v>
      </c>
      <c r="AD6" s="15">
        <v>24.0</v>
      </c>
      <c r="AE6" s="15">
        <v>25.0</v>
      </c>
      <c r="AF6" s="15">
        <v>26.0</v>
      </c>
      <c r="AG6" s="15">
        <v>27.0</v>
      </c>
      <c r="AH6" s="15">
        <v>28.0</v>
      </c>
      <c r="AI6" s="15">
        <v>29.0</v>
      </c>
      <c r="AJ6" s="15">
        <v>30.0</v>
      </c>
      <c r="AK6" s="13" t="s">
        <v>14</v>
      </c>
      <c r="AL6" s="447" t="s">
        <v>15</v>
      </c>
    </row>
    <row r="7" ht="14.25" customHeight="1">
      <c r="A7" s="16"/>
      <c r="B7" s="17"/>
      <c r="C7" s="17"/>
      <c r="D7" s="17"/>
      <c r="E7" s="17"/>
      <c r="F7" s="17"/>
      <c r="G7" s="446" t="s">
        <v>249</v>
      </c>
      <c r="H7" s="446" t="s">
        <v>250</v>
      </c>
      <c r="I7" s="446" t="s">
        <v>251</v>
      </c>
      <c r="J7" s="446" t="s">
        <v>252</v>
      </c>
      <c r="K7" s="446" t="s">
        <v>253</v>
      </c>
      <c r="L7" s="446" t="s">
        <v>247</v>
      </c>
      <c r="M7" s="446" t="s">
        <v>248</v>
      </c>
      <c r="N7" s="446" t="s">
        <v>249</v>
      </c>
      <c r="O7" s="446" t="s">
        <v>250</v>
      </c>
      <c r="P7" s="446" t="s">
        <v>251</v>
      </c>
      <c r="Q7" s="446" t="s">
        <v>252</v>
      </c>
      <c r="R7" s="446" t="s">
        <v>253</v>
      </c>
      <c r="S7" s="446" t="s">
        <v>247</v>
      </c>
      <c r="T7" s="446" t="s">
        <v>248</v>
      </c>
      <c r="U7" s="446" t="s">
        <v>249</v>
      </c>
      <c r="V7" s="446" t="s">
        <v>250</v>
      </c>
      <c r="W7" s="446" t="s">
        <v>251</v>
      </c>
      <c r="X7" s="446" t="s">
        <v>252</v>
      </c>
      <c r="Y7" s="446" t="s">
        <v>253</v>
      </c>
      <c r="Z7" s="446" t="s">
        <v>247</v>
      </c>
      <c r="AA7" s="446" t="s">
        <v>248</v>
      </c>
      <c r="AB7" s="446" t="s">
        <v>249</v>
      </c>
      <c r="AC7" s="446" t="s">
        <v>250</v>
      </c>
      <c r="AD7" s="446" t="s">
        <v>251</v>
      </c>
      <c r="AE7" s="446" t="s">
        <v>252</v>
      </c>
      <c r="AF7" s="446" t="s">
        <v>253</v>
      </c>
      <c r="AG7" s="446" t="s">
        <v>247</v>
      </c>
      <c r="AH7" s="446" t="s">
        <v>248</v>
      </c>
      <c r="AI7" s="446" t="s">
        <v>249</v>
      </c>
      <c r="AJ7" s="446" t="s">
        <v>250</v>
      </c>
      <c r="AK7" s="17"/>
      <c r="AL7" s="449"/>
    </row>
    <row r="8" ht="14.25" customHeight="1">
      <c r="A8" s="19"/>
      <c r="B8" s="20" t="s">
        <v>23</v>
      </c>
      <c r="C8" s="21"/>
      <c r="D8" s="20" t="s">
        <v>23</v>
      </c>
      <c r="E8" s="21"/>
      <c r="F8" s="2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2"/>
      <c r="AL8" s="23"/>
    </row>
    <row r="9" ht="14.25" customHeight="1">
      <c r="A9" s="260">
        <v>1.0</v>
      </c>
      <c r="B9" s="25" t="s">
        <v>1</v>
      </c>
      <c r="C9" s="461">
        <v>1.0</v>
      </c>
      <c r="D9" s="25" t="s">
        <v>24</v>
      </c>
      <c r="E9" s="27" t="s">
        <v>25</v>
      </c>
      <c r="F9" s="28" t="s">
        <v>26</v>
      </c>
      <c r="G9" s="210" t="s">
        <v>205</v>
      </c>
      <c r="H9" s="210"/>
      <c r="I9" s="209" t="s">
        <v>205</v>
      </c>
      <c r="J9" s="209" t="s">
        <v>205</v>
      </c>
      <c r="K9" s="209" t="s">
        <v>205</v>
      </c>
      <c r="L9" s="209" t="s">
        <v>205</v>
      </c>
      <c r="M9" s="209" t="s">
        <v>205</v>
      </c>
      <c r="N9" s="210" t="s">
        <v>205</v>
      </c>
      <c r="O9" s="210"/>
      <c r="P9" s="209" t="s">
        <v>205</v>
      </c>
      <c r="Q9" s="209" t="s">
        <v>205</v>
      </c>
      <c r="R9" s="209" t="s">
        <v>205</v>
      </c>
      <c r="S9" s="209" t="s">
        <v>205</v>
      </c>
      <c r="T9" s="209" t="s">
        <v>205</v>
      </c>
      <c r="U9" s="210" t="s">
        <v>205</v>
      </c>
      <c r="V9" s="210"/>
      <c r="W9" s="209" t="s">
        <v>205</v>
      </c>
      <c r="X9" s="209" t="s">
        <v>205</v>
      </c>
      <c r="Y9" s="209" t="s">
        <v>205</v>
      </c>
      <c r="Z9" s="209" t="s">
        <v>205</v>
      </c>
      <c r="AA9" s="209" t="s">
        <v>205</v>
      </c>
      <c r="AB9" s="210" t="s">
        <v>205</v>
      </c>
      <c r="AC9" s="210"/>
      <c r="AD9" s="209" t="s">
        <v>205</v>
      </c>
      <c r="AE9" s="209" t="s">
        <v>205</v>
      </c>
      <c r="AF9" s="209" t="s">
        <v>205</v>
      </c>
      <c r="AG9" s="24">
        <v>12.0</v>
      </c>
      <c r="AH9" s="24">
        <v>12.0</v>
      </c>
      <c r="AI9" s="110">
        <v>12.0</v>
      </c>
      <c r="AJ9" s="110"/>
      <c r="AK9" s="211">
        <f>COUNTA(G9:AG9)</f>
        <v>23</v>
      </c>
      <c r="AL9" s="57">
        <v>312.0</v>
      </c>
    </row>
    <row r="10" ht="14.25" customHeight="1">
      <c r="A10" s="34">
        <v>2.0</v>
      </c>
      <c r="B10" s="35" t="s">
        <v>27</v>
      </c>
      <c r="C10" s="27">
        <v>1.0</v>
      </c>
      <c r="D10" s="36" t="s">
        <v>28</v>
      </c>
      <c r="E10" s="27" t="s">
        <v>29</v>
      </c>
      <c r="F10" s="28" t="s">
        <v>30</v>
      </c>
      <c r="G10" s="110"/>
      <c r="H10" s="110"/>
      <c r="I10" s="24">
        <v>12.0</v>
      </c>
      <c r="J10" s="24">
        <v>12.0</v>
      </c>
      <c r="K10" s="24">
        <v>12.0</v>
      </c>
      <c r="L10" s="24">
        <v>12.0</v>
      </c>
      <c r="M10" s="24">
        <v>12.0</v>
      </c>
      <c r="N10" s="110"/>
      <c r="O10" s="110"/>
      <c r="P10" s="24">
        <v>12.0</v>
      </c>
      <c r="Q10" s="24">
        <v>12.0</v>
      </c>
      <c r="R10" s="24">
        <v>12.0</v>
      </c>
      <c r="S10" s="24">
        <v>12.0</v>
      </c>
      <c r="T10" s="24">
        <v>12.0</v>
      </c>
      <c r="U10" s="110"/>
      <c r="V10" s="110"/>
      <c r="W10" s="24">
        <v>12.0</v>
      </c>
      <c r="X10" s="24">
        <v>12.0</v>
      </c>
      <c r="Y10" s="24">
        <v>12.0</v>
      </c>
      <c r="Z10" s="24">
        <v>12.0</v>
      </c>
      <c r="AA10" s="24">
        <v>12.0</v>
      </c>
      <c r="AB10" s="110"/>
      <c r="AC10" s="110"/>
      <c r="AD10" s="24">
        <v>12.0</v>
      </c>
      <c r="AE10" s="24">
        <v>12.0</v>
      </c>
      <c r="AF10" s="24">
        <v>12.0</v>
      </c>
      <c r="AG10" s="24">
        <v>12.0</v>
      </c>
      <c r="AH10" s="24">
        <v>12.0</v>
      </c>
      <c r="AI10" s="110"/>
      <c r="AJ10" s="110"/>
      <c r="AK10" s="211">
        <f t="shared" ref="AK10:AK12" si="2">COUNTA(G10:AH10)</f>
        <v>20</v>
      </c>
      <c r="AL10" s="57">
        <f t="shared" ref="AL10:AL11" si="3">SUM(G10:AH10)</f>
        <v>240</v>
      </c>
    </row>
    <row r="11" ht="14.25" customHeight="1">
      <c r="A11" s="34">
        <v>5.0</v>
      </c>
      <c r="B11" s="35" t="s">
        <v>31</v>
      </c>
      <c r="C11" s="27">
        <v>1.0</v>
      </c>
      <c r="D11" s="36" t="s">
        <v>32</v>
      </c>
      <c r="E11" s="26" t="s">
        <v>33</v>
      </c>
      <c r="F11" s="28" t="s">
        <v>30</v>
      </c>
      <c r="G11" s="110"/>
      <c r="H11" s="110"/>
      <c r="I11" s="24">
        <v>9.0</v>
      </c>
      <c r="J11" s="24">
        <v>9.0</v>
      </c>
      <c r="K11" s="24">
        <v>9.0</v>
      </c>
      <c r="L11" s="24">
        <v>9.0</v>
      </c>
      <c r="M11" s="24">
        <v>9.0</v>
      </c>
      <c r="N11" s="110"/>
      <c r="O11" s="110"/>
      <c r="P11" s="24">
        <v>9.0</v>
      </c>
      <c r="Q11" s="24">
        <v>9.0</v>
      </c>
      <c r="R11" s="24">
        <v>9.0</v>
      </c>
      <c r="S11" s="24">
        <v>9.0</v>
      </c>
      <c r="T11" s="24">
        <v>9.0</v>
      </c>
      <c r="U11" s="110"/>
      <c r="V11" s="110"/>
      <c r="W11" s="24">
        <v>9.0</v>
      </c>
      <c r="X11" s="24">
        <v>9.0</v>
      </c>
      <c r="Y11" s="24">
        <v>9.0</v>
      </c>
      <c r="Z11" s="24">
        <v>9.0</v>
      </c>
      <c r="AA11" s="24">
        <v>9.0</v>
      </c>
      <c r="AB11" s="110"/>
      <c r="AC11" s="110"/>
      <c r="AD11" s="24">
        <v>9.0</v>
      </c>
      <c r="AE11" s="24">
        <v>9.0</v>
      </c>
      <c r="AF11" s="24">
        <v>9.0</v>
      </c>
      <c r="AG11" s="24">
        <v>9.0</v>
      </c>
      <c r="AH11" s="24">
        <v>9.0</v>
      </c>
      <c r="AI11" s="110"/>
      <c r="AJ11" s="110"/>
      <c r="AK11" s="211">
        <f t="shared" si="2"/>
        <v>20</v>
      </c>
      <c r="AL11" s="57">
        <f t="shared" si="3"/>
        <v>180</v>
      </c>
    </row>
    <row r="12" ht="14.25" customHeight="1">
      <c r="A12" s="34">
        <v>6.0</v>
      </c>
      <c r="B12" s="35" t="s">
        <v>34</v>
      </c>
      <c r="C12" s="27">
        <v>1.0</v>
      </c>
      <c r="D12" s="36" t="s">
        <v>35</v>
      </c>
      <c r="E12" s="27" t="s">
        <v>33</v>
      </c>
      <c r="F12" s="28" t="s">
        <v>289</v>
      </c>
      <c r="G12" s="110"/>
      <c r="H12" s="110"/>
      <c r="I12" s="24">
        <v>9.0</v>
      </c>
      <c r="J12" s="24">
        <v>9.0</v>
      </c>
      <c r="K12" s="24">
        <v>9.0</v>
      </c>
      <c r="L12" s="24">
        <v>9.0</v>
      </c>
      <c r="M12" s="24">
        <v>9.0</v>
      </c>
      <c r="N12" s="110"/>
      <c r="O12" s="110"/>
      <c r="P12" s="24">
        <v>9.0</v>
      </c>
      <c r="Q12" s="24">
        <v>9.0</v>
      </c>
      <c r="R12" s="24">
        <v>9.0</v>
      </c>
      <c r="S12" s="24">
        <v>9.0</v>
      </c>
      <c r="T12" s="24">
        <v>9.0</v>
      </c>
      <c r="U12" s="110"/>
      <c r="V12" s="110"/>
      <c r="W12" s="24">
        <v>9.0</v>
      </c>
      <c r="X12" s="24">
        <v>9.0</v>
      </c>
      <c r="Y12" s="24">
        <v>9.0</v>
      </c>
      <c r="Z12" s="24">
        <v>9.0</v>
      </c>
      <c r="AA12" s="24">
        <v>9.0</v>
      </c>
      <c r="AB12" s="110"/>
      <c r="AC12" s="110"/>
      <c r="AD12" s="24">
        <v>9.0</v>
      </c>
      <c r="AE12" s="24">
        <v>9.0</v>
      </c>
      <c r="AF12" s="24">
        <v>9.0</v>
      </c>
      <c r="AG12" s="24">
        <v>9.0</v>
      </c>
      <c r="AH12" s="24">
        <v>9.0</v>
      </c>
      <c r="AI12" s="110"/>
      <c r="AJ12" s="110"/>
      <c r="AK12" s="211">
        <f t="shared" si="2"/>
        <v>20</v>
      </c>
      <c r="AL12" s="57">
        <v>180.0</v>
      </c>
    </row>
    <row r="13" ht="14.25" customHeight="1">
      <c r="A13" s="34">
        <v>7.0</v>
      </c>
      <c r="B13" s="35" t="s">
        <v>36</v>
      </c>
      <c r="C13" s="27">
        <v>1.0</v>
      </c>
      <c r="D13" s="36" t="s">
        <v>290</v>
      </c>
      <c r="E13" s="27" t="s">
        <v>33</v>
      </c>
      <c r="F13" s="28"/>
      <c r="G13" s="110"/>
      <c r="H13" s="110"/>
      <c r="I13" s="24">
        <v>9.0</v>
      </c>
      <c r="J13" s="24">
        <v>9.0</v>
      </c>
      <c r="K13" s="24">
        <v>9.0</v>
      </c>
      <c r="L13" s="24">
        <v>9.0</v>
      </c>
      <c r="M13" s="24">
        <v>9.0</v>
      </c>
      <c r="N13" s="110"/>
      <c r="O13" s="110"/>
      <c r="P13" s="24">
        <v>9.0</v>
      </c>
      <c r="Q13" s="24">
        <v>9.0</v>
      </c>
      <c r="R13" s="24">
        <v>9.0</v>
      </c>
      <c r="S13" s="24">
        <v>9.0</v>
      </c>
      <c r="T13" s="24">
        <v>9.0</v>
      </c>
      <c r="U13" s="110"/>
      <c r="V13" s="110"/>
      <c r="W13" s="24">
        <v>9.0</v>
      </c>
      <c r="X13" s="24">
        <v>9.0</v>
      </c>
      <c r="Y13" s="24">
        <v>9.0</v>
      </c>
      <c r="Z13" s="24">
        <v>9.0</v>
      </c>
      <c r="AA13" s="24">
        <v>9.0</v>
      </c>
      <c r="AB13" s="110"/>
      <c r="AC13" s="110"/>
      <c r="AD13" s="24">
        <v>9.0</v>
      </c>
      <c r="AE13" s="24">
        <v>9.0</v>
      </c>
      <c r="AF13" s="24">
        <v>9.0</v>
      </c>
      <c r="AG13" s="24">
        <v>9.0</v>
      </c>
      <c r="AH13" s="24">
        <v>9.0</v>
      </c>
      <c r="AI13" s="110"/>
      <c r="AJ13" s="110"/>
      <c r="AK13" s="211">
        <v>20.0</v>
      </c>
      <c r="AL13" s="57">
        <v>180.0</v>
      </c>
    </row>
    <row r="14" ht="14.25" customHeight="1">
      <c r="A14" s="34">
        <v>8.0</v>
      </c>
      <c r="B14" s="25" t="s">
        <v>38</v>
      </c>
      <c r="C14" s="27">
        <v>1.0</v>
      </c>
      <c r="D14" s="37" t="s">
        <v>185</v>
      </c>
      <c r="E14" s="27" t="s">
        <v>40</v>
      </c>
      <c r="F14" s="28" t="s">
        <v>30</v>
      </c>
      <c r="G14" s="110"/>
      <c r="H14" s="110"/>
      <c r="I14" s="24"/>
      <c r="J14" s="117"/>
      <c r="K14" s="117"/>
      <c r="L14" s="24"/>
      <c r="M14" s="24"/>
      <c r="N14" s="110"/>
      <c r="O14" s="110"/>
      <c r="P14" s="24"/>
      <c r="Q14" s="24"/>
      <c r="R14" s="24"/>
      <c r="S14" s="24"/>
      <c r="T14" s="24"/>
      <c r="U14" s="110"/>
      <c r="V14" s="110"/>
      <c r="W14" s="24"/>
      <c r="X14" s="24"/>
      <c r="Y14" s="24"/>
      <c r="Z14" s="24"/>
      <c r="AA14" s="24"/>
      <c r="AB14" s="110"/>
      <c r="AC14" s="110"/>
      <c r="AD14" s="24"/>
      <c r="AE14" s="24"/>
      <c r="AF14" s="24"/>
      <c r="AG14" s="24"/>
      <c r="AH14" s="24"/>
      <c r="AI14" s="110"/>
      <c r="AJ14" s="110"/>
      <c r="AK14" s="211">
        <f>COUNTA(G14:AJ14)</f>
        <v>0</v>
      </c>
      <c r="AL14" s="57">
        <f>SUM(G14:AJ14)</f>
        <v>0</v>
      </c>
    </row>
    <row r="15" ht="14.25" customHeight="1">
      <c r="A15" s="19"/>
      <c r="B15" s="20" t="s">
        <v>41</v>
      </c>
      <c r="C15" s="21"/>
      <c r="D15" s="20" t="s">
        <v>41</v>
      </c>
      <c r="E15" s="21"/>
      <c r="F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"/>
      <c r="AL15" s="45"/>
    </row>
    <row r="16" ht="14.25" customHeight="1">
      <c r="A16" s="24">
        <v>9.0</v>
      </c>
      <c r="B16" s="25" t="s">
        <v>181</v>
      </c>
      <c r="C16" s="461">
        <v>1.0</v>
      </c>
      <c r="D16" s="25" t="s">
        <v>280</v>
      </c>
      <c r="E16" s="26" t="s">
        <v>40</v>
      </c>
      <c r="F16" s="47" t="s">
        <v>46</v>
      </c>
      <c r="G16" s="213">
        <v>12.0</v>
      </c>
      <c r="H16" s="213">
        <v>12.0</v>
      </c>
      <c r="I16" s="26">
        <v>12.0</v>
      </c>
      <c r="J16" s="26"/>
      <c r="K16" s="26"/>
      <c r="L16" s="26"/>
      <c r="M16" s="26"/>
      <c r="N16" s="213"/>
      <c r="O16" s="213"/>
      <c r="P16" s="26"/>
      <c r="Q16" s="26"/>
      <c r="R16" s="26"/>
      <c r="S16" s="26"/>
      <c r="T16" s="26"/>
      <c r="U16" s="213"/>
      <c r="V16" s="213"/>
      <c r="W16" s="26"/>
      <c r="X16" s="26"/>
      <c r="Y16" s="26"/>
      <c r="Z16" s="26"/>
      <c r="AA16" s="26"/>
      <c r="AB16" s="213"/>
      <c r="AC16" s="213"/>
      <c r="AD16" s="26"/>
      <c r="AE16" s="26"/>
      <c r="AF16" s="26"/>
      <c r="AG16" s="215"/>
      <c r="AH16" s="215"/>
      <c r="AI16" s="214"/>
      <c r="AJ16" s="214"/>
      <c r="AK16" s="211">
        <v>26.0</v>
      </c>
      <c r="AL16" s="451">
        <v>312.0</v>
      </c>
      <c r="AM16" s="73" t="s">
        <v>207</v>
      </c>
    </row>
    <row r="17" ht="14.25" customHeight="1">
      <c r="A17" s="34">
        <v>10.0</v>
      </c>
      <c r="B17" s="35" t="s">
        <v>49</v>
      </c>
      <c r="C17" s="27">
        <v>1.0</v>
      </c>
      <c r="D17" s="67" t="s">
        <v>291</v>
      </c>
      <c r="E17" s="27" t="s">
        <v>51</v>
      </c>
      <c r="F17" s="47" t="s">
        <v>46</v>
      </c>
      <c r="G17" s="110"/>
      <c r="H17" s="110">
        <v>24.0</v>
      </c>
      <c r="I17" s="24"/>
      <c r="J17" s="24"/>
      <c r="K17" s="24"/>
      <c r="L17" s="24"/>
      <c r="M17" s="24"/>
      <c r="N17" s="110"/>
      <c r="O17" s="110"/>
      <c r="P17" s="24"/>
      <c r="Q17" s="24"/>
      <c r="R17" s="24"/>
      <c r="S17" s="24"/>
      <c r="T17" s="24"/>
      <c r="U17" s="110"/>
      <c r="V17" s="110"/>
      <c r="W17" s="24"/>
      <c r="X17" s="24"/>
      <c r="Y17" s="24"/>
      <c r="Z17" s="24"/>
      <c r="AA17" s="24"/>
      <c r="AB17" s="110"/>
      <c r="AC17" s="110"/>
      <c r="AD17" s="24"/>
      <c r="AE17" s="24"/>
      <c r="AF17" s="24"/>
      <c r="AG17" s="24"/>
      <c r="AH17" s="24"/>
      <c r="AI17" s="110"/>
      <c r="AJ17" s="110"/>
      <c r="AK17" s="211">
        <v>15.0</v>
      </c>
      <c r="AL17" s="452">
        <v>360.0</v>
      </c>
      <c r="AM17" s="73" t="s">
        <v>207</v>
      </c>
    </row>
    <row r="18" ht="14.25" customHeight="1">
      <c r="A18" s="34">
        <v>11.0</v>
      </c>
      <c r="B18" s="35" t="s">
        <v>49</v>
      </c>
      <c r="C18" s="27">
        <v>1.0</v>
      </c>
      <c r="D18" s="36" t="s">
        <v>54</v>
      </c>
      <c r="E18" s="27" t="s">
        <v>51</v>
      </c>
      <c r="F18" s="47" t="s">
        <v>46</v>
      </c>
      <c r="G18" s="110">
        <v>24.0</v>
      </c>
      <c r="H18" s="110"/>
      <c r="I18" s="24">
        <v>24.0</v>
      </c>
      <c r="J18" s="24"/>
      <c r="K18" s="24"/>
      <c r="L18" s="24"/>
      <c r="M18" s="24"/>
      <c r="N18" s="110"/>
      <c r="O18" s="110"/>
      <c r="P18" s="24"/>
      <c r="Q18" s="24"/>
      <c r="R18" s="24"/>
      <c r="S18" s="24"/>
      <c r="T18" s="24"/>
      <c r="U18" s="110"/>
      <c r="V18" s="110"/>
      <c r="W18" s="24"/>
      <c r="X18" s="24"/>
      <c r="Y18" s="24"/>
      <c r="Z18" s="24"/>
      <c r="AA18" s="24"/>
      <c r="AB18" s="110"/>
      <c r="AC18" s="110"/>
      <c r="AD18" s="24"/>
      <c r="AE18" s="24"/>
      <c r="AF18" s="24"/>
      <c r="AG18" s="24"/>
      <c r="AH18" s="24"/>
      <c r="AI18" s="110"/>
      <c r="AJ18" s="110"/>
      <c r="AK18" s="211">
        <v>16.0</v>
      </c>
      <c r="AL18" s="452">
        <v>360.0</v>
      </c>
      <c r="AM18" s="73" t="s">
        <v>207</v>
      </c>
    </row>
    <row r="19" ht="14.25" customHeight="1">
      <c r="A19" s="34">
        <v>12.0</v>
      </c>
      <c r="B19" s="35" t="s">
        <v>62</v>
      </c>
      <c r="C19" s="27">
        <v>1.0</v>
      </c>
      <c r="D19" s="462" t="s">
        <v>63</v>
      </c>
      <c r="E19" s="27" t="s">
        <v>292</v>
      </c>
      <c r="F19" s="47" t="s">
        <v>46</v>
      </c>
      <c r="G19" s="110"/>
      <c r="H19" s="110"/>
      <c r="I19" s="24"/>
      <c r="J19" s="24"/>
      <c r="K19" s="24"/>
      <c r="L19" s="24"/>
      <c r="M19" s="24"/>
      <c r="N19" s="110"/>
      <c r="O19" s="110"/>
      <c r="P19" s="24"/>
      <c r="Q19" s="24"/>
      <c r="R19" s="24"/>
      <c r="S19" s="24"/>
      <c r="T19" s="24"/>
      <c r="U19" s="110"/>
      <c r="V19" s="110"/>
      <c r="W19" s="24"/>
      <c r="X19" s="24"/>
      <c r="Y19" s="24"/>
      <c r="Z19" s="24"/>
      <c r="AA19" s="24"/>
      <c r="AB19" s="110"/>
      <c r="AC19" s="110"/>
      <c r="AD19" s="24"/>
      <c r="AE19" s="24"/>
      <c r="AF19" s="24"/>
      <c r="AG19" s="24"/>
      <c r="AH19" s="24"/>
      <c r="AI19" s="110"/>
      <c r="AJ19" s="110"/>
      <c r="AK19" s="211">
        <f t="shared" ref="AK19:AK21" si="4">COUNTA(G19:AJ19)</f>
        <v>0</v>
      </c>
      <c r="AL19" s="452">
        <f t="shared" ref="AL19:AL21" si="5">SUM(G19:AJ19)</f>
        <v>0</v>
      </c>
      <c r="AM19" s="73" t="s">
        <v>207</v>
      </c>
    </row>
    <row r="20" ht="14.25" customHeight="1">
      <c r="A20" s="34">
        <v>13.0</v>
      </c>
      <c r="B20" s="35" t="s">
        <v>67</v>
      </c>
      <c r="C20" s="27">
        <v>1.0</v>
      </c>
      <c r="D20" s="36" t="s">
        <v>243</v>
      </c>
      <c r="E20" s="27" t="s">
        <v>70</v>
      </c>
      <c r="F20" s="28" t="s">
        <v>30</v>
      </c>
      <c r="G20" s="110">
        <v>12.0</v>
      </c>
      <c r="H20" s="110">
        <v>12.0</v>
      </c>
      <c r="I20" s="24"/>
      <c r="J20" s="24"/>
      <c r="K20" s="24"/>
      <c r="L20" s="24"/>
      <c r="M20" s="24"/>
      <c r="N20" s="110"/>
      <c r="O20" s="110"/>
      <c r="P20" s="24"/>
      <c r="Q20" s="24"/>
      <c r="R20" s="24"/>
      <c r="S20" s="24"/>
      <c r="T20" s="24"/>
      <c r="U20" s="110"/>
      <c r="V20" s="110"/>
      <c r="W20" s="24"/>
      <c r="X20" s="24"/>
      <c r="Y20" s="24"/>
      <c r="Z20" s="24"/>
      <c r="AA20" s="24"/>
      <c r="AB20" s="110"/>
      <c r="AC20" s="110"/>
      <c r="AD20" s="24"/>
      <c r="AE20" s="24"/>
      <c r="AF20" s="24"/>
      <c r="AG20" s="24"/>
      <c r="AH20" s="24"/>
      <c r="AI20" s="110"/>
      <c r="AJ20" s="110"/>
      <c r="AK20" s="211">
        <f t="shared" si="4"/>
        <v>2</v>
      </c>
      <c r="AL20" s="452">
        <f t="shared" si="5"/>
        <v>24</v>
      </c>
      <c r="AM20" s="73" t="s">
        <v>207</v>
      </c>
    </row>
    <row r="21" ht="14.25" customHeight="1">
      <c r="A21" s="34">
        <v>14.0</v>
      </c>
      <c r="B21" s="35" t="s">
        <v>71</v>
      </c>
      <c r="C21" s="27"/>
      <c r="D21" s="36" t="s">
        <v>76</v>
      </c>
      <c r="E21" s="27" t="s">
        <v>73</v>
      </c>
      <c r="F21" s="28" t="s">
        <v>26</v>
      </c>
      <c r="G21" s="110">
        <v>12.0</v>
      </c>
      <c r="H21" s="110">
        <v>12.0</v>
      </c>
      <c r="I21" s="24">
        <v>12.0</v>
      </c>
      <c r="J21" s="24"/>
      <c r="K21" s="24"/>
      <c r="L21" s="24"/>
      <c r="M21" s="24"/>
      <c r="N21" s="110"/>
      <c r="O21" s="110"/>
      <c r="P21" s="24"/>
      <c r="Q21" s="24"/>
      <c r="R21" s="24"/>
      <c r="S21" s="24"/>
      <c r="T21" s="24"/>
      <c r="U21" s="110"/>
      <c r="V21" s="110"/>
      <c r="W21" s="24"/>
      <c r="X21" s="24"/>
      <c r="Y21" s="24"/>
      <c r="Z21" s="24"/>
      <c r="AA21" s="24"/>
      <c r="AB21" s="110"/>
      <c r="AC21" s="110"/>
      <c r="AD21" s="24"/>
      <c r="AE21" s="24"/>
      <c r="AF21" s="24"/>
      <c r="AG21" s="24"/>
      <c r="AH21" s="24"/>
      <c r="AI21" s="110"/>
      <c r="AJ21" s="110"/>
      <c r="AK21" s="211">
        <f t="shared" si="4"/>
        <v>3</v>
      </c>
      <c r="AL21" s="452">
        <f t="shared" si="5"/>
        <v>36</v>
      </c>
      <c r="AM21" s="73" t="s">
        <v>207</v>
      </c>
    </row>
    <row r="22" ht="14.25" customHeight="1">
      <c r="A22" s="19"/>
      <c r="B22" s="20" t="s">
        <v>78</v>
      </c>
      <c r="C22" s="21"/>
      <c r="D22" s="77" t="s">
        <v>78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455"/>
    </row>
    <row r="23" ht="14.25" customHeight="1">
      <c r="A23" s="34">
        <v>15.0</v>
      </c>
      <c r="B23" s="35" t="s">
        <v>86</v>
      </c>
      <c r="C23" s="27">
        <v>1.0</v>
      </c>
      <c r="D23" s="37" t="s">
        <v>82</v>
      </c>
      <c r="E23" s="27" t="s">
        <v>102</v>
      </c>
      <c r="F23" s="250" t="s">
        <v>85</v>
      </c>
      <c r="G23" s="110">
        <v>24.0</v>
      </c>
      <c r="H23" s="110"/>
      <c r="I23" s="24"/>
      <c r="J23" s="24">
        <v>24.0</v>
      </c>
      <c r="K23" s="24"/>
      <c r="L23" s="24"/>
      <c r="M23" s="24">
        <v>24.0</v>
      </c>
      <c r="N23" s="110"/>
      <c r="O23" s="110"/>
      <c r="P23" s="24">
        <v>24.0</v>
      </c>
      <c r="Q23" s="24"/>
      <c r="R23" s="24"/>
      <c r="S23" s="24">
        <v>24.0</v>
      </c>
      <c r="T23" s="24"/>
      <c r="U23" s="110"/>
      <c r="V23" s="110">
        <v>24.0</v>
      </c>
      <c r="W23" s="24"/>
      <c r="X23" s="24"/>
      <c r="Y23" s="24">
        <v>24.0</v>
      </c>
      <c r="Z23" s="24"/>
      <c r="AA23" s="24"/>
      <c r="AB23" s="110">
        <v>24.0</v>
      </c>
      <c r="AC23" s="110"/>
      <c r="AD23" s="24"/>
      <c r="AE23" s="24">
        <v>24.0</v>
      </c>
      <c r="AF23" s="24"/>
      <c r="AG23" s="24"/>
      <c r="AH23" s="24">
        <v>24.0</v>
      </c>
      <c r="AI23" s="110"/>
      <c r="AJ23" s="110"/>
      <c r="AK23" s="211">
        <v>10.0</v>
      </c>
      <c r="AL23" s="452">
        <v>240.0</v>
      </c>
      <c r="AM23" s="73" t="s">
        <v>207</v>
      </c>
    </row>
    <row r="24" ht="14.25" customHeight="1">
      <c r="A24" s="34">
        <v>16.0</v>
      </c>
      <c r="B24" s="35" t="s">
        <v>86</v>
      </c>
      <c r="C24" s="27">
        <v>1.0</v>
      </c>
      <c r="D24" s="90" t="s">
        <v>212</v>
      </c>
      <c r="E24" s="27" t="s">
        <v>102</v>
      </c>
      <c r="F24" s="88"/>
      <c r="G24" s="110"/>
      <c r="H24" s="110">
        <v>24.0</v>
      </c>
      <c r="I24" s="24"/>
      <c r="J24" s="24"/>
      <c r="K24" s="24">
        <v>24.0</v>
      </c>
      <c r="L24" s="24"/>
      <c r="M24" s="24"/>
      <c r="N24" s="110">
        <v>24.0</v>
      </c>
      <c r="O24" s="110"/>
      <c r="P24" s="24"/>
      <c r="Q24" s="24">
        <v>24.0</v>
      </c>
      <c r="R24" s="24"/>
      <c r="S24" s="24"/>
      <c r="T24" s="24">
        <v>24.0</v>
      </c>
      <c r="U24" s="110"/>
      <c r="V24" s="110"/>
      <c r="W24" s="24">
        <v>24.0</v>
      </c>
      <c r="X24" s="24"/>
      <c r="Y24" s="24"/>
      <c r="Z24" s="24">
        <v>24.0</v>
      </c>
      <c r="AA24" s="24"/>
      <c r="AB24" s="110"/>
      <c r="AC24" s="110">
        <v>24.0</v>
      </c>
      <c r="AD24" s="24"/>
      <c r="AE24" s="24"/>
      <c r="AF24" s="24">
        <v>24.0</v>
      </c>
      <c r="AG24" s="24"/>
      <c r="AH24" s="24"/>
      <c r="AI24" s="110">
        <v>24.0</v>
      </c>
      <c r="AJ24" s="110"/>
      <c r="AK24" s="211">
        <v>10.0</v>
      </c>
      <c r="AL24" s="452">
        <v>240.0</v>
      </c>
      <c r="AM24" s="73" t="s">
        <v>207</v>
      </c>
    </row>
    <row r="25" ht="14.25" customHeight="1">
      <c r="A25" s="34">
        <v>17.0</v>
      </c>
      <c r="B25" s="35" t="s">
        <v>86</v>
      </c>
      <c r="C25" s="65">
        <v>1.0</v>
      </c>
      <c r="D25" s="37" t="s">
        <v>198</v>
      </c>
      <c r="E25" s="27" t="s">
        <v>102</v>
      </c>
      <c r="F25" s="88"/>
      <c r="G25" s="110"/>
      <c r="H25" s="110"/>
      <c r="I25" s="24">
        <v>24.0</v>
      </c>
      <c r="J25" s="24"/>
      <c r="K25" s="24"/>
      <c r="L25" s="24">
        <v>24.0</v>
      </c>
      <c r="M25" s="24"/>
      <c r="N25" s="110"/>
      <c r="O25" s="110">
        <v>24.0</v>
      </c>
      <c r="P25" s="24"/>
      <c r="Q25" s="24"/>
      <c r="R25" s="24">
        <v>24.0</v>
      </c>
      <c r="S25" s="24"/>
      <c r="T25" s="24"/>
      <c r="U25" s="110">
        <v>24.0</v>
      </c>
      <c r="V25" s="110"/>
      <c r="W25" s="24"/>
      <c r="X25" s="24">
        <v>24.0</v>
      </c>
      <c r="Y25" s="24"/>
      <c r="Z25" s="24"/>
      <c r="AA25" s="24">
        <v>24.0</v>
      </c>
      <c r="AB25" s="110"/>
      <c r="AC25" s="110"/>
      <c r="AD25" s="24">
        <v>24.0</v>
      </c>
      <c r="AE25" s="24"/>
      <c r="AF25" s="24"/>
      <c r="AG25" s="24">
        <v>24.0</v>
      </c>
      <c r="AH25" s="24"/>
      <c r="AI25" s="110"/>
      <c r="AJ25" s="110">
        <v>24.0</v>
      </c>
      <c r="AK25" s="211">
        <v>10.0</v>
      </c>
      <c r="AL25" s="452">
        <v>240.0</v>
      </c>
      <c r="AM25" s="73" t="s">
        <v>207</v>
      </c>
    </row>
    <row r="26" ht="14.25" customHeight="1">
      <c r="A26" s="34">
        <v>18.0</v>
      </c>
      <c r="B26" s="35" t="s">
        <v>95</v>
      </c>
      <c r="C26" s="65">
        <v>1.0</v>
      </c>
      <c r="D26" s="90" t="s">
        <v>97</v>
      </c>
      <c r="E26" s="27" t="s">
        <v>102</v>
      </c>
      <c r="F26" s="88"/>
      <c r="G26" s="110"/>
      <c r="H26" s="110">
        <v>24.0</v>
      </c>
      <c r="I26" s="24"/>
      <c r="J26" s="24"/>
      <c r="K26" s="24">
        <v>17.0</v>
      </c>
      <c r="L26" s="24">
        <v>17.0</v>
      </c>
      <c r="M26" s="24">
        <v>17.0</v>
      </c>
      <c r="N26" s="110">
        <v>17.0</v>
      </c>
      <c r="O26" s="110">
        <v>17.0</v>
      </c>
      <c r="P26" s="24"/>
      <c r="Q26" s="24"/>
      <c r="R26" s="24">
        <v>24.0</v>
      </c>
      <c r="S26" s="24"/>
      <c r="T26" s="24"/>
      <c r="U26" s="110">
        <v>24.0</v>
      </c>
      <c r="V26" s="110"/>
      <c r="W26" s="24"/>
      <c r="X26" s="24">
        <v>24.0</v>
      </c>
      <c r="Y26" s="24"/>
      <c r="Z26" s="24"/>
      <c r="AA26" s="24">
        <v>24.0</v>
      </c>
      <c r="AB26" s="110"/>
      <c r="AC26" s="110"/>
      <c r="AD26" s="24">
        <v>24.0</v>
      </c>
      <c r="AE26" s="24"/>
      <c r="AF26" s="24"/>
      <c r="AG26" s="24">
        <v>24.0</v>
      </c>
      <c r="AH26" s="24"/>
      <c r="AI26" s="110"/>
      <c r="AJ26" s="110">
        <v>24.0</v>
      </c>
      <c r="AK26" s="211">
        <v>13.0</v>
      </c>
      <c r="AL26" s="457">
        <v>277.0</v>
      </c>
      <c r="AM26" s="73" t="s">
        <v>207</v>
      </c>
    </row>
    <row r="27" ht="14.25" customHeight="1">
      <c r="A27" s="34">
        <v>19.0</v>
      </c>
      <c r="B27" s="35" t="s">
        <v>95</v>
      </c>
      <c r="C27" s="65">
        <v>1.0</v>
      </c>
      <c r="D27" s="90" t="s">
        <v>279</v>
      </c>
      <c r="E27" s="27" t="s">
        <v>102</v>
      </c>
      <c r="F27" s="88"/>
      <c r="G27" s="110">
        <v>17.0</v>
      </c>
      <c r="H27" s="110">
        <v>17.0</v>
      </c>
      <c r="I27" s="24"/>
      <c r="J27" s="24"/>
      <c r="K27" s="24">
        <v>24.0</v>
      </c>
      <c r="L27" s="24"/>
      <c r="M27" s="24"/>
      <c r="N27" s="110">
        <v>24.0</v>
      </c>
      <c r="O27" s="110"/>
      <c r="P27" s="24"/>
      <c r="Q27" s="24">
        <v>24.0</v>
      </c>
      <c r="R27" s="24"/>
      <c r="S27" s="24"/>
      <c r="T27" s="24">
        <v>24.0</v>
      </c>
      <c r="U27" s="110"/>
      <c r="V27" s="110"/>
      <c r="W27" s="24">
        <v>24.0</v>
      </c>
      <c r="X27" s="24"/>
      <c r="Y27" s="24"/>
      <c r="Z27" s="24">
        <v>24.0</v>
      </c>
      <c r="AA27" s="24"/>
      <c r="AB27" s="110"/>
      <c r="AC27" s="110">
        <v>24.0</v>
      </c>
      <c r="AD27" s="24"/>
      <c r="AE27" s="24"/>
      <c r="AF27" s="24">
        <v>17.0</v>
      </c>
      <c r="AG27" s="24">
        <v>17.0</v>
      </c>
      <c r="AH27" s="24">
        <v>17.0</v>
      </c>
      <c r="AI27" s="110">
        <v>17.0</v>
      </c>
      <c r="AJ27" s="110">
        <v>17.0</v>
      </c>
      <c r="AK27" s="211">
        <v>15.0</v>
      </c>
      <c r="AL27" s="457">
        <f>SUM(G27:AJ27)</f>
        <v>287</v>
      </c>
      <c r="AM27" s="73" t="s">
        <v>207</v>
      </c>
    </row>
    <row r="28" ht="14.25" customHeight="1">
      <c r="A28" s="34">
        <v>21.0</v>
      </c>
      <c r="B28" s="97" t="s">
        <v>95</v>
      </c>
      <c r="C28" s="65">
        <v>1.0</v>
      </c>
      <c r="D28" s="90" t="s">
        <v>296</v>
      </c>
      <c r="E28" s="27" t="s">
        <v>269</v>
      </c>
      <c r="F28" s="88"/>
      <c r="G28" s="110"/>
      <c r="H28" s="110"/>
      <c r="I28" s="24">
        <v>24.0</v>
      </c>
      <c r="J28" s="24"/>
      <c r="K28" s="24"/>
      <c r="L28" s="24">
        <v>24.0</v>
      </c>
      <c r="M28" s="24"/>
      <c r="N28" s="110"/>
      <c r="O28" s="110">
        <v>24.0</v>
      </c>
      <c r="P28" s="24"/>
      <c r="Q28" s="24"/>
      <c r="R28" s="24">
        <v>17.0</v>
      </c>
      <c r="S28" s="24">
        <v>17.0</v>
      </c>
      <c r="T28" s="24">
        <v>17.0</v>
      </c>
      <c r="U28" s="110">
        <v>17.0</v>
      </c>
      <c r="V28" s="110">
        <v>17.0</v>
      </c>
      <c r="W28" s="24"/>
      <c r="X28" s="24"/>
      <c r="Y28" s="24">
        <v>24.0</v>
      </c>
      <c r="Z28" s="24"/>
      <c r="AA28" s="24"/>
      <c r="AB28" s="110">
        <v>24.0</v>
      </c>
      <c r="AC28" s="110"/>
      <c r="AD28" s="24"/>
      <c r="AE28" s="24">
        <v>24.0</v>
      </c>
      <c r="AF28" s="24"/>
      <c r="AG28" s="24"/>
      <c r="AH28" s="24">
        <v>24.0</v>
      </c>
      <c r="AI28" s="110"/>
      <c r="AJ28" s="110"/>
      <c r="AK28" s="211">
        <v>12.0</v>
      </c>
      <c r="AL28" s="458">
        <v>253.0</v>
      </c>
      <c r="AM28" s="73" t="s">
        <v>207</v>
      </c>
    </row>
    <row r="29" ht="14.25" customHeight="1">
      <c r="A29" s="34">
        <v>20.0</v>
      </c>
      <c r="B29" s="35" t="s">
        <v>95</v>
      </c>
      <c r="C29" s="65">
        <v>1.0</v>
      </c>
      <c r="D29" s="90" t="s">
        <v>106</v>
      </c>
      <c r="E29" s="27" t="s">
        <v>102</v>
      </c>
      <c r="F29" s="450"/>
      <c r="G29" s="110">
        <v>24.0</v>
      </c>
      <c r="H29" s="110"/>
      <c r="I29" s="24"/>
      <c r="J29" s="24">
        <v>24.0</v>
      </c>
      <c r="K29" s="24"/>
      <c r="L29" s="24"/>
      <c r="M29" s="24">
        <v>24.0</v>
      </c>
      <c r="N29" s="110"/>
      <c r="O29" s="110"/>
      <c r="P29" s="24">
        <v>24.0</v>
      </c>
      <c r="Q29" s="24"/>
      <c r="R29" s="24"/>
      <c r="S29" s="24">
        <v>24.0</v>
      </c>
      <c r="T29" s="24"/>
      <c r="U29" s="110"/>
      <c r="V29" s="110">
        <v>24.0</v>
      </c>
      <c r="W29" s="24"/>
      <c r="X29" s="24"/>
      <c r="Y29" s="24">
        <v>17.0</v>
      </c>
      <c r="Z29" s="24">
        <v>17.0</v>
      </c>
      <c r="AA29" s="24">
        <v>17.0</v>
      </c>
      <c r="AB29" s="110">
        <v>17.0</v>
      </c>
      <c r="AC29" s="110">
        <v>17.0</v>
      </c>
      <c r="AD29" s="24"/>
      <c r="AE29" s="24"/>
      <c r="AF29" s="24">
        <v>24.0</v>
      </c>
      <c r="AG29" s="24"/>
      <c r="AH29" s="24"/>
      <c r="AI29" s="110">
        <v>24.0</v>
      </c>
      <c r="AJ29" s="110"/>
      <c r="AK29" s="211">
        <v>13.0</v>
      </c>
      <c r="AL29" s="457">
        <v>277.0</v>
      </c>
      <c r="AM29" s="73" t="s">
        <v>207</v>
      </c>
    </row>
    <row r="30" ht="14.25" customHeight="1">
      <c r="A30" s="106">
        <v>22.0</v>
      </c>
      <c r="B30" s="64" t="s">
        <v>184</v>
      </c>
      <c r="C30" s="101">
        <v>1.0</v>
      </c>
      <c r="D30" s="102"/>
      <c r="E30" s="101" t="s">
        <v>105</v>
      </c>
      <c r="F30" s="103">
        <v>0.4</v>
      </c>
      <c r="G30" s="107"/>
      <c r="H30" s="107"/>
      <c r="I30" s="106"/>
      <c r="J30" s="106"/>
      <c r="K30" s="106">
        <v>17.0</v>
      </c>
      <c r="L30" s="106">
        <v>17.0</v>
      </c>
      <c r="M30" s="106">
        <v>17.0</v>
      </c>
      <c r="N30" s="107"/>
      <c r="O30" s="107"/>
      <c r="P30" s="106"/>
      <c r="Q30" s="106">
        <v>17.0</v>
      </c>
      <c r="R30" s="106">
        <v>17.0</v>
      </c>
      <c r="S30" s="106">
        <v>17.0</v>
      </c>
      <c r="T30" s="106"/>
      <c r="U30" s="107"/>
      <c r="V30" s="107"/>
      <c r="W30" s="106">
        <v>17.0</v>
      </c>
      <c r="X30" s="106">
        <v>17.0</v>
      </c>
      <c r="Y30" s="106">
        <v>17.0</v>
      </c>
      <c r="Z30" s="106"/>
      <c r="AA30" s="106"/>
      <c r="AB30" s="107"/>
      <c r="AC30" s="107">
        <v>17.0</v>
      </c>
      <c r="AD30" s="106">
        <v>17.0</v>
      </c>
      <c r="AE30" s="106">
        <v>17.0</v>
      </c>
      <c r="AF30" s="106"/>
      <c r="AG30" s="106"/>
      <c r="AH30" s="106"/>
      <c r="AI30" s="107">
        <v>17.0</v>
      </c>
      <c r="AJ30" s="107">
        <v>17.0</v>
      </c>
      <c r="AK30" s="459">
        <v>14.0</v>
      </c>
      <c r="AL30" s="460">
        <f t="shared" ref="AL30:AL31" si="6">SUM(F30:AG30)</f>
        <v>204.4</v>
      </c>
      <c r="AM30" s="73" t="s">
        <v>207</v>
      </c>
    </row>
    <row r="31" ht="14.25" customHeight="1">
      <c r="A31" s="119">
        <v>23.0</v>
      </c>
      <c r="B31" s="137" t="s">
        <v>184</v>
      </c>
      <c r="C31" s="129">
        <v>1.0</v>
      </c>
      <c r="D31" s="102"/>
      <c r="E31" s="121" t="s">
        <v>105</v>
      </c>
      <c r="F31" s="103">
        <v>0.4</v>
      </c>
      <c r="G31" s="107">
        <v>17.0</v>
      </c>
      <c r="H31" s="107">
        <v>17.0</v>
      </c>
      <c r="I31" s="106"/>
      <c r="J31" s="106"/>
      <c r="K31" s="106"/>
      <c r="L31" s="106"/>
      <c r="M31" s="106"/>
      <c r="N31" s="107">
        <v>17.0</v>
      </c>
      <c r="O31" s="107">
        <v>17.0</v>
      </c>
      <c r="P31" s="106">
        <v>17.0</v>
      </c>
      <c r="Q31" s="106"/>
      <c r="R31" s="106"/>
      <c r="S31" s="106"/>
      <c r="T31" s="106">
        <v>17.0</v>
      </c>
      <c r="U31" s="107">
        <v>17.0</v>
      </c>
      <c r="V31" s="107">
        <v>17.0</v>
      </c>
      <c r="W31" s="106"/>
      <c r="X31" s="106"/>
      <c r="Y31" s="106"/>
      <c r="Z31" s="106">
        <v>17.0</v>
      </c>
      <c r="AA31" s="106">
        <v>17.0</v>
      </c>
      <c r="AB31" s="107">
        <v>17.0</v>
      </c>
      <c r="AC31" s="107"/>
      <c r="AD31" s="106"/>
      <c r="AE31" s="106"/>
      <c r="AF31" s="106">
        <v>17.0</v>
      </c>
      <c r="AG31" s="106">
        <v>17.0</v>
      </c>
      <c r="AH31" s="106">
        <v>17.0</v>
      </c>
      <c r="AI31" s="107"/>
      <c r="AJ31" s="107"/>
      <c r="AK31" s="459">
        <f>COUNTA(F31:AG31)</f>
        <v>14</v>
      </c>
      <c r="AL31" s="460">
        <f t="shared" si="6"/>
        <v>221.4</v>
      </c>
      <c r="AM31" s="73" t="s">
        <v>207</v>
      </c>
    </row>
    <row r="32" ht="17.25" customHeight="1">
      <c r="A32" s="34">
        <v>24.0</v>
      </c>
      <c r="B32" s="36" t="s">
        <v>109</v>
      </c>
      <c r="C32" s="65">
        <v>1.0</v>
      </c>
      <c r="D32" s="117" t="s">
        <v>131</v>
      </c>
      <c r="E32" s="27" t="s">
        <v>111</v>
      </c>
      <c r="F32" s="118" t="s">
        <v>26</v>
      </c>
      <c r="G32" s="110">
        <v>12.0</v>
      </c>
      <c r="H32" s="110">
        <v>12.0</v>
      </c>
      <c r="I32" s="24">
        <v>12.0</v>
      </c>
      <c r="J32" s="24"/>
      <c r="K32" s="453">
        <v>12.0</v>
      </c>
      <c r="L32" s="24">
        <v>12.0</v>
      </c>
      <c r="M32" s="24">
        <v>12.0</v>
      </c>
      <c r="N32" s="110">
        <v>12.0</v>
      </c>
      <c r="O32" s="110">
        <v>12.0</v>
      </c>
      <c r="P32" s="24">
        <v>12.0</v>
      </c>
      <c r="Q32" s="24">
        <v>12.0</v>
      </c>
      <c r="R32" s="453"/>
      <c r="S32" s="24">
        <v>12.0</v>
      </c>
      <c r="T32" s="24">
        <v>12.0</v>
      </c>
      <c r="U32" s="110">
        <v>12.0</v>
      </c>
      <c r="V32" s="110">
        <v>12.0</v>
      </c>
      <c r="W32" s="24">
        <v>12.0</v>
      </c>
      <c r="X32" s="24">
        <v>12.0</v>
      </c>
      <c r="Y32" s="453"/>
      <c r="Z32" s="24">
        <v>12.0</v>
      </c>
      <c r="AA32" s="24">
        <v>12.0</v>
      </c>
      <c r="AB32" s="110">
        <v>12.0</v>
      </c>
      <c r="AC32" s="110">
        <v>12.0</v>
      </c>
      <c r="AD32" s="24">
        <v>12.0</v>
      </c>
      <c r="AE32" s="24">
        <v>12.0</v>
      </c>
      <c r="AF32" s="453"/>
      <c r="AG32" s="24">
        <v>12.0</v>
      </c>
      <c r="AH32" s="24">
        <v>12.0</v>
      </c>
      <c r="AI32" s="110">
        <v>12.0</v>
      </c>
      <c r="AJ32" s="110">
        <v>12.0</v>
      </c>
      <c r="AK32" s="211">
        <f t="shared" ref="AK32:AK34" si="7">COUNTA(G32:AJ32)</f>
        <v>26</v>
      </c>
      <c r="AL32" s="57">
        <f t="shared" ref="AL32:AL34" si="8">SUM(G32:AJ32)</f>
        <v>312</v>
      </c>
      <c r="AM32" s="73" t="s">
        <v>207</v>
      </c>
    </row>
    <row r="33" ht="17.25" customHeight="1">
      <c r="A33" s="34">
        <v>25.0</v>
      </c>
      <c r="B33" s="35" t="s">
        <v>135</v>
      </c>
      <c r="C33" s="65">
        <v>1.0</v>
      </c>
      <c r="D33" s="90" t="s">
        <v>297</v>
      </c>
      <c r="E33" s="27" t="s">
        <v>111</v>
      </c>
      <c r="F33" s="118" t="s">
        <v>26</v>
      </c>
      <c r="G33" s="110"/>
      <c r="H33" s="110"/>
      <c r="I33" s="24"/>
      <c r="J33" s="454"/>
      <c r="K33" s="24"/>
      <c r="L33" s="24"/>
      <c r="M33" s="24"/>
      <c r="N33" s="110"/>
      <c r="O33" s="110"/>
      <c r="P33" s="24"/>
      <c r="Q33" s="454"/>
      <c r="R33" s="24"/>
      <c r="S33" s="24"/>
      <c r="T33" s="24"/>
      <c r="U33" s="110"/>
      <c r="V33" s="110"/>
      <c r="W33" s="24"/>
      <c r="X33" s="454"/>
      <c r="Y33" s="24"/>
      <c r="Z33" s="24"/>
      <c r="AA33" s="24"/>
      <c r="AB33" s="110"/>
      <c r="AC33" s="110"/>
      <c r="AD33" s="24"/>
      <c r="AE33" s="454"/>
      <c r="AF33" s="24"/>
      <c r="AG33" s="24"/>
      <c r="AH33" s="24"/>
      <c r="AI33" s="110"/>
      <c r="AJ33" s="110"/>
      <c r="AK33" s="211">
        <f t="shared" si="7"/>
        <v>0</v>
      </c>
      <c r="AL33" s="57">
        <f t="shared" si="8"/>
        <v>0</v>
      </c>
      <c r="AM33" s="73" t="s">
        <v>207</v>
      </c>
    </row>
    <row r="34" ht="20.25" customHeight="1">
      <c r="A34" s="34">
        <v>26.0</v>
      </c>
      <c r="B34" s="35" t="s">
        <v>135</v>
      </c>
      <c r="C34" s="65">
        <v>1.0</v>
      </c>
      <c r="D34" s="90" t="s">
        <v>298</v>
      </c>
      <c r="E34" s="27" t="s">
        <v>73</v>
      </c>
      <c r="F34" s="123" t="s">
        <v>26</v>
      </c>
      <c r="G34" s="110"/>
      <c r="H34" s="110"/>
      <c r="I34" s="448"/>
      <c r="J34" s="24"/>
      <c r="K34" s="24"/>
      <c r="L34" s="24"/>
      <c r="M34" s="24"/>
      <c r="N34" s="110"/>
      <c r="O34" s="110"/>
      <c r="P34" s="448"/>
      <c r="Q34" s="24"/>
      <c r="R34" s="24"/>
      <c r="S34" s="24"/>
      <c r="T34" s="24"/>
      <c r="U34" s="110"/>
      <c r="V34" s="110"/>
      <c r="W34" s="448"/>
      <c r="X34" s="24"/>
      <c r="Y34" s="24"/>
      <c r="Z34" s="24"/>
      <c r="AA34" s="24"/>
      <c r="AB34" s="110"/>
      <c r="AC34" s="110"/>
      <c r="AD34" s="448"/>
      <c r="AE34" s="24"/>
      <c r="AF34" s="24"/>
      <c r="AG34" s="24"/>
      <c r="AH34" s="24"/>
      <c r="AI34" s="110"/>
      <c r="AJ34" s="110"/>
      <c r="AK34" s="211">
        <f t="shared" si="7"/>
        <v>0</v>
      </c>
      <c r="AL34" s="57">
        <f t="shared" si="8"/>
        <v>0</v>
      </c>
      <c r="AM34" s="73" t="s">
        <v>207</v>
      </c>
    </row>
    <row r="35" ht="23.25" customHeight="1">
      <c r="A35" s="124">
        <v>27.0</v>
      </c>
      <c r="B35" s="128" t="s">
        <v>142</v>
      </c>
      <c r="C35" s="129">
        <v>1.0</v>
      </c>
      <c r="D35" s="130" t="s">
        <v>63</v>
      </c>
      <c r="E35" s="129" t="s">
        <v>125</v>
      </c>
      <c r="F35" s="250"/>
      <c r="G35" s="110"/>
      <c r="H35" s="110"/>
      <c r="I35" s="24"/>
      <c r="J35" s="454">
        <v>12.0</v>
      </c>
      <c r="K35" s="453">
        <v>12.0</v>
      </c>
      <c r="L35" s="24"/>
      <c r="M35" s="24"/>
      <c r="N35" s="110"/>
      <c r="O35" s="110"/>
      <c r="P35" s="24"/>
      <c r="Q35" s="454">
        <v>12.0</v>
      </c>
      <c r="R35" s="453">
        <v>12.0</v>
      </c>
      <c r="S35" s="24"/>
      <c r="T35" s="24"/>
      <c r="U35" s="110"/>
      <c r="V35" s="110"/>
      <c r="W35" s="24"/>
      <c r="X35" s="454">
        <v>12.0</v>
      </c>
      <c r="Y35" s="453">
        <v>12.0</v>
      </c>
      <c r="Z35" s="24"/>
      <c r="AA35" s="24"/>
      <c r="AB35" s="110"/>
      <c r="AC35" s="110"/>
      <c r="AD35" s="24"/>
      <c r="AE35" s="454">
        <v>12.0</v>
      </c>
      <c r="AF35" s="453">
        <v>12.0</v>
      </c>
      <c r="AG35" s="24"/>
      <c r="AH35" s="24"/>
      <c r="AI35" s="110"/>
      <c r="AJ35" s="110"/>
      <c r="AK35" s="211">
        <f>COUNTA(G35:AG35)</f>
        <v>8</v>
      </c>
      <c r="AL35" s="57">
        <f>SUM(G35:AG35)</f>
        <v>96</v>
      </c>
      <c r="AM35" s="73" t="s">
        <v>207</v>
      </c>
    </row>
    <row r="36" ht="19.5" customHeight="1">
      <c r="A36" s="17"/>
      <c r="B36" s="17"/>
      <c r="C36" s="17"/>
      <c r="D36" s="17"/>
      <c r="E36" s="121" t="s">
        <v>127</v>
      </c>
      <c r="F36" s="17"/>
      <c r="G36" s="110">
        <v>12.0</v>
      </c>
      <c r="H36" s="110">
        <v>12.0</v>
      </c>
      <c r="I36" s="24"/>
      <c r="J36" s="24"/>
      <c r="K36" s="24"/>
      <c r="L36" s="456">
        <v>12.0</v>
      </c>
      <c r="M36" s="24">
        <v>12.0</v>
      </c>
      <c r="N36" s="110">
        <v>12.0</v>
      </c>
      <c r="O36" s="110">
        <v>12.0</v>
      </c>
      <c r="P36" s="24"/>
      <c r="Q36" s="24"/>
      <c r="R36" s="24"/>
      <c r="S36" s="456">
        <v>12.0</v>
      </c>
      <c r="T36" s="24">
        <v>12.0</v>
      </c>
      <c r="U36" s="110">
        <v>12.0</v>
      </c>
      <c r="V36" s="110">
        <v>12.0</v>
      </c>
      <c r="W36" s="24"/>
      <c r="X36" s="24"/>
      <c r="Y36" s="24"/>
      <c r="Z36" s="456">
        <v>12.0</v>
      </c>
      <c r="AA36" s="24">
        <v>12.0</v>
      </c>
      <c r="AB36" s="110">
        <v>12.0</v>
      </c>
      <c r="AC36" s="110">
        <v>12.0</v>
      </c>
      <c r="AD36" s="24"/>
      <c r="AE36" s="24"/>
      <c r="AF36" s="24"/>
      <c r="AG36" s="456">
        <v>12.0</v>
      </c>
      <c r="AH36" s="24">
        <v>12.0</v>
      </c>
      <c r="AI36" s="110">
        <v>12.0</v>
      </c>
      <c r="AJ36" s="110">
        <v>12.0</v>
      </c>
      <c r="AK36" s="211">
        <v>18.0</v>
      </c>
      <c r="AL36" s="57">
        <v>216.0</v>
      </c>
      <c r="AM36" s="73" t="s">
        <v>207</v>
      </c>
    </row>
    <row r="37" ht="18.75" customHeight="1">
      <c r="A37" s="34">
        <v>28.0</v>
      </c>
      <c r="B37" s="35" t="s">
        <v>144</v>
      </c>
      <c r="C37" s="27">
        <v>1.0</v>
      </c>
      <c r="D37" s="117" t="s">
        <v>285</v>
      </c>
      <c r="E37" s="27" t="s">
        <v>133</v>
      </c>
      <c r="F37" s="123" t="s">
        <v>26</v>
      </c>
      <c r="G37" s="110"/>
      <c r="H37" s="110"/>
      <c r="I37" s="24"/>
      <c r="J37" s="24"/>
      <c r="K37" s="24"/>
      <c r="L37" s="456"/>
      <c r="M37" s="24"/>
      <c r="N37" s="110"/>
      <c r="O37" s="110"/>
      <c r="P37" s="24"/>
      <c r="Q37" s="24"/>
      <c r="R37" s="24"/>
      <c r="S37" s="456"/>
      <c r="T37" s="24"/>
      <c r="U37" s="110"/>
      <c r="V37" s="110"/>
      <c r="W37" s="24"/>
      <c r="X37" s="24"/>
      <c r="Y37" s="24"/>
      <c r="Z37" s="456"/>
      <c r="AA37" s="24"/>
      <c r="AB37" s="110"/>
      <c r="AC37" s="110"/>
      <c r="AD37" s="24"/>
      <c r="AE37" s="24"/>
      <c r="AF37" s="24"/>
      <c r="AG37" s="456"/>
      <c r="AH37" s="24"/>
      <c r="AI37" s="110"/>
      <c r="AJ37" s="110"/>
      <c r="AK37" s="211">
        <f>COUNTA(G37:AJ37)</f>
        <v>0</v>
      </c>
      <c r="AL37" s="57">
        <f>SUM(G37:AJ37)</f>
        <v>0</v>
      </c>
      <c r="AM37" s="73" t="s">
        <v>207</v>
      </c>
    </row>
    <row r="38" ht="19.5" customHeight="1">
      <c r="A38" s="34">
        <v>30.0</v>
      </c>
      <c r="B38" s="35" t="s">
        <v>136</v>
      </c>
      <c r="C38" s="27">
        <v>1.0</v>
      </c>
      <c r="D38" s="117" t="s">
        <v>145</v>
      </c>
      <c r="E38" s="26" t="s">
        <v>138</v>
      </c>
      <c r="F38" s="28" t="s">
        <v>26</v>
      </c>
      <c r="G38" s="110">
        <v>11.0</v>
      </c>
      <c r="H38" s="110">
        <v>11.0</v>
      </c>
      <c r="I38" s="24">
        <v>11.0</v>
      </c>
      <c r="J38" s="24"/>
      <c r="K38" s="24">
        <v>11.0</v>
      </c>
      <c r="L38" s="24">
        <v>11.0</v>
      </c>
      <c r="M38" s="24">
        <v>11.0</v>
      </c>
      <c r="N38" s="110">
        <v>11.0</v>
      </c>
      <c r="O38" s="110">
        <v>11.0</v>
      </c>
      <c r="P38" s="24"/>
      <c r="Q38" s="24">
        <v>11.0</v>
      </c>
      <c r="R38" s="24">
        <v>11.0</v>
      </c>
      <c r="S38" s="24">
        <v>11.0</v>
      </c>
      <c r="T38" s="24">
        <v>11.0</v>
      </c>
      <c r="U38" s="110">
        <v>11.0</v>
      </c>
      <c r="V38" s="110"/>
      <c r="W38" s="24">
        <v>11.0</v>
      </c>
      <c r="X38" s="24">
        <v>11.0</v>
      </c>
      <c r="Y38" s="24">
        <v>11.0</v>
      </c>
      <c r="Z38" s="24">
        <v>11.0</v>
      </c>
      <c r="AA38" s="24">
        <v>11.0</v>
      </c>
      <c r="AB38" s="110">
        <v>11.0</v>
      </c>
      <c r="AC38" s="110">
        <v>11.0</v>
      </c>
      <c r="AD38" s="24">
        <v>11.0</v>
      </c>
      <c r="AE38" s="24"/>
      <c r="AF38" s="24">
        <v>11.0</v>
      </c>
      <c r="AG38" s="24">
        <v>11.0</v>
      </c>
      <c r="AH38" s="24">
        <v>11.0</v>
      </c>
      <c r="AI38" s="110">
        <v>11.0</v>
      </c>
      <c r="AJ38" s="110">
        <v>11.0</v>
      </c>
      <c r="AK38" s="461">
        <v>26.0</v>
      </c>
      <c r="AL38" s="57">
        <v>286.0</v>
      </c>
      <c r="AM38" s="73" t="s">
        <v>207</v>
      </c>
    </row>
    <row r="39" ht="14.25" customHeight="1">
      <c r="A39" s="21"/>
      <c r="B39" s="20" t="s">
        <v>140</v>
      </c>
      <c r="C39" s="21"/>
      <c r="D39" s="20" t="s">
        <v>140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"/>
      <c r="AL39" s="45"/>
    </row>
    <row r="40" ht="14.25" customHeight="1">
      <c r="A40" s="34">
        <v>31.0</v>
      </c>
      <c r="B40" s="35" t="s">
        <v>140</v>
      </c>
      <c r="C40" s="27">
        <v>1.0</v>
      </c>
      <c r="D40" s="117" t="s">
        <v>381</v>
      </c>
      <c r="E40" s="139" t="s">
        <v>51</v>
      </c>
      <c r="F40" s="28" t="s">
        <v>85</v>
      </c>
      <c r="G40" s="110"/>
      <c r="H40" s="110">
        <v>24.0</v>
      </c>
      <c r="I40" s="24"/>
      <c r="J40" s="24"/>
      <c r="K40" s="24">
        <v>24.0</v>
      </c>
      <c r="L40" s="24"/>
      <c r="M40" s="24"/>
      <c r="N40" s="110">
        <v>24.0</v>
      </c>
      <c r="O40" s="110"/>
      <c r="P40" s="24"/>
      <c r="Q40" s="24">
        <v>24.0</v>
      </c>
      <c r="R40" s="24"/>
      <c r="S40" s="24"/>
      <c r="T40" s="24">
        <v>24.0</v>
      </c>
      <c r="U40" s="110"/>
      <c r="V40" s="110"/>
      <c r="W40" s="24">
        <v>24.0</v>
      </c>
      <c r="X40" s="24"/>
      <c r="Y40" s="24"/>
      <c r="Z40" s="24">
        <v>24.0</v>
      </c>
      <c r="AA40" s="24"/>
      <c r="AB40" s="110"/>
      <c r="AC40" s="110">
        <v>24.0</v>
      </c>
      <c r="AD40" s="24"/>
      <c r="AE40" s="24"/>
      <c r="AF40" s="24">
        <v>24.0</v>
      </c>
      <c r="AG40" s="24"/>
      <c r="AH40" s="24"/>
      <c r="AI40" s="110">
        <v>24.0</v>
      </c>
      <c r="AJ40" s="110"/>
      <c r="AK40" s="211">
        <v>10.0</v>
      </c>
      <c r="AL40" s="57">
        <v>240.0</v>
      </c>
    </row>
    <row r="41" ht="14.25" customHeight="1">
      <c r="A41" s="24">
        <v>32.0</v>
      </c>
      <c r="B41" s="35" t="s">
        <v>140</v>
      </c>
      <c r="C41" s="27">
        <v>1.0</v>
      </c>
      <c r="D41" s="117" t="s">
        <v>145</v>
      </c>
      <c r="E41" s="139" t="s">
        <v>51</v>
      </c>
      <c r="F41" s="28" t="s">
        <v>85</v>
      </c>
      <c r="G41" s="110">
        <v>24.0</v>
      </c>
      <c r="H41" s="110"/>
      <c r="I41" s="24"/>
      <c r="J41" s="24">
        <v>24.0</v>
      </c>
      <c r="K41" s="24"/>
      <c r="L41" s="24"/>
      <c r="M41" s="24">
        <v>24.0</v>
      </c>
      <c r="N41" s="110"/>
      <c r="O41" s="110"/>
      <c r="P41" s="24">
        <v>24.0</v>
      </c>
      <c r="Q41" s="24"/>
      <c r="R41" s="24"/>
      <c r="S41" s="24">
        <v>24.0</v>
      </c>
      <c r="T41" s="24"/>
      <c r="U41" s="110"/>
      <c r="V41" s="110">
        <v>24.0</v>
      </c>
      <c r="W41" s="24"/>
      <c r="X41" s="24"/>
      <c r="Y41" s="24">
        <v>24.0</v>
      </c>
      <c r="Z41" s="24"/>
      <c r="AA41" s="24"/>
      <c r="AB41" s="110">
        <v>24.0</v>
      </c>
      <c r="AC41" s="110"/>
      <c r="AD41" s="24"/>
      <c r="AE41" s="24">
        <v>24.0</v>
      </c>
      <c r="AF41" s="24"/>
      <c r="AG41" s="24"/>
      <c r="AH41" s="24">
        <v>24.0</v>
      </c>
      <c r="AI41" s="110"/>
      <c r="AJ41" s="110"/>
      <c r="AK41" s="211">
        <v>10.0</v>
      </c>
      <c r="AL41" s="57">
        <v>240.0</v>
      </c>
    </row>
    <row r="42" ht="14.25" customHeight="1">
      <c r="A42" s="24">
        <v>33.0</v>
      </c>
      <c r="B42" s="35" t="s">
        <v>140</v>
      </c>
      <c r="C42" s="27">
        <v>1.0</v>
      </c>
      <c r="D42" s="117" t="s">
        <v>286</v>
      </c>
      <c r="E42" s="139" t="s">
        <v>51</v>
      </c>
      <c r="F42" s="28" t="s">
        <v>85</v>
      </c>
      <c r="G42" s="110"/>
      <c r="H42" s="110"/>
      <c r="I42" s="24">
        <v>24.0</v>
      </c>
      <c r="J42" s="24"/>
      <c r="K42" s="24"/>
      <c r="L42" s="24">
        <v>24.0</v>
      </c>
      <c r="M42" s="24"/>
      <c r="N42" s="110"/>
      <c r="O42" s="110">
        <v>24.0</v>
      </c>
      <c r="P42" s="24"/>
      <c r="Q42" s="24"/>
      <c r="R42" s="24">
        <v>24.0</v>
      </c>
      <c r="S42" s="24"/>
      <c r="T42" s="24"/>
      <c r="U42" s="110">
        <v>24.0</v>
      </c>
      <c r="V42" s="110"/>
      <c r="W42" s="24"/>
      <c r="X42" s="24">
        <v>24.0</v>
      </c>
      <c r="Y42" s="24"/>
      <c r="Z42" s="24"/>
      <c r="AA42" s="24">
        <v>24.0</v>
      </c>
      <c r="AB42" s="110"/>
      <c r="AC42" s="110"/>
      <c r="AD42" s="24">
        <v>24.0</v>
      </c>
      <c r="AE42" s="24"/>
      <c r="AF42" s="24"/>
      <c r="AG42" s="24">
        <v>24.0</v>
      </c>
      <c r="AH42" s="24"/>
      <c r="AI42" s="110"/>
      <c r="AJ42" s="110">
        <v>24.0</v>
      </c>
      <c r="AK42" s="211">
        <v>10.0</v>
      </c>
      <c r="AL42" s="57">
        <v>240.0</v>
      </c>
    </row>
    <row r="43" ht="14.25" customHeight="1">
      <c r="A43" s="142"/>
      <c r="B43" s="143" t="s">
        <v>151</v>
      </c>
      <c r="C43" s="144">
        <v>33.0</v>
      </c>
      <c r="D43" s="143" t="s">
        <v>152</v>
      </c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21"/>
      <c r="AL43" s="45"/>
    </row>
    <row r="44" ht="14.25" customHeight="1">
      <c r="A44" s="142"/>
      <c r="B44" s="146" t="s">
        <v>154</v>
      </c>
      <c r="C44" s="147"/>
      <c r="D44" s="147"/>
      <c r="E44" s="147"/>
      <c r="F44" s="148"/>
      <c r="G44" s="144" t="s">
        <v>155</v>
      </c>
      <c r="H44" s="144" t="s">
        <v>155</v>
      </c>
      <c r="I44" s="144" t="s">
        <v>155</v>
      </c>
      <c r="J44" s="144" t="s">
        <v>155</v>
      </c>
      <c r="K44" s="144" t="s">
        <v>155</v>
      </c>
      <c r="L44" s="144" t="s">
        <v>155</v>
      </c>
      <c r="M44" s="144" t="s">
        <v>155</v>
      </c>
      <c r="N44" s="144" t="s">
        <v>155</v>
      </c>
      <c r="O44" s="144" t="s">
        <v>155</v>
      </c>
      <c r="P44" s="144" t="s">
        <v>155</v>
      </c>
      <c r="Q44" s="144" t="s">
        <v>155</v>
      </c>
      <c r="R44" s="144" t="s">
        <v>155</v>
      </c>
      <c r="S44" s="144" t="s">
        <v>155</v>
      </c>
      <c r="T44" s="144" t="s">
        <v>155</v>
      </c>
      <c r="U44" s="144" t="s">
        <v>155</v>
      </c>
      <c r="V44" s="144" t="s">
        <v>155</v>
      </c>
      <c r="W44" s="144" t="s">
        <v>155</v>
      </c>
      <c r="X44" s="144" t="s">
        <v>155</v>
      </c>
      <c r="Y44" s="144" t="s">
        <v>155</v>
      </c>
      <c r="Z44" s="144" t="s">
        <v>155</v>
      </c>
      <c r="AA44" s="144" t="s">
        <v>155</v>
      </c>
      <c r="AB44" s="144" t="s">
        <v>155</v>
      </c>
      <c r="AC44" s="144" t="s">
        <v>155</v>
      </c>
      <c r="AD44" s="144" t="s">
        <v>155</v>
      </c>
      <c r="AE44" s="144" t="s">
        <v>155</v>
      </c>
      <c r="AF44" s="144" t="s">
        <v>155</v>
      </c>
      <c r="AG44" s="144" t="s">
        <v>155</v>
      </c>
      <c r="AH44" s="144"/>
      <c r="AI44" s="144"/>
      <c r="AJ44" s="144"/>
      <c r="AK44" s="21"/>
      <c r="AL44" s="45"/>
    </row>
    <row r="45" ht="14.25" customHeight="1">
      <c r="A45" s="142"/>
      <c r="B45" s="146" t="s">
        <v>156</v>
      </c>
      <c r="C45" s="147"/>
      <c r="D45" s="147"/>
      <c r="E45" s="147"/>
      <c r="F45" s="148"/>
      <c r="G45" s="144">
        <f t="shared" ref="G45:AG45" si="9">COUNTA(#REF!,#REF!,#REF!,#REF!,#REF!)</f>
        <v>5</v>
      </c>
      <c r="H45" s="144">
        <f t="shared" si="9"/>
        <v>5</v>
      </c>
      <c r="I45" s="144">
        <f t="shared" si="9"/>
        <v>5</v>
      </c>
      <c r="J45" s="144">
        <f t="shared" si="9"/>
        <v>5</v>
      </c>
      <c r="K45" s="144">
        <f t="shared" si="9"/>
        <v>5</v>
      </c>
      <c r="L45" s="144">
        <f t="shared" si="9"/>
        <v>5</v>
      </c>
      <c r="M45" s="144">
        <f t="shared" si="9"/>
        <v>5</v>
      </c>
      <c r="N45" s="144">
        <f t="shared" si="9"/>
        <v>5</v>
      </c>
      <c r="O45" s="144">
        <f t="shared" si="9"/>
        <v>5</v>
      </c>
      <c r="P45" s="144">
        <f t="shared" si="9"/>
        <v>5</v>
      </c>
      <c r="Q45" s="144">
        <f t="shared" si="9"/>
        <v>5</v>
      </c>
      <c r="R45" s="144">
        <f t="shared" si="9"/>
        <v>5</v>
      </c>
      <c r="S45" s="144">
        <f t="shared" si="9"/>
        <v>5</v>
      </c>
      <c r="T45" s="144">
        <f t="shared" si="9"/>
        <v>5</v>
      </c>
      <c r="U45" s="144">
        <f t="shared" si="9"/>
        <v>5</v>
      </c>
      <c r="V45" s="144">
        <f t="shared" si="9"/>
        <v>5</v>
      </c>
      <c r="W45" s="144">
        <f t="shared" si="9"/>
        <v>5</v>
      </c>
      <c r="X45" s="144">
        <f t="shared" si="9"/>
        <v>5</v>
      </c>
      <c r="Y45" s="144">
        <f t="shared" si="9"/>
        <v>5</v>
      </c>
      <c r="Z45" s="144">
        <f t="shared" si="9"/>
        <v>5</v>
      </c>
      <c r="AA45" s="144">
        <f t="shared" si="9"/>
        <v>5</v>
      </c>
      <c r="AB45" s="144">
        <f t="shared" si="9"/>
        <v>5</v>
      </c>
      <c r="AC45" s="144">
        <f t="shared" si="9"/>
        <v>5</v>
      </c>
      <c r="AD45" s="144">
        <f t="shared" si="9"/>
        <v>5</v>
      </c>
      <c r="AE45" s="144">
        <f t="shared" si="9"/>
        <v>5</v>
      </c>
      <c r="AF45" s="144">
        <f t="shared" si="9"/>
        <v>5</v>
      </c>
      <c r="AG45" s="144">
        <f t="shared" si="9"/>
        <v>5</v>
      </c>
      <c r="AH45" s="144"/>
      <c r="AI45" s="144"/>
      <c r="AJ45" s="144"/>
      <c r="AK45" s="21"/>
      <c r="AL45" s="45"/>
    </row>
    <row r="46" ht="14.25" customHeight="1">
      <c r="A46" s="142"/>
      <c r="B46" s="146" t="s">
        <v>157</v>
      </c>
      <c r="C46" s="147"/>
      <c r="D46" s="147"/>
      <c r="E46" s="147"/>
      <c r="F46" s="148"/>
      <c r="G46" s="269">
        <f t="shared" ref="G46:AG46" si="10">COUNTA(#REF!,#REF!)</f>
        <v>2</v>
      </c>
      <c r="H46" s="269">
        <f t="shared" si="10"/>
        <v>2</v>
      </c>
      <c r="I46" s="269">
        <f t="shared" si="10"/>
        <v>2</v>
      </c>
      <c r="J46" s="269">
        <f t="shared" si="10"/>
        <v>2</v>
      </c>
      <c r="K46" s="269">
        <f t="shared" si="10"/>
        <v>2</v>
      </c>
      <c r="L46" s="269">
        <f t="shared" si="10"/>
        <v>2</v>
      </c>
      <c r="M46" s="269">
        <f t="shared" si="10"/>
        <v>2</v>
      </c>
      <c r="N46" s="269">
        <f t="shared" si="10"/>
        <v>2</v>
      </c>
      <c r="O46" s="269">
        <f t="shared" si="10"/>
        <v>2</v>
      </c>
      <c r="P46" s="269">
        <f t="shared" si="10"/>
        <v>2</v>
      </c>
      <c r="Q46" s="269">
        <f t="shared" si="10"/>
        <v>2</v>
      </c>
      <c r="R46" s="269">
        <f t="shared" si="10"/>
        <v>2</v>
      </c>
      <c r="S46" s="269">
        <f t="shared" si="10"/>
        <v>2</v>
      </c>
      <c r="T46" s="269">
        <f t="shared" si="10"/>
        <v>2</v>
      </c>
      <c r="U46" s="269">
        <f t="shared" si="10"/>
        <v>2</v>
      </c>
      <c r="V46" s="269">
        <f t="shared" si="10"/>
        <v>2</v>
      </c>
      <c r="W46" s="269">
        <f t="shared" si="10"/>
        <v>2</v>
      </c>
      <c r="X46" s="269">
        <f t="shared" si="10"/>
        <v>2</v>
      </c>
      <c r="Y46" s="269">
        <f t="shared" si="10"/>
        <v>2</v>
      </c>
      <c r="Z46" s="269">
        <f t="shared" si="10"/>
        <v>2</v>
      </c>
      <c r="AA46" s="269">
        <f t="shared" si="10"/>
        <v>2</v>
      </c>
      <c r="AB46" s="269">
        <f t="shared" si="10"/>
        <v>2</v>
      </c>
      <c r="AC46" s="269">
        <f t="shared" si="10"/>
        <v>2</v>
      </c>
      <c r="AD46" s="269">
        <f t="shared" si="10"/>
        <v>2</v>
      </c>
      <c r="AE46" s="269">
        <f t="shared" si="10"/>
        <v>2</v>
      </c>
      <c r="AF46" s="269">
        <f t="shared" si="10"/>
        <v>2</v>
      </c>
      <c r="AG46" s="269">
        <f t="shared" si="10"/>
        <v>2</v>
      </c>
      <c r="AH46" s="269"/>
      <c r="AI46" s="269"/>
      <c r="AJ46" s="269"/>
      <c r="AK46" s="21"/>
      <c r="AL46" s="45"/>
    </row>
    <row r="47" ht="14.25" customHeight="1">
      <c r="A47" s="2"/>
      <c r="B47" s="3"/>
      <c r="C47" s="2"/>
      <c r="D47" s="2"/>
      <c r="E47" s="2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280"/>
      <c r="AL47" s="11"/>
    </row>
    <row r="48" ht="14.25" customHeight="1">
      <c r="A48" s="152"/>
      <c r="B48" s="153"/>
      <c r="C48" s="154"/>
      <c r="D48" s="155" t="s">
        <v>159</v>
      </c>
      <c r="E48" s="155"/>
      <c r="F48" s="156"/>
      <c r="G48" s="213">
        <f t="shared" ref="G48:AD48" si="11">COUNTA(G10,G11:G15,#REF!,G23:G24,G39,G22:G37,G28)</f>
        <v>8</v>
      </c>
      <c r="H48" s="213">
        <f t="shared" si="11"/>
        <v>8</v>
      </c>
      <c r="I48" s="213">
        <f t="shared" si="11"/>
        <v>9</v>
      </c>
      <c r="J48" s="213">
        <f t="shared" si="11"/>
        <v>9</v>
      </c>
      <c r="K48" s="213">
        <f t="shared" si="11"/>
        <v>12</v>
      </c>
      <c r="L48" s="213">
        <f t="shared" si="11"/>
        <v>12</v>
      </c>
      <c r="M48" s="213">
        <f t="shared" si="11"/>
        <v>12</v>
      </c>
      <c r="N48" s="213">
        <f t="shared" si="11"/>
        <v>8</v>
      </c>
      <c r="O48" s="213">
        <f t="shared" si="11"/>
        <v>8</v>
      </c>
      <c r="P48" s="213">
        <f t="shared" si="11"/>
        <v>10</v>
      </c>
      <c r="Q48" s="213">
        <f t="shared" si="11"/>
        <v>11</v>
      </c>
      <c r="R48" s="213">
        <f t="shared" si="11"/>
        <v>11</v>
      </c>
      <c r="S48" s="213">
        <f t="shared" si="11"/>
        <v>13</v>
      </c>
      <c r="T48" s="213">
        <f t="shared" si="11"/>
        <v>13</v>
      </c>
      <c r="U48" s="213">
        <f t="shared" si="11"/>
        <v>8</v>
      </c>
      <c r="V48" s="213">
        <f t="shared" si="11"/>
        <v>9</v>
      </c>
      <c r="W48" s="213">
        <f t="shared" si="11"/>
        <v>10</v>
      </c>
      <c r="X48" s="213">
        <f t="shared" si="11"/>
        <v>10</v>
      </c>
      <c r="Y48" s="213">
        <f t="shared" si="11"/>
        <v>12</v>
      </c>
      <c r="Z48" s="213">
        <f t="shared" si="11"/>
        <v>12</v>
      </c>
      <c r="AA48" s="213">
        <f t="shared" si="11"/>
        <v>11</v>
      </c>
      <c r="AB48" s="213">
        <f t="shared" si="11"/>
        <v>9</v>
      </c>
      <c r="AC48" s="213">
        <f t="shared" si="11"/>
        <v>8</v>
      </c>
      <c r="AD48" s="213">
        <f t="shared" si="11"/>
        <v>9</v>
      </c>
      <c r="AE48" s="213"/>
      <c r="AF48" s="213"/>
      <c r="AG48" s="213"/>
      <c r="AH48" s="213"/>
      <c r="AI48" s="213"/>
      <c r="AJ48" s="213"/>
      <c r="AK48" s="287">
        <f t="shared" ref="AK48:AK51" si="13">SUM(G48:AG48)</f>
        <v>242</v>
      </c>
      <c r="AL48" s="158">
        <v>250.0</v>
      </c>
    </row>
    <row r="49" ht="14.25" customHeight="1">
      <c r="A49" s="159"/>
      <c r="B49" s="160"/>
      <c r="C49" s="161"/>
      <c r="D49" s="162" t="s">
        <v>160</v>
      </c>
      <c r="E49" s="162"/>
      <c r="F49" s="163"/>
      <c r="G49" s="289">
        <f t="shared" ref="G49:AD49" si="12">COUNTA(G10,#REF!,#REF!,G15,G22:G37,G23:G39)</f>
        <v>15</v>
      </c>
      <c r="H49" s="289">
        <f t="shared" si="12"/>
        <v>15</v>
      </c>
      <c r="I49" s="289">
        <f t="shared" si="12"/>
        <v>10</v>
      </c>
      <c r="J49" s="289">
        <f t="shared" si="12"/>
        <v>9</v>
      </c>
      <c r="K49" s="289">
        <f t="shared" si="12"/>
        <v>16</v>
      </c>
      <c r="L49" s="289">
        <f t="shared" si="12"/>
        <v>16</v>
      </c>
      <c r="M49" s="289">
        <f t="shared" si="12"/>
        <v>16</v>
      </c>
      <c r="N49" s="289">
        <f t="shared" si="12"/>
        <v>15</v>
      </c>
      <c r="O49" s="289">
        <f t="shared" si="12"/>
        <v>15</v>
      </c>
      <c r="P49" s="289">
        <f t="shared" si="12"/>
        <v>11</v>
      </c>
      <c r="Q49" s="289">
        <f t="shared" si="12"/>
        <v>14</v>
      </c>
      <c r="R49" s="289">
        <f t="shared" si="12"/>
        <v>14</v>
      </c>
      <c r="S49" s="289">
        <f t="shared" si="12"/>
        <v>16</v>
      </c>
      <c r="T49" s="289">
        <f t="shared" si="12"/>
        <v>16</v>
      </c>
      <c r="U49" s="289">
        <f t="shared" si="12"/>
        <v>15</v>
      </c>
      <c r="V49" s="289">
        <f t="shared" si="12"/>
        <v>14</v>
      </c>
      <c r="W49" s="289">
        <f t="shared" si="12"/>
        <v>12</v>
      </c>
      <c r="X49" s="289">
        <f t="shared" si="12"/>
        <v>14</v>
      </c>
      <c r="Y49" s="289">
        <f t="shared" si="12"/>
        <v>14</v>
      </c>
      <c r="Z49" s="289">
        <f t="shared" si="12"/>
        <v>16</v>
      </c>
      <c r="AA49" s="289">
        <f t="shared" si="12"/>
        <v>16</v>
      </c>
      <c r="AB49" s="289">
        <f t="shared" si="12"/>
        <v>15</v>
      </c>
      <c r="AC49" s="289">
        <f t="shared" si="12"/>
        <v>15</v>
      </c>
      <c r="AD49" s="289">
        <f t="shared" si="12"/>
        <v>12</v>
      </c>
      <c r="AE49" s="289"/>
      <c r="AF49" s="289"/>
      <c r="AG49" s="289"/>
      <c r="AH49" s="289"/>
      <c r="AI49" s="289"/>
      <c r="AJ49" s="289"/>
      <c r="AK49" s="294">
        <f t="shared" si="13"/>
        <v>341</v>
      </c>
      <c r="AL49" s="158"/>
    </row>
    <row r="50" ht="14.25" customHeight="1">
      <c r="A50" s="166"/>
      <c r="B50" s="167"/>
      <c r="C50" s="168"/>
      <c r="D50" s="169" t="s">
        <v>161</v>
      </c>
      <c r="E50" s="169"/>
      <c r="F50" s="170"/>
      <c r="G50" s="295">
        <f t="shared" ref="G50:AD50" si="14">COUNTA(G22:G37,G28,G39:G40)</f>
        <v>6</v>
      </c>
      <c r="H50" s="295">
        <f t="shared" si="14"/>
        <v>7</v>
      </c>
      <c r="I50" s="295">
        <f t="shared" si="14"/>
        <v>4</v>
      </c>
      <c r="J50" s="295">
        <f t="shared" si="14"/>
        <v>3</v>
      </c>
      <c r="K50" s="295">
        <f t="shared" si="14"/>
        <v>7</v>
      </c>
      <c r="L50" s="295">
        <f t="shared" si="14"/>
        <v>7</v>
      </c>
      <c r="M50" s="295">
        <f t="shared" si="14"/>
        <v>6</v>
      </c>
      <c r="N50" s="295">
        <f t="shared" si="14"/>
        <v>7</v>
      </c>
      <c r="O50" s="295">
        <f t="shared" si="14"/>
        <v>7</v>
      </c>
      <c r="P50" s="295">
        <f t="shared" si="14"/>
        <v>4</v>
      </c>
      <c r="Q50" s="295">
        <f t="shared" si="14"/>
        <v>6</v>
      </c>
      <c r="R50" s="295">
        <f t="shared" si="14"/>
        <v>6</v>
      </c>
      <c r="S50" s="295">
        <f t="shared" si="14"/>
        <v>7</v>
      </c>
      <c r="T50" s="295">
        <f t="shared" si="14"/>
        <v>8</v>
      </c>
      <c r="U50" s="295">
        <f t="shared" si="14"/>
        <v>7</v>
      </c>
      <c r="V50" s="295">
        <f t="shared" si="14"/>
        <v>7</v>
      </c>
      <c r="W50" s="295">
        <f t="shared" si="14"/>
        <v>5</v>
      </c>
      <c r="X50" s="295">
        <f t="shared" si="14"/>
        <v>5</v>
      </c>
      <c r="Y50" s="295">
        <f t="shared" si="14"/>
        <v>6</v>
      </c>
      <c r="Z50" s="295">
        <f t="shared" si="14"/>
        <v>7</v>
      </c>
      <c r="AA50" s="295">
        <f t="shared" si="14"/>
        <v>6</v>
      </c>
      <c r="AB50" s="295">
        <f t="shared" si="14"/>
        <v>7</v>
      </c>
      <c r="AC50" s="295">
        <f t="shared" si="14"/>
        <v>7</v>
      </c>
      <c r="AD50" s="295">
        <f t="shared" si="14"/>
        <v>4</v>
      </c>
      <c r="AE50" s="295"/>
      <c r="AF50" s="295"/>
      <c r="AG50" s="295"/>
      <c r="AH50" s="295"/>
      <c r="AI50" s="295"/>
      <c r="AJ50" s="295"/>
      <c r="AK50" s="301">
        <f t="shared" si="13"/>
        <v>146</v>
      </c>
      <c r="AL50" s="173">
        <f>AL48*AK52</f>
        <v>202750</v>
      </c>
    </row>
    <row r="51" ht="14.25" customHeight="1">
      <c r="A51" s="174"/>
      <c r="B51" s="175"/>
      <c r="C51" s="176"/>
      <c r="D51" s="177" t="s">
        <v>162</v>
      </c>
      <c r="E51" s="177"/>
      <c r="F51" s="178"/>
      <c r="G51" s="302">
        <f t="shared" ref="G51:AD51" si="15">COUNTA(#REF!,#REF!,G28,#REF!)</f>
        <v>3</v>
      </c>
      <c r="H51" s="302">
        <f t="shared" si="15"/>
        <v>3</v>
      </c>
      <c r="I51" s="302">
        <f t="shared" si="15"/>
        <v>4</v>
      </c>
      <c r="J51" s="302">
        <f t="shared" si="15"/>
        <v>3</v>
      </c>
      <c r="K51" s="302">
        <f t="shared" si="15"/>
        <v>3</v>
      </c>
      <c r="L51" s="302">
        <f t="shared" si="15"/>
        <v>4</v>
      </c>
      <c r="M51" s="302">
        <f t="shared" si="15"/>
        <v>3</v>
      </c>
      <c r="N51" s="302">
        <f t="shared" si="15"/>
        <v>3</v>
      </c>
      <c r="O51" s="302">
        <f t="shared" si="15"/>
        <v>4</v>
      </c>
      <c r="P51" s="302">
        <f t="shared" si="15"/>
        <v>3</v>
      </c>
      <c r="Q51" s="302">
        <f t="shared" si="15"/>
        <v>3</v>
      </c>
      <c r="R51" s="302">
        <f t="shared" si="15"/>
        <v>4</v>
      </c>
      <c r="S51" s="302">
        <f t="shared" si="15"/>
        <v>4</v>
      </c>
      <c r="T51" s="302">
        <f t="shared" si="15"/>
        <v>4</v>
      </c>
      <c r="U51" s="302">
        <f t="shared" si="15"/>
        <v>4</v>
      </c>
      <c r="V51" s="302">
        <f t="shared" si="15"/>
        <v>4</v>
      </c>
      <c r="W51" s="302">
        <f t="shared" si="15"/>
        <v>3</v>
      </c>
      <c r="X51" s="302">
        <f t="shared" si="15"/>
        <v>3</v>
      </c>
      <c r="Y51" s="302">
        <f t="shared" si="15"/>
        <v>4</v>
      </c>
      <c r="Z51" s="302">
        <f t="shared" si="15"/>
        <v>3</v>
      </c>
      <c r="AA51" s="302">
        <f t="shared" si="15"/>
        <v>3</v>
      </c>
      <c r="AB51" s="302">
        <f t="shared" si="15"/>
        <v>4</v>
      </c>
      <c r="AC51" s="302">
        <f t="shared" si="15"/>
        <v>3</v>
      </c>
      <c r="AD51" s="302">
        <f t="shared" si="15"/>
        <v>3</v>
      </c>
      <c r="AE51" s="302"/>
      <c r="AF51" s="302"/>
      <c r="AG51" s="302"/>
      <c r="AH51" s="302"/>
      <c r="AI51" s="302"/>
      <c r="AJ51" s="302"/>
      <c r="AK51" s="302">
        <f t="shared" si="13"/>
        <v>82</v>
      </c>
      <c r="AL51" s="180"/>
    </row>
    <row r="52" ht="14.25" customHeight="1">
      <c r="A52" s="146" t="s">
        <v>163</v>
      </c>
      <c r="B52" s="147"/>
      <c r="C52" s="147"/>
      <c r="D52" s="147"/>
      <c r="E52" s="147"/>
      <c r="F52" s="148"/>
      <c r="G52" s="144">
        <f t="shared" ref="G52:AD52" si="16">SUM(G48:G51)</f>
        <v>32</v>
      </c>
      <c r="H52" s="144">
        <f t="shared" si="16"/>
        <v>33</v>
      </c>
      <c r="I52" s="144">
        <f t="shared" si="16"/>
        <v>27</v>
      </c>
      <c r="J52" s="144">
        <f t="shared" si="16"/>
        <v>24</v>
      </c>
      <c r="K52" s="144">
        <f t="shared" si="16"/>
        <v>38</v>
      </c>
      <c r="L52" s="144">
        <f t="shared" si="16"/>
        <v>39</v>
      </c>
      <c r="M52" s="144">
        <f t="shared" si="16"/>
        <v>37</v>
      </c>
      <c r="N52" s="144">
        <f t="shared" si="16"/>
        <v>33</v>
      </c>
      <c r="O52" s="144">
        <f t="shared" si="16"/>
        <v>34</v>
      </c>
      <c r="P52" s="144">
        <f t="shared" si="16"/>
        <v>28</v>
      </c>
      <c r="Q52" s="144">
        <f t="shared" si="16"/>
        <v>34</v>
      </c>
      <c r="R52" s="144">
        <f t="shared" si="16"/>
        <v>35</v>
      </c>
      <c r="S52" s="144">
        <f t="shared" si="16"/>
        <v>40</v>
      </c>
      <c r="T52" s="144">
        <f t="shared" si="16"/>
        <v>41</v>
      </c>
      <c r="U52" s="144">
        <f t="shared" si="16"/>
        <v>34</v>
      </c>
      <c r="V52" s="144">
        <f t="shared" si="16"/>
        <v>34</v>
      </c>
      <c r="W52" s="144">
        <f t="shared" si="16"/>
        <v>30</v>
      </c>
      <c r="X52" s="144">
        <f t="shared" si="16"/>
        <v>32</v>
      </c>
      <c r="Y52" s="144">
        <f t="shared" si="16"/>
        <v>36</v>
      </c>
      <c r="Z52" s="144">
        <f t="shared" si="16"/>
        <v>38</v>
      </c>
      <c r="AA52" s="144">
        <f t="shared" si="16"/>
        <v>36</v>
      </c>
      <c r="AB52" s="144">
        <f t="shared" si="16"/>
        <v>35</v>
      </c>
      <c r="AC52" s="144">
        <f t="shared" si="16"/>
        <v>33</v>
      </c>
      <c r="AD52" s="144">
        <f t="shared" si="16"/>
        <v>28</v>
      </c>
      <c r="AE52" s="144"/>
      <c r="AF52" s="144"/>
      <c r="AG52" s="144"/>
      <c r="AH52" s="144"/>
      <c r="AI52" s="144"/>
      <c r="AJ52" s="144"/>
      <c r="AK52" s="144">
        <f>SUM(AK48:AK51)</f>
        <v>811</v>
      </c>
      <c r="AL52" s="181"/>
    </row>
    <row r="53" ht="14.25" customHeight="1">
      <c r="A53" s="2"/>
      <c r="B53" s="182" t="s">
        <v>164</v>
      </c>
      <c r="C53" s="182"/>
      <c r="D53" s="182"/>
      <c r="E53" s="18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  <c r="R53" s="5"/>
      <c r="S53" s="4"/>
      <c r="T53" s="4"/>
      <c r="U53" s="4"/>
      <c r="V53" s="4"/>
      <c r="W53" s="5"/>
      <c r="X53" s="5"/>
      <c r="Y53" s="5"/>
      <c r="Z53" s="4"/>
      <c r="AA53" s="4"/>
      <c r="AB53" s="4"/>
      <c r="AC53" s="4"/>
      <c r="AD53" s="5"/>
      <c r="AE53" s="5"/>
      <c r="AF53" s="5"/>
      <c r="AG53" s="5"/>
      <c r="AH53" s="5"/>
      <c r="AI53" s="5"/>
      <c r="AJ53" s="5"/>
      <c r="AK53" s="2"/>
      <c r="AL53" s="183"/>
    </row>
    <row r="54" ht="14.25" customHeight="1">
      <c r="A54" s="2"/>
      <c r="B54" s="182" t="s">
        <v>165</v>
      </c>
      <c r="C54" s="2"/>
      <c r="D54" s="2"/>
      <c r="E54" s="2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11"/>
      <c r="AL54" s="2"/>
    </row>
    <row r="55" ht="14.25" customHeight="1">
      <c r="A55" s="2"/>
      <c r="B55" s="182" t="s">
        <v>166</v>
      </c>
      <c r="C55" s="184"/>
      <c r="D55" s="184"/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11"/>
      <c r="AL55" s="2"/>
    </row>
    <row r="56" ht="14.25" customHeight="1">
      <c r="A56" s="2"/>
      <c r="B56" s="182"/>
      <c r="C56" s="184"/>
      <c r="D56" s="184"/>
      <c r="E56" s="4" t="s">
        <v>167</v>
      </c>
      <c r="G56" s="5"/>
      <c r="H56" s="5"/>
      <c r="I56" s="5"/>
      <c r="J56" s="5"/>
      <c r="K56" s="5"/>
      <c r="L56" s="5"/>
      <c r="M56" s="5" t="s">
        <v>168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11"/>
      <c r="AL56" s="2"/>
    </row>
    <row r="57" ht="14.25" customHeight="1">
      <c r="A57" s="2"/>
      <c r="B57" s="3"/>
      <c r="C57" s="2"/>
      <c r="D57" s="2"/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11"/>
      <c r="AL57" s="11"/>
    </row>
    <row r="58" ht="14.25" customHeight="1">
      <c r="A58" s="2"/>
      <c r="B58" s="3"/>
      <c r="C58" s="2"/>
      <c r="D58" s="2"/>
      <c r="E58" s="4" t="s">
        <v>169</v>
      </c>
      <c r="G58" s="5"/>
      <c r="H58" s="5"/>
      <c r="I58" s="5"/>
      <c r="J58" s="5"/>
      <c r="K58" s="5"/>
      <c r="L58" s="5"/>
      <c r="M58" s="5"/>
      <c r="N58" s="5"/>
      <c r="O58" s="5"/>
      <c r="P58" s="5" t="s">
        <v>170</v>
      </c>
      <c r="Q58" s="5"/>
      <c r="R58" s="5"/>
      <c r="S58" s="5" t="s">
        <v>171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11"/>
      <c r="AL58" s="11"/>
    </row>
    <row r="59" ht="14.25" customHeight="1">
      <c r="A59" s="2"/>
      <c r="B59" s="3"/>
      <c r="C59" s="2"/>
      <c r="D59" s="2"/>
      <c r="E59" s="2"/>
      <c r="F59" s="18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11"/>
      <c r="AL59" s="11"/>
    </row>
    <row r="60" ht="30.75" customHeight="1">
      <c r="A60" s="2"/>
      <c r="B60" s="3"/>
      <c r="C60" s="2"/>
      <c r="D60" s="2"/>
      <c r="E60" s="185" t="s">
        <v>172</v>
      </c>
      <c r="G60" s="5"/>
      <c r="H60" s="5"/>
      <c r="I60" s="5"/>
      <c r="J60" s="5"/>
      <c r="K60" s="5"/>
      <c r="L60" s="5"/>
      <c r="M60" s="5"/>
      <c r="N60" s="5"/>
      <c r="O60" s="5"/>
      <c r="P60" s="5" t="s">
        <v>170</v>
      </c>
      <c r="Q60" s="5"/>
      <c r="R60" s="5"/>
      <c r="S60" s="5" t="s">
        <v>171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1"/>
      <c r="AL60" s="11"/>
    </row>
    <row r="61" ht="14.25" customHeight="1">
      <c r="A61" s="11"/>
      <c r="B61" s="3"/>
      <c r="C61" s="2"/>
      <c r="D61" s="186"/>
      <c r="E61" s="2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1"/>
      <c r="AL61" s="11"/>
    </row>
    <row r="62" ht="14.25" customHeight="1">
      <c r="F62" s="187"/>
    </row>
    <row r="63" ht="14.25" customHeight="1">
      <c r="F63" s="187"/>
    </row>
    <row r="64" ht="14.25" customHeight="1">
      <c r="F64" s="187"/>
    </row>
    <row r="65" ht="14.25" customHeight="1">
      <c r="F65" s="187"/>
    </row>
    <row r="66" ht="15.75" customHeight="1">
      <c r="F66" s="187"/>
    </row>
    <row r="67" ht="14.25" customHeight="1">
      <c r="F67" s="187"/>
    </row>
    <row r="68" ht="14.25" customHeight="1">
      <c r="F68" s="187"/>
    </row>
    <row r="69" ht="14.25" customHeight="1">
      <c r="F69" s="187"/>
    </row>
    <row r="70" ht="14.25" customHeight="1">
      <c r="F70" s="187"/>
    </row>
    <row r="71" ht="14.25" customHeight="1">
      <c r="F71" s="187"/>
    </row>
    <row r="72" ht="14.25" customHeight="1">
      <c r="F72" s="187"/>
    </row>
    <row r="73" ht="14.25" customHeight="1">
      <c r="F73" s="187"/>
    </row>
    <row r="74" ht="14.25" customHeight="1">
      <c r="F74" s="187"/>
    </row>
    <row r="75" ht="14.25" customHeight="1">
      <c r="F75" s="187"/>
    </row>
    <row r="76" ht="14.25" customHeight="1">
      <c r="F76" s="187"/>
    </row>
    <row r="77" ht="14.25" customHeight="1">
      <c r="F77" s="187"/>
    </row>
    <row r="78" ht="14.25" customHeight="1">
      <c r="F78" s="187"/>
    </row>
    <row r="79" ht="14.25" customHeight="1">
      <c r="F79" s="187"/>
    </row>
    <row r="80" ht="14.25" customHeight="1">
      <c r="F80" s="187"/>
    </row>
    <row r="81" ht="14.25" customHeight="1">
      <c r="F81" s="187"/>
    </row>
    <row r="82" ht="14.25" customHeight="1">
      <c r="F82" s="187"/>
    </row>
    <row r="83" ht="14.25" customHeight="1">
      <c r="F83" s="187"/>
    </row>
    <row r="84" ht="14.25" customHeight="1">
      <c r="F84" s="187"/>
    </row>
    <row r="85" ht="14.25" customHeight="1">
      <c r="F85" s="187"/>
    </row>
    <row r="86" ht="14.25" customHeight="1">
      <c r="F86" s="187"/>
    </row>
    <row r="87" ht="14.25" customHeight="1">
      <c r="F87" s="187"/>
    </row>
    <row r="88" ht="14.25" customHeight="1">
      <c r="F88" s="187"/>
    </row>
    <row r="89" ht="14.25" customHeight="1">
      <c r="F89" s="187"/>
    </row>
    <row r="90" ht="14.25" customHeight="1">
      <c r="F90" s="187"/>
    </row>
    <row r="91" ht="14.25" customHeight="1">
      <c r="F91" s="187"/>
    </row>
    <row r="92" ht="14.25" customHeight="1">
      <c r="F92" s="187"/>
    </row>
    <row r="93" ht="14.25" customHeight="1">
      <c r="F93" s="187"/>
    </row>
    <row r="94" ht="14.25" customHeight="1">
      <c r="F94" s="187"/>
    </row>
    <row r="95" ht="14.25" customHeight="1">
      <c r="F95" s="187"/>
    </row>
    <row r="96" ht="14.25" customHeight="1">
      <c r="F96" s="187"/>
    </row>
    <row r="97" ht="14.25" customHeight="1">
      <c r="F97" s="187"/>
    </row>
    <row r="98" ht="14.25" customHeight="1">
      <c r="F98" s="187"/>
    </row>
    <row r="99" ht="14.25" customHeight="1">
      <c r="F99" s="187"/>
    </row>
    <row r="100" ht="14.25" customHeight="1">
      <c r="F100" s="187"/>
    </row>
    <row r="101" ht="14.25" customHeight="1">
      <c r="F101" s="187"/>
    </row>
    <row r="102" ht="14.25" customHeight="1">
      <c r="F102" s="187"/>
    </row>
    <row r="103" ht="14.25" customHeight="1">
      <c r="F103" s="187"/>
    </row>
    <row r="104" ht="14.25" customHeight="1">
      <c r="F104" s="187"/>
    </row>
    <row r="105" ht="14.25" customHeight="1">
      <c r="F105" s="187"/>
    </row>
    <row r="106" ht="14.25" customHeight="1">
      <c r="F106" s="187"/>
    </row>
    <row r="107" ht="14.25" customHeight="1">
      <c r="F107" s="187"/>
    </row>
    <row r="108" ht="14.25" customHeight="1">
      <c r="F108" s="187"/>
    </row>
    <row r="109" ht="14.25" customHeight="1">
      <c r="F109" s="187"/>
    </row>
    <row r="110" ht="14.25" customHeight="1">
      <c r="F110" s="187"/>
    </row>
    <row r="111" ht="14.25" customHeight="1">
      <c r="F111" s="187"/>
    </row>
    <row r="112" ht="14.25" customHeight="1">
      <c r="F112" s="187"/>
    </row>
    <row r="113" ht="14.25" customHeight="1">
      <c r="F113" s="187"/>
    </row>
    <row r="114" ht="14.25" customHeight="1">
      <c r="F114" s="187"/>
    </row>
    <row r="115" ht="14.25" customHeight="1">
      <c r="F115" s="187"/>
    </row>
    <row r="116" ht="14.25" customHeight="1">
      <c r="F116" s="187"/>
    </row>
    <row r="117" ht="14.25" customHeight="1">
      <c r="F117" s="187"/>
    </row>
    <row r="118" ht="14.25" customHeight="1">
      <c r="F118" s="187"/>
    </row>
    <row r="119" ht="14.25" customHeight="1">
      <c r="F119" s="187"/>
    </row>
    <row r="120" ht="14.25" customHeight="1">
      <c r="F120" s="187"/>
    </row>
    <row r="121" ht="14.25" customHeight="1">
      <c r="F121" s="187"/>
    </row>
    <row r="122" ht="14.25" customHeight="1">
      <c r="F122" s="187"/>
    </row>
    <row r="123" ht="14.25" customHeight="1">
      <c r="F123" s="187"/>
    </row>
    <row r="124" ht="14.25" customHeight="1">
      <c r="F124" s="187"/>
    </row>
    <row r="125" ht="14.25" customHeight="1">
      <c r="F125" s="187"/>
    </row>
    <row r="126" ht="14.25" customHeight="1">
      <c r="F126" s="187"/>
    </row>
    <row r="127" ht="14.25" customHeight="1">
      <c r="F127" s="187"/>
    </row>
    <row r="128" ht="14.25" customHeight="1">
      <c r="F128" s="187"/>
    </row>
    <row r="129" ht="14.25" customHeight="1">
      <c r="F129" s="187"/>
    </row>
    <row r="130" ht="14.25" customHeight="1">
      <c r="F130" s="187"/>
    </row>
    <row r="131" ht="14.25" customHeight="1">
      <c r="F131" s="187"/>
    </row>
    <row r="132" ht="14.25" customHeight="1">
      <c r="F132" s="187"/>
    </row>
    <row r="133" ht="14.25" customHeight="1">
      <c r="F133" s="187"/>
    </row>
    <row r="134" ht="14.25" customHeight="1">
      <c r="F134" s="187"/>
    </row>
    <row r="135" ht="14.25" customHeight="1">
      <c r="F135" s="187"/>
    </row>
    <row r="136" ht="14.25" customHeight="1">
      <c r="F136" s="187"/>
    </row>
    <row r="137" ht="14.25" customHeight="1">
      <c r="F137" s="187"/>
    </row>
    <row r="138" ht="14.25" customHeight="1">
      <c r="F138" s="187"/>
    </row>
    <row r="139" ht="14.25" customHeight="1">
      <c r="F139" s="187"/>
    </row>
    <row r="140" ht="14.25" customHeight="1">
      <c r="F140" s="187"/>
    </row>
    <row r="141" ht="14.25" customHeight="1">
      <c r="F141" s="187"/>
    </row>
    <row r="142" ht="14.25" customHeight="1">
      <c r="F142" s="187"/>
    </row>
    <row r="143" ht="14.25" customHeight="1">
      <c r="F143" s="187"/>
    </row>
    <row r="144" ht="14.25" customHeight="1">
      <c r="F144" s="187"/>
    </row>
    <row r="145" ht="14.25" customHeight="1">
      <c r="F145" s="187"/>
    </row>
    <row r="146" ht="14.25" customHeight="1">
      <c r="F146" s="187"/>
    </row>
    <row r="147" ht="14.25" customHeight="1">
      <c r="F147" s="187"/>
    </row>
    <row r="148" ht="14.25" customHeight="1">
      <c r="F148" s="187"/>
    </row>
    <row r="149" ht="14.25" customHeight="1">
      <c r="F149" s="187"/>
    </row>
    <row r="150" ht="14.25" customHeight="1">
      <c r="F150" s="187"/>
    </row>
    <row r="151" ht="14.25" customHeight="1">
      <c r="F151" s="187"/>
    </row>
    <row r="152" ht="14.25" customHeight="1">
      <c r="F152" s="187"/>
    </row>
    <row r="153" ht="14.25" customHeight="1">
      <c r="F153" s="187"/>
    </row>
    <row r="154" ht="14.25" customHeight="1">
      <c r="F154" s="187"/>
    </row>
    <row r="155" ht="14.25" customHeight="1">
      <c r="F155" s="187"/>
    </row>
    <row r="156" ht="14.25" customHeight="1">
      <c r="F156" s="187"/>
    </row>
    <row r="157" ht="14.25" customHeight="1">
      <c r="F157" s="187"/>
    </row>
    <row r="158" ht="14.25" customHeight="1">
      <c r="F158" s="187"/>
    </row>
    <row r="159" ht="14.25" customHeight="1">
      <c r="F159" s="187"/>
    </row>
    <row r="160" ht="14.25" customHeight="1">
      <c r="F160" s="187"/>
    </row>
    <row r="161" ht="14.25" customHeight="1">
      <c r="F161" s="187"/>
    </row>
    <row r="162" ht="14.25" customHeight="1">
      <c r="F162" s="187"/>
    </row>
    <row r="163" ht="14.25" customHeight="1">
      <c r="F163" s="187"/>
    </row>
    <row r="164" ht="14.25" customHeight="1">
      <c r="F164" s="187"/>
    </row>
    <row r="165" ht="14.25" customHeight="1">
      <c r="F165" s="187"/>
    </row>
    <row r="166" ht="14.25" customHeight="1">
      <c r="F166" s="187"/>
    </row>
    <row r="167" ht="14.25" customHeight="1">
      <c r="F167" s="187"/>
    </row>
    <row r="168" ht="14.25" customHeight="1">
      <c r="F168" s="187"/>
    </row>
    <row r="169" ht="14.25" customHeight="1">
      <c r="F169" s="187"/>
    </row>
    <row r="170" ht="14.25" customHeight="1">
      <c r="F170" s="187"/>
    </row>
    <row r="171" ht="14.25" customHeight="1">
      <c r="F171" s="187"/>
    </row>
    <row r="172" ht="14.25" customHeight="1">
      <c r="F172" s="187"/>
    </row>
    <row r="173" ht="14.25" customHeight="1">
      <c r="F173" s="187"/>
    </row>
    <row r="174" ht="14.25" customHeight="1">
      <c r="F174" s="187"/>
    </row>
    <row r="175" ht="14.25" customHeight="1">
      <c r="F175" s="187"/>
    </row>
    <row r="176" ht="14.25" customHeight="1">
      <c r="F176" s="187"/>
    </row>
    <row r="177" ht="14.25" customHeight="1">
      <c r="F177" s="187"/>
    </row>
    <row r="178" ht="14.25" customHeight="1">
      <c r="F178" s="187"/>
    </row>
    <row r="179" ht="14.25" customHeight="1">
      <c r="F179" s="187"/>
    </row>
    <row r="180" ht="14.25" customHeight="1">
      <c r="F180" s="187"/>
    </row>
    <row r="181" ht="14.25" customHeight="1">
      <c r="F181" s="187"/>
    </row>
    <row r="182" ht="14.25" customHeight="1">
      <c r="F182" s="187"/>
    </row>
    <row r="183" ht="14.25" customHeight="1">
      <c r="F183" s="187"/>
    </row>
    <row r="184" ht="14.25" customHeight="1">
      <c r="F184" s="187"/>
    </row>
    <row r="185" ht="14.25" customHeight="1">
      <c r="F185" s="187"/>
    </row>
    <row r="186" ht="14.25" customHeight="1">
      <c r="F186" s="187"/>
    </row>
    <row r="187" ht="14.25" customHeight="1">
      <c r="F187" s="187"/>
    </row>
    <row r="188" ht="14.25" customHeight="1">
      <c r="F188" s="187"/>
    </row>
    <row r="189" ht="14.25" customHeight="1">
      <c r="F189" s="187"/>
    </row>
    <row r="190" ht="14.25" customHeight="1">
      <c r="F190" s="187"/>
    </row>
    <row r="191" ht="14.25" customHeight="1">
      <c r="F191" s="187"/>
    </row>
    <row r="192" ht="14.25" customHeight="1">
      <c r="F192" s="187"/>
    </row>
    <row r="193" ht="14.25" customHeight="1">
      <c r="F193" s="187"/>
    </row>
    <row r="194" ht="14.25" customHeight="1">
      <c r="F194" s="187"/>
    </row>
    <row r="195" ht="14.25" customHeight="1">
      <c r="F195" s="187"/>
    </row>
    <row r="196" ht="14.25" customHeight="1">
      <c r="F196" s="187"/>
    </row>
    <row r="197" ht="14.25" customHeight="1">
      <c r="F197" s="187"/>
    </row>
    <row r="198" ht="14.25" customHeight="1">
      <c r="F198" s="187"/>
    </row>
    <row r="199" ht="14.25" customHeight="1">
      <c r="F199" s="187"/>
    </row>
    <row r="200" ht="14.25" customHeight="1">
      <c r="F200" s="187"/>
    </row>
    <row r="201" ht="14.25" customHeight="1">
      <c r="F201" s="187"/>
    </row>
    <row r="202" ht="14.25" customHeight="1">
      <c r="F202" s="187"/>
    </row>
    <row r="203" ht="14.25" customHeight="1">
      <c r="F203" s="187"/>
    </row>
    <row r="204" ht="14.25" customHeight="1">
      <c r="F204" s="187"/>
    </row>
    <row r="205" ht="14.25" customHeight="1">
      <c r="F205" s="187"/>
    </row>
    <row r="206" ht="14.25" customHeight="1">
      <c r="F206" s="187"/>
    </row>
    <row r="207" ht="14.25" customHeight="1">
      <c r="F207" s="187"/>
    </row>
    <row r="208" ht="14.25" customHeight="1">
      <c r="F208" s="187"/>
    </row>
    <row r="209" ht="14.25" customHeight="1">
      <c r="F209" s="187"/>
    </row>
    <row r="210" ht="14.25" customHeight="1">
      <c r="F210" s="187"/>
    </row>
    <row r="211" ht="14.25" customHeight="1">
      <c r="F211" s="187"/>
    </row>
    <row r="212" ht="14.25" customHeight="1">
      <c r="F212" s="187"/>
    </row>
    <row r="213" ht="14.25" customHeight="1">
      <c r="F213" s="187"/>
    </row>
    <row r="214" ht="14.25" customHeight="1">
      <c r="F214" s="187"/>
    </row>
    <row r="215" ht="14.25" customHeight="1">
      <c r="F215" s="187"/>
    </row>
    <row r="216" ht="14.25" customHeight="1">
      <c r="F216" s="187"/>
    </row>
    <row r="217" ht="14.25" customHeight="1">
      <c r="F217" s="187"/>
    </row>
    <row r="218" ht="14.25" customHeight="1">
      <c r="F218" s="187"/>
    </row>
    <row r="219" ht="14.25" customHeight="1">
      <c r="F219" s="187"/>
    </row>
    <row r="220" ht="14.25" customHeight="1">
      <c r="F220" s="187"/>
    </row>
    <row r="221" ht="14.25" customHeight="1">
      <c r="F221" s="187"/>
    </row>
    <row r="222" ht="14.25" customHeight="1">
      <c r="F222" s="187"/>
    </row>
    <row r="223" ht="14.25" customHeight="1">
      <c r="F223" s="187"/>
    </row>
    <row r="224" ht="14.25" customHeight="1">
      <c r="F224" s="187"/>
    </row>
    <row r="225" ht="14.25" customHeight="1">
      <c r="F225" s="187"/>
    </row>
    <row r="226" ht="14.25" customHeight="1">
      <c r="F226" s="187"/>
    </row>
    <row r="227" ht="14.25" customHeight="1">
      <c r="F227" s="187"/>
    </row>
    <row r="228" ht="14.25" customHeight="1">
      <c r="F228" s="187"/>
    </row>
    <row r="229" ht="14.25" customHeight="1">
      <c r="F229" s="187"/>
    </row>
    <row r="230" ht="14.25" customHeight="1">
      <c r="F230" s="187"/>
    </row>
    <row r="231" ht="14.25" customHeight="1">
      <c r="F231" s="187"/>
    </row>
    <row r="232" ht="14.25" customHeight="1">
      <c r="F232" s="187"/>
    </row>
    <row r="233" ht="14.25" customHeight="1">
      <c r="F233" s="187"/>
    </row>
    <row r="234" ht="14.25" customHeight="1">
      <c r="F234" s="187"/>
    </row>
    <row r="235" ht="14.25" customHeight="1">
      <c r="F235" s="187"/>
    </row>
    <row r="236" ht="14.25" customHeight="1">
      <c r="F236" s="187"/>
    </row>
    <row r="237" ht="14.25" customHeight="1">
      <c r="F237" s="187"/>
    </row>
    <row r="238" ht="14.25" customHeight="1">
      <c r="F238" s="187"/>
    </row>
    <row r="239" ht="14.25" customHeight="1">
      <c r="F239" s="187"/>
    </row>
    <row r="240" ht="14.25" customHeight="1">
      <c r="F240" s="187"/>
    </row>
    <row r="241" ht="14.25" customHeight="1">
      <c r="F241" s="187"/>
    </row>
    <row r="242" ht="14.25" customHeight="1">
      <c r="F242" s="187"/>
    </row>
    <row r="243" ht="14.25" customHeight="1">
      <c r="F243" s="187"/>
    </row>
    <row r="244" ht="14.25" customHeight="1">
      <c r="F244" s="187"/>
    </row>
    <row r="245" ht="14.25" customHeight="1">
      <c r="F245" s="187"/>
    </row>
    <row r="246" ht="14.25" customHeight="1">
      <c r="F246" s="187"/>
    </row>
    <row r="247" ht="14.25" customHeight="1">
      <c r="F247" s="187"/>
    </row>
    <row r="248" ht="14.25" customHeight="1">
      <c r="F248" s="187"/>
    </row>
    <row r="249" ht="14.25" customHeight="1">
      <c r="F249" s="187"/>
    </row>
    <row r="250" ht="14.25" customHeight="1">
      <c r="F250" s="187"/>
    </row>
    <row r="251" ht="14.25" customHeight="1">
      <c r="F251" s="187"/>
    </row>
    <row r="252" ht="14.25" customHeight="1">
      <c r="F252" s="187"/>
    </row>
    <row r="253" ht="14.25" customHeight="1">
      <c r="F253" s="187"/>
    </row>
    <row r="254" ht="14.25" customHeight="1">
      <c r="F254" s="187"/>
    </row>
    <row r="255" ht="14.25" customHeight="1">
      <c r="F255" s="187"/>
    </row>
    <row r="256" ht="14.25" customHeight="1">
      <c r="F256" s="187"/>
    </row>
    <row r="257" ht="14.25" customHeight="1">
      <c r="F257" s="187"/>
    </row>
    <row r="258" ht="14.25" customHeight="1">
      <c r="F258" s="187"/>
    </row>
    <row r="259" ht="14.25" customHeight="1">
      <c r="F259" s="187"/>
    </row>
    <row r="260" ht="14.25" customHeight="1">
      <c r="F260" s="187"/>
    </row>
    <row r="261" ht="14.25" customHeight="1">
      <c r="F261" s="187"/>
    </row>
    <row r="262" ht="14.25" customHeight="1">
      <c r="F262" s="187"/>
    </row>
    <row r="263" ht="14.25" customHeight="1">
      <c r="F263" s="187"/>
    </row>
    <row r="264" ht="14.25" customHeight="1">
      <c r="F264" s="187"/>
    </row>
    <row r="265" ht="14.25" customHeight="1">
      <c r="F265" s="187"/>
    </row>
    <row r="266" ht="14.25" customHeight="1">
      <c r="F266" s="187"/>
    </row>
    <row r="267" ht="14.25" customHeight="1">
      <c r="F267" s="187"/>
    </row>
    <row r="268" ht="14.25" customHeight="1">
      <c r="F268" s="187"/>
    </row>
    <row r="269" ht="14.25" customHeight="1">
      <c r="F269" s="187"/>
    </row>
    <row r="270" ht="14.25" customHeight="1">
      <c r="F270" s="187"/>
    </row>
    <row r="271" ht="14.25" customHeight="1">
      <c r="F271" s="187"/>
    </row>
    <row r="272" ht="14.25" customHeight="1">
      <c r="F272" s="187"/>
    </row>
    <row r="273" ht="14.25" customHeight="1">
      <c r="F273" s="187"/>
    </row>
    <row r="274" ht="14.25" customHeight="1">
      <c r="F274" s="187"/>
    </row>
    <row r="275" ht="14.25" customHeight="1">
      <c r="F275" s="187"/>
    </row>
    <row r="276" ht="14.25" customHeight="1">
      <c r="F276" s="187"/>
    </row>
    <row r="277" ht="14.25" customHeight="1">
      <c r="F277" s="187"/>
    </row>
    <row r="278" ht="14.25" customHeight="1">
      <c r="F278" s="187"/>
    </row>
    <row r="279" ht="14.25" customHeight="1">
      <c r="F279" s="187"/>
    </row>
    <row r="280" ht="14.25" customHeight="1">
      <c r="F280" s="187"/>
    </row>
    <row r="281" ht="14.25" customHeight="1">
      <c r="F281" s="187"/>
    </row>
    <row r="282" ht="14.25" customHeight="1">
      <c r="F282" s="187"/>
    </row>
    <row r="283" ht="14.25" customHeight="1">
      <c r="F283" s="187"/>
    </row>
    <row r="284" ht="14.25" customHeight="1">
      <c r="F284" s="187"/>
    </row>
    <row r="285" ht="14.25" customHeight="1">
      <c r="F285" s="187"/>
    </row>
    <row r="286" ht="14.25" customHeight="1">
      <c r="F286" s="187"/>
    </row>
    <row r="287" ht="14.25" customHeight="1">
      <c r="F287" s="187"/>
    </row>
    <row r="288" ht="14.25" customHeight="1">
      <c r="F288" s="187"/>
    </row>
    <row r="289" ht="14.25" customHeight="1">
      <c r="F289" s="187"/>
    </row>
    <row r="290" ht="14.25" customHeight="1">
      <c r="F290" s="187"/>
    </row>
    <row r="291" ht="14.25" customHeight="1">
      <c r="F291" s="187"/>
    </row>
    <row r="292" ht="14.25" customHeight="1">
      <c r="F292" s="187"/>
    </row>
    <row r="293" ht="14.25" customHeight="1">
      <c r="F293" s="187"/>
    </row>
    <row r="294" ht="14.25" customHeight="1">
      <c r="F294" s="187"/>
    </row>
    <row r="295" ht="14.25" customHeight="1">
      <c r="F295" s="187"/>
    </row>
    <row r="296" ht="14.25" customHeight="1">
      <c r="F296" s="187"/>
    </row>
    <row r="297" ht="14.25" customHeight="1">
      <c r="F297" s="187"/>
    </row>
    <row r="298" ht="14.25" customHeight="1">
      <c r="F298" s="187"/>
    </row>
    <row r="299" ht="14.25" customHeight="1">
      <c r="F299" s="187"/>
    </row>
    <row r="300" ht="14.25" customHeight="1">
      <c r="F300" s="187"/>
    </row>
    <row r="301" ht="14.25" customHeight="1">
      <c r="F301" s="187"/>
    </row>
    <row r="302" ht="14.25" customHeight="1">
      <c r="F302" s="187"/>
    </row>
    <row r="303" ht="14.25" customHeight="1">
      <c r="F303" s="187"/>
    </row>
    <row r="304" ht="14.25" customHeight="1">
      <c r="F304" s="187"/>
    </row>
    <row r="305" ht="14.25" customHeight="1">
      <c r="F305" s="187"/>
    </row>
    <row r="306" ht="14.25" customHeight="1">
      <c r="F306" s="187"/>
    </row>
    <row r="307" ht="14.25" customHeight="1">
      <c r="F307" s="187"/>
    </row>
    <row r="308" ht="14.25" customHeight="1">
      <c r="F308" s="187"/>
    </row>
    <row r="309" ht="14.25" customHeight="1">
      <c r="F309" s="187"/>
    </row>
    <row r="310" ht="14.25" customHeight="1">
      <c r="F310" s="187"/>
    </row>
    <row r="311" ht="14.25" customHeight="1">
      <c r="F311" s="187"/>
    </row>
    <row r="312" ht="14.25" customHeight="1">
      <c r="F312" s="187"/>
    </row>
    <row r="313" ht="14.25" customHeight="1">
      <c r="F313" s="187"/>
    </row>
    <row r="314" ht="14.25" customHeight="1">
      <c r="F314" s="187"/>
    </row>
    <row r="315" ht="14.25" customHeight="1">
      <c r="F315" s="187"/>
    </row>
    <row r="316" ht="14.25" customHeight="1">
      <c r="F316" s="187"/>
    </row>
    <row r="317" ht="14.25" customHeight="1">
      <c r="F317" s="187"/>
    </row>
    <row r="318" ht="14.25" customHeight="1">
      <c r="F318" s="187"/>
    </row>
    <row r="319" ht="14.25" customHeight="1">
      <c r="F319" s="187"/>
    </row>
    <row r="320" ht="14.25" customHeight="1">
      <c r="F320" s="187"/>
    </row>
    <row r="321" ht="14.25" customHeight="1">
      <c r="F321" s="187"/>
    </row>
    <row r="322" ht="14.25" customHeight="1">
      <c r="F322" s="187"/>
    </row>
    <row r="323" ht="14.25" customHeight="1">
      <c r="F323" s="187"/>
    </row>
    <row r="324" ht="14.25" customHeight="1">
      <c r="F324" s="187"/>
    </row>
    <row r="325" ht="14.25" customHeight="1">
      <c r="F325" s="187"/>
    </row>
    <row r="326" ht="14.25" customHeight="1">
      <c r="F326" s="187"/>
    </row>
    <row r="327" ht="14.25" customHeight="1">
      <c r="F327" s="187"/>
    </row>
    <row r="328" ht="14.25" customHeight="1">
      <c r="F328" s="187"/>
    </row>
    <row r="329" ht="14.25" customHeight="1">
      <c r="F329" s="187"/>
    </row>
    <row r="330" ht="14.25" customHeight="1">
      <c r="F330" s="187"/>
    </row>
    <row r="331" ht="14.25" customHeight="1">
      <c r="F331" s="187"/>
    </row>
    <row r="332" ht="14.25" customHeight="1">
      <c r="F332" s="187"/>
    </row>
    <row r="333" ht="14.25" customHeight="1">
      <c r="F333" s="187"/>
    </row>
    <row r="334" ht="14.25" customHeight="1">
      <c r="F334" s="187"/>
    </row>
    <row r="335" ht="14.25" customHeight="1">
      <c r="F335" s="187"/>
    </row>
    <row r="336" ht="14.25" customHeight="1">
      <c r="F336" s="187"/>
    </row>
    <row r="337" ht="14.25" customHeight="1">
      <c r="F337" s="187"/>
    </row>
    <row r="338" ht="14.25" customHeight="1">
      <c r="F338" s="187"/>
    </row>
    <row r="339" ht="14.25" customHeight="1">
      <c r="F339" s="187"/>
    </row>
    <row r="340" ht="14.25" customHeight="1">
      <c r="F340" s="187"/>
    </row>
    <row r="341" ht="14.25" customHeight="1">
      <c r="F341" s="187"/>
    </row>
    <row r="342" ht="14.25" customHeight="1">
      <c r="F342" s="187"/>
    </row>
    <row r="343" ht="14.25" customHeight="1">
      <c r="F343" s="187"/>
    </row>
    <row r="344" ht="14.25" customHeight="1">
      <c r="F344" s="187"/>
    </row>
    <row r="345" ht="14.25" customHeight="1">
      <c r="F345" s="187"/>
    </row>
    <row r="346" ht="14.25" customHeight="1">
      <c r="F346" s="187"/>
    </row>
    <row r="347" ht="14.25" customHeight="1">
      <c r="F347" s="187"/>
    </row>
    <row r="348" ht="14.25" customHeight="1">
      <c r="F348" s="187"/>
    </row>
    <row r="349" ht="14.25" customHeight="1">
      <c r="F349" s="187"/>
    </row>
    <row r="350" ht="14.25" customHeight="1">
      <c r="F350" s="187"/>
    </row>
    <row r="351" ht="14.25" customHeight="1">
      <c r="F351" s="187"/>
    </row>
    <row r="352" ht="14.25" customHeight="1">
      <c r="F352" s="187"/>
    </row>
    <row r="353" ht="14.25" customHeight="1">
      <c r="F353" s="187"/>
    </row>
    <row r="354" ht="14.25" customHeight="1">
      <c r="F354" s="187"/>
    </row>
    <row r="355" ht="14.25" customHeight="1">
      <c r="F355" s="187"/>
    </row>
    <row r="356" ht="14.25" customHeight="1">
      <c r="F356" s="187"/>
    </row>
    <row r="357" ht="14.25" customHeight="1">
      <c r="F357" s="187"/>
    </row>
    <row r="358" ht="14.25" customHeight="1">
      <c r="F358" s="187"/>
    </row>
    <row r="359" ht="14.25" customHeight="1">
      <c r="F359" s="187"/>
    </row>
    <row r="360" ht="14.25" customHeight="1">
      <c r="F360" s="187"/>
    </row>
    <row r="361" ht="14.25" customHeight="1">
      <c r="F361" s="187"/>
    </row>
    <row r="362" ht="14.25" customHeight="1">
      <c r="F362" s="187"/>
    </row>
    <row r="363" ht="14.25" customHeight="1">
      <c r="F363" s="187"/>
    </row>
    <row r="364" ht="14.25" customHeight="1">
      <c r="F364" s="187"/>
    </row>
    <row r="365" ht="14.25" customHeight="1">
      <c r="F365" s="187"/>
    </row>
    <row r="366" ht="14.25" customHeight="1">
      <c r="F366" s="187"/>
    </row>
    <row r="367" ht="14.25" customHeight="1">
      <c r="F367" s="187"/>
    </row>
    <row r="368" ht="14.25" customHeight="1">
      <c r="F368" s="187"/>
    </row>
    <row r="369" ht="14.25" customHeight="1">
      <c r="F369" s="187"/>
    </row>
    <row r="370" ht="14.25" customHeight="1">
      <c r="F370" s="187"/>
    </row>
    <row r="371" ht="14.25" customHeight="1">
      <c r="F371" s="187"/>
    </row>
    <row r="372" ht="14.25" customHeight="1">
      <c r="F372" s="187"/>
    </row>
    <row r="373" ht="14.25" customHeight="1">
      <c r="F373" s="187"/>
    </row>
    <row r="374" ht="14.25" customHeight="1">
      <c r="F374" s="187"/>
    </row>
    <row r="375" ht="14.25" customHeight="1">
      <c r="F375" s="187"/>
    </row>
    <row r="376" ht="14.25" customHeight="1">
      <c r="F376" s="187"/>
    </row>
    <row r="377" ht="14.25" customHeight="1">
      <c r="F377" s="187"/>
    </row>
    <row r="378" ht="14.25" customHeight="1">
      <c r="F378" s="187"/>
    </row>
    <row r="379" ht="14.25" customHeight="1">
      <c r="F379" s="187"/>
    </row>
    <row r="380" ht="14.25" customHeight="1">
      <c r="F380" s="187"/>
    </row>
    <row r="381" ht="14.25" customHeight="1">
      <c r="F381" s="187"/>
    </row>
    <row r="382" ht="14.25" customHeight="1">
      <c r="F382" s="187"/>
    </row>
    <row r="383" ht="14.25" customHeight="1">
      <c r="F383" s="187"/>
    </row>
    <row r="384" ht="14.25" customHeight="1">
      <c r="F384" s="187"/>
    </row>
    <row r="385" ht="14.25" customHeight="1">
      <c r="F385" s="187"/>
    </row>
    <row r="386" ht="14.25" customHeight="1">
      <c r="F386" s="187"/>
    </row>
    <row r="387" ht="14.25" customHeight="1">
      <c r="F387" s="187"/>
    </row>
    <row r="388" ht="14.25" customHeight="1">
      <c r="F388" s="187"/>
    </row>
    <row r="389" ht="14.25" customHeight="1">
      <c r="F389" s="187"/>
    </row>
    <row r="390" ht="14.25" customHeight="1">
      <c r="F390" s="187"/>
    </row>
    <row r="391" ht="14.25" customHeight="1">
      <c r="F391" s="187"/>
    </row>
    <row r="392" ht="14.25" customHeight="1">
      <c r="F392" s="187"/>
    </row>
    <row r="393" ht="14.25" customHeight="1">
      <c r="F393" s="187"/>
    </row>
    <row r="394" ht="14.25" customHeight="1">
      <c r="F394" s="187"/>
    </row>
    <row r="395" ht="14.25" customHeight="1">
      <c r="F395" s="187"/>
    </row>
    <row r="396" ht="14.25" customHeight="1">
      <c r="F396" s="187"/>
    </row>
    <row r="397" ht="14.25" customHeight="1">
      <c r="F397" s="187"/>
    </row>
    <row r="398" ht="14.25" customHeight="1">
      <c r="F398" s="187"/>
    </row>
    <row r="399" ht="14.25" customHeight="1">
      <c r="F399" s="187"/>
    </row>
    <row r="400" ht="14.25" customHeight="1">
      <c r="F400" s="187"/>
    </row>
    <row r="401" ht="14.25" customHeight="1">
      <c r="F401" s="187"/>
    </row>
    <row r="402" ht="14.25" customHeight="1">
      <c r="F402" s="187"/>
    </row>
    <row r="403" ht="14.25" customHeight="1">
      <c r="F403" s="187"/>
    </row>
    <row r="404" ht="14.25" customHeight="1">
      <c r="F404" s="187"/>
    </row>
    <row r="405" ht="14.25" customHeight="1">
      <c r="F405" s="187"/>
    </row>
    <row r="406" ht="14.25" customHeight="1">
      <c r="F406" s="187"/>
    </row>
    <row r="407" ht="14.25" customHeight="1">
      <c r="F407" s="187"/>
    </row>
    <row r="408" ht="14.25" customHeight="1">
      <c r="F408" s="187"/>
    </row>
    <row r="409" ht="14.25" customHeight="1">
      <c r="F409" s="187"/>
    </row>
    <row r="410" ht="14.25" customHeight="1">
      <c r="F410" s="187"/>
    </row>
    <row r="411" ht="14.25" customHeight="1">
      <c r="F411" s="187"/>
    </row>
    <row r="412" ht="14.25" customHeight="1">
      <c r="F412" s="187"/>
    </row>
    <row r="413" ht="14.25" customHeight="1">
      <c r="F413" s="187"/>
    </row>
    <row r="414" ht="14.25" customHeight="1">
      <c r="F414" s="187"/>
    </row>
    <row r="415" ht="14.25" customHeight="1">
      <c r="F415" s="187"/>
    </row>
    <row r="416" ht="14.25" customHeight="1">
      <c r="F416" s="187"/>
    </row>
    <row r="417" ht="14.25" customHeight="1">
      <c r="F417" s="187"/>
    </row>
    <row r="418" ht="14.25" customHeight="1">
      <c r="F418" s="187"/>
    </row>
    <row r="419" ht="14.25" customHeight="1">
      <c r="F419" s="187"/>
    </row>
    <row r="420" ht="14.25" customHeight="1">
      <c r="F420" s="187"/>
    </row>
    <row r="421" ht="14.25" customHeight="1">
      <c r="F421" s="187"/>
    </row>
    <row r="422" ht="14.25" customHeight="1">
      <c r="F422" s="187"/>
    </row>
    <row r="423" ht="14.25" customHeight="1">
      <c r="F423" s="187"/>
    </row>
    <row r="424" ht="14.25" customHeight="1">
      <c r="F424" s="187"/>
    </row>
    <row r="425" ht="14.25" customHeight="1">
      <c r="F425" s="187"/>
    </row>
    <row r="426" ht="14.25" customHeight="1">
      <c r="F426" s="187"/>
    </row>
    <row r="427" ht="14.25" customHeight="1">
      <c r="F427" s="187"/>
    </row>
    <row r="428" ht="14.25" customHeight="1">
      <c r="F428" s="187"/>
    </row>
    <row r="429" ht="14.25" customHeight="1">
      <c r="F429" s="187"/>
    </row>
    <row r="430" ht="14.25" customHeight="1">
      <c r="F430" s="187"/>
    </row>
    <row r="431" ht="14.25" customHeight="1">
      <c r="F431" s="187"/>
    </row>
    <row r="432" ht="14.25" customHeight="1">
      <c r="F432" s="187"/>
    </row>
    <row r="433" ht="14.25" customHeight="1">
      <c r="F433" s="187"/>
    </row>
    <row r="434" ht="14.25" customHeight="1">
      <c r="F434" s="187"/>
    </row>
    <row r="435" ht="14.25" customHeight="1">
      <c r="F435" s="187"/>
    </row>
    <row r="436" ht="14.25" customHeight="1">
      <c r="F436" s="187"/>
    </row>
    <row r="437" ht="14.25" customHeight="1">
      <c r="F437" s="187"/>
    </row>
    <row r="438" ht="14.25" customHeight="1">
      <c r="F438" s="187"/>
    </row>
    <row r="439" ht="14.25" customHeight="1">
      <c r="F439" s="187"/>
    </row>
    <row r="440" ht="14.25" customHeight="1">
      <c r="F440" s="187"/>
    </row>
    <row r="441" ht="14.25" customHeight="1">
      <c r="F441" s="187"/>
    </row>
    <row r="442" ht="14.25" customHeight="1">
      <c r="F442" s="187"/>
    </row>
    <row r="443" ht="14.25" customHeight="1">
      <c r="F443" s="187"/>
    </row>
    <row r="444" ht="14.25" customHeight="1">
      <c r="F444" s="187"/>
    </row>
    <row r="445" ht="14.25" customHeight="1">
      <c r="F445" s="187"/>
    </row>
    <row r="446" ht="14.25" customHeight="1">
      <c r="F446" s="187"/>
    </row>
    <row r="447" ht="14.25" customHeight="1">
      <c r="F447" s="187"/>
    </row>
    <row r="448" ht="14.25" customHeight="1">
      <c r="F448" s="187"/>
    </row>
    <row r="449" ht="14.25" customHeight="1">
      <c r="F449" s="187"/>
    </row>
    <row r="450" ht="14.25" customHeight="1">
      <c r="F450" s="187"/>
    </row>
    <row r="451" ht="14.25" customHeight="1">
      <c r="F451" s="187"/>
    </row>
    <row r="452" ht="14.25" customHeight="1">
      <c r="F452" s="187"/>
    </row>
    <row r="453" ht="14.25" customHeight="1">
      <c r="F453" s="187"/>
    </row>
    <row r="454" ht="14.25" customHeight="1">
      <c r="F454" s="187"/>
    </row>
    <row r="455" ht="14.25" customHeight="1">
      <c r="F455" s="187"/>
    </row>
    <row r="456" ht="14.25" customHeight="1">
      <c r="F456" s="187"/>
    </row>
    <row r="457" ht="14.25" customHeight="1">
      <c r="F457" s="187"/>
    </row>
    <row r="458" ht="14.25" customHeight="1">
      <c r="F458" s="187"/>
    </row>
    <row r="459" ht="14.25" customHeight="1">
      <c r="F459" s="187"/>
    </row>
    <row r="460" ht="14.25" customHeight="1">
      <c r="F460" s="187"/>
    </row>
    <row r="461" ht="14.25" customHeight="1">
      <c r="F461" s="187"/>
    </row>
    <row r="462" ht="14.25" customHeight="1">
      <c r="F462" s="187"/>
    </row>
    <row r="463" ht="14.25" customHeight="1">
      <c r="F463" s="187"/>
    </row>
    <row r="464" ht="14.25" customHeight="1">
      <c r="F464" s="187"/>
    </row>
    <row r="465" ht="14.25" customHeight="1">
      <c r="F465" s="187"/>
    </row>
    <row r="466" ht="14.25" customHeight="1">
      <c r="F466" s="187"/>
    </row>
    <row r="467" ht="14.25" customHeight="1">
      <c r="F467" s="187"/>
    </row>
    <row r="468" ht="14.25" customHeight="1">
      <c r="F468" s="187"/>
    </row>
    <row r="469" ht="14.25" customHeight="1">
      <c r="F469" s="187"/>
    </row>
    <row r="470" ht="14.25" customHeight="1">
      <c r="F470" s="187"/>
    </row>
    <row r="471" ht="14.25" customHeight="1">
      <c r="F471" s="187"/>
    </row>
    <row r="472" ht="14.25" customHeight="1">
      <c r="F472" s="187"/>
    </row>
    <row r="473" ht="14.25" customHeight="1">
      <c r="F473" s="187"/>
    </row>
    <row r="474" ht="14.25" customHeight="1">
      <c r="F474" s="187"/>
    </row>
    <row r="475" ht="14.25" customHeight="1">
      <c r="F475" s="187"/>
    </row>
    <row r="476" ht="14.25" customHeight="1">
      <c r="F476" s="187"/>
    </row>
    <row r="477" ht="14.25" customHeight="1">
      <c r="F477" s="187"/>
    </row>
    <row r="478" ht="14.25" customHeight="1">
      <c r="F478" s="187"/>
    </row>
    <row r="479" ht="14.25" customHeight="1">
      <c r="F479" s="187"/>
    </row>
    <row r="480" ht="14.25" customHeight="1">
      <c r="F480" s="187"/>
    </row>
    <row r="481" ht="14.25" customHeight="1">
      <c r="F481" s="187"/>
    </row>
    <row r="482" ht="14.25" customHeight="1">
      <c r="F482" s="187"/>
    </row>
    <row r="483" ht="14.25" customHeight="1">
      <c r="F483" s="187"/>
    </row>
    <row r="484" ht="14.25" customHeight="1">
      <c r="F484" s="187"/>
    </row>
    <row r="485" ht="14.25" customHeight="1">
      <c r="F485" s="187"/>
    </row>
    <row r="486" ht="14.25" customHeight="1">
      <c r="F486" s="187"/>
    </row>
    <row r="487" ht="14.25" customHeight="1">
      <c r="F487" s="187"/>
    </row>
    <row r="488" ht="14.25" customHeight="1">
      <c r="F488" s="187"/>
    </row>
    <row r="489" ht="14.25" customHeight="1">
      <c r="F489" s="187"/>
    </row>
    <row r="490" ht="14.25" customHeight="1">
      <c r="F490" s="187"/>
    </row>
    <row r="491" ht="14.25" customHeight="1">
      <c r="F491" s="187"/>
    </row>
    <row r="492" ht="14.25" customHeight="1">
      <c r="F492" s="187"/>
    </row>
    <row r="493" ht="14.25" customHeight="1">
      <c r="F493" s="187"/>
    </row>
    <row r="494" ht="14.25" customHeight="1">
      <c r="F494" s="187"/>
    </row>
    <row r="495" ht="14.25" customHeight="1">
      <c r="F495" s="187"/>
    </row>
    <row r="496" ht="14.25" customHeight="1">
      <c r="F496" s="187"/>
    </row>
    <row r="497" ht="14.25" customHeight="1">
      <c r="F497" s="187"/>
    </row>
    <row r="498" ht="14.25" customHeight="1">
      <c r="F498" s="187"/>
    </row>
    <row r="499" ht="14.25" customHeight="1">
      <c r="F499" s="187"/>
    </row>
    <row r="500" ht="14.25" customHeight="1">
      <c r="F500" s="187"/>
    </row>
    <row r="501" ht="14.25" customHeight="1">
      <c r="F501" s="187"/>
    </row>
    <row r="502" ht="14.25" customHeight="1">
      <c r="F502" s="187"/>
    </row>
    <row r="503" ht="14.25" customHeight="1">
      <c r="F503" s="187"/>
    </row>
    <row r="504" ht="14.25" customHeight="1">
      <c r="F504" s="187"/>
    </row>
    <row r="505" ht="14.25" customHeight="1">
      <c r="F505" s="187"/>
    </row>
    <row r="506" ht="14.25" customHeight="1">
      <c r="F506" s="187"/>
    </row>
    <row r="507" ht="14.25" customHeight="1">
      <c r="F507" s="187"/>
    </row>
    <row r="508" ht="14.25" customHeight="1">
      <c r="F508" s="187"/>
    </row>
    <row r="509" ht="14.25" customHeight="1">
      <c r="F509" s="187"/>
    </row>
    <row r="510" ht="14.25" customHeight="1">
      <c r="F510" s="187"/>
    </row>
    <row r="511" ht="14.25" customHeight="1">
      <c r="F511" s="187"/>
    </row>
    <row r="512" ht="14.25" customHeight="1">
      <c r="F512" s="187"/>
    </row>
    <row r="513" ht="14.25" customHeight="1">
      <c r="F513" s="187"/>
    </row>
    <row r="514" ht="14.25" customHeight="1">
      <c r="F514" s="187"/>
    </row>
    <row r="515" ht="14.25" customHeight="1">
      <c r="F515" s="187"/>
    </row>
    <row r="516" ht="14.25" customHeight="1">
      <c r="F516" s="187"/>
    </row>
    <row r="517" ht="14.25" customHeight="1">
      <c r="F517" s="187"/>
    </row>
    <row r="518" ht="14.25" customHeight="1">
      <c r="F518" s="187"/>
    </row>
    <row r="519" ht="14.25" customHeight="1">
      <c r="F519" s="187"/>
    </row>
    <row r="520" ht="14.25" customHeight="1">
      <c r="F520" s="187"/>
    </row>
    <row r="521" ht="14.25" customHeight="1">
      <c r="F521" s="187"/>
    </row>
    <row r="522" ht="14.25" customHeight="1">
      <c r="F522" s="187"/>
    </row>
    <row r="523" ht="14.25" customHeight="1">
      <c r="F523" s="187"/>
    </row>
    <row r="524" ht="14.25" customHeight="1">
      <c r="F524" s="187"/>
    </row>
    <row r="525" ht="14.25" customHeight="1">
      <c r="F525" s="187"/>
    </row>
    <row r="526" ht="14.25" customHeight="1">
      <c r="F526" s="187"/>
    </row>
    <row r="527" ht="14.25" customHeight="1">
      <c r="F527" s="187"/>
    </row>
    <row r="528" ht="14.25" customHeight="1">
      <c r="F528" s="187"/>
    </row>
    <row r="529" ht="14.25" customHeight="1">
      <c r="F529" s="187"/>
    </row>
    <row r="530" ht="14.25" customHeight="1">
      <c r="F530" s="187"/>
    </row>
    <row r="531" ht="14.25" customHeight="1">
      <c r="F531" s="187"/>
    </row>
    <row r="532" ht="14.25" customHeight="1">
      <c r="F532" s="187"/>
    </row>
    <row r="533" ht="14.25" customHeight="1">
      <c r="F533" s="187"/>
    </row>
    <row r="534" ht="14.25" customHeight="1">
      <c r="F534" s="187"/>
    </row>
    <row r="535" ht="14.25" customHeight="1">
      <c r="F535" s="187"/>
    </row>
    <row r="536" ht="14.25" customHeight="1">
      <c r="F536" s="187"/>
    </row>
    <row r="537" ht="14.25" customHeight="1">
      <c r="F537" s="187"/>
    </row>
    <row r="538" ht="14.25" customHeight="1">
      <c r="F538" s="187"/>
    </row>
    <row r="539" ht="14.25" customHeight="1">
      <c r="F539" s="187"/>
    </row>
    <row r="540" ht="14.25" customHeight="1">
      <c r="F540" s="187"/>
    </row>
    <row r="541" ht="14.25" customHeight="1">
      <c r="F541" s="187"/>
    </row>
    <row r="542" ht="14.25" customHeight="1">
      <c r="F542" s="187"/>
    </row>
    <row r="543" ht="14.25" customHeight="1">
      <c r="F543" s="187"/>
    </row>
    <row r="544" ht="14.25" customHeight="1">
      <c r="F544" s="187"/>
    </row>
    <row r="545" ht="14.25" customHeight="1">
      <c r="F545" s="187"/>
    </row>
    <row r="546" ht="14.25" customHeight="1">
      <c r="F546" s="187"/>
    </row>
    <row r="547" ht="14.25" customHeight="1">
      <c r="F547" s="187"/>
    </row>
    <row r="548" ht="14.25" customHeight="1">
      <c r="F548" s="187"/>
    </row>
    <row r="549" ht="14.25" customHeight="1">
      <c r="F549" s="187"/>
    </row>
    <row r="550" ht="14.25" customHeight="1">
      <c r="F550" s="187"/>
    </row>
    <row r="551" ht="14.25" customHeight="1">
      <c r="F551" s="187"/>
    </row>
    <row r="552" ht="14.25" customHeight="1">
      <c r="F552" s="187"/>
    </row>
    <row r="553" ht="14.25" customHeight="1">
      <c r="F553" s="187"/>
    </row>
    <row r="554" ht="14.25" customHeight="1">
      <c r="F554" s="187"/>
    </row>
    <row r="555" ht="14.25" customHeight="1">
      <c r="F555" s="187"/>
    </row>
    <row r="556" ht="14.25" customHeight="1">
      <c r="F556" s="187"/>
    </row>
    <row r="557" ht="14.25" customHeight="1">
      <c r="F557" s="187"/>
    </row>
    <row r="558" ht="14.25" customHeight="1">
      <c r="F558" s="187"/>
    </row>
    <row r="559" ht="14.25" customHeight="1">
      <c r="F559" s="187"/>
    </row>
    <row r="560" ht="14.25" customHeight="1">
      <c r="F560" s="187"/>
    </row>
    <row r="561" ht="14.25" customHeight="1">
      <c r="F561" s="187"/>
    </row>
    <row r="562" ht="14.25" customHeight="1">
      <c r="F562" s="187"/>
    </row>
    <row r="563" ht="14.25" customHeight="1">
      <c r="F563" s="187"/>
    </row>
    <row r="564" ht="14.25" customHeight="1">
      <c r="F564" s="187"/>
    </row>
    <row r="565" ht="14.25" customHeight="1">
      <c r="F565" s="187"/>
    </row>
    <row r="566" ht="14.25" customHeight="1">
      <c r="F566" s="187"/>
    </row>
    <row r="567" ht="14.25" customHeight="1">
      <c r="F567" s="187"/>
    </row>
    <row r="568" ht="14.25" customHeight="1">
      <c r="F568" s="187"/>
    </row>
    <row r="569" ht="14.25" customHeight="1">
      <c r="F569" s="187"/>
    </row>
    <row r="570" ht="14.25" customHeight="1">
      <c r="F570" s="187"/>
    </row>
    <row r="571" ht="14.25" customHeight="1">
      <c r="F571" s="187"/>
    </row>
    <row r="572" ht="14.25" customHeight="1">
      <c r="F572" s="187"/>
    </row>
    <row r="573" ht="14.25" customHeight="1">
      <c r="F573" s="187"/>
    </row>
    <row r="574" ht="14.25" customHeight="1">
      <c r="F574" s="187"/>
    </row>
    <row r="575" ht="14.25" customHeight="1">
      <c r="F575" s="187"/>
    </row>
    <row r="576" ht="14.25" customHeight="1">
      <c r="F576" s="187"/>
    </row>
    <row r="577" ht="14.25" customHeight="1">
      <c r="F577" s="187"/>
    </row>
    <row r="578" ht="14.25" customHeight="1">
      <c r="F578" s="187"/>
    </row>
    <row r="579" ht="14.25" customHeight="1">
      <c r="F579" s="187"/>
    </row>
    <row r="580" ht="14.25" customHeight="1">
      <c r="F580" s="187"/>
    </row>
    <row r="581" ht="14.25" customHeight="1">
      <c r="F581" s="187"/>
    </row>
    <row r="582" ht="14.25" customHeight="1">
      <c r="F582" s="187"/>
    </row>
    <row r="583" ht="14.25" customHeight="1">
      <c r="F583" s="187"/>
    </row>
    <row r="584" ht="14.25" customHeight="1">
      <c r="F584" s="187"/>
    </row>
    <row r="585" ht="14.25" customHeight="1">
      <c r="F585" s="187"/>
    </row>
    <row r="586" ht="14.25" customHeight="1">
      <c r="F586" s="187"/>
    </row>
    <row r="587" ht="14.25" customHeight="1">
      <c r="F587" s="187"/>
    </row>
    <row r="588" ht="14.25" customHeight="1">
      <c r="F588" s="187"/>
    </row>
    <row r="589" ht="14.25" customHeight="1">
      <c r="F589" s="187"/>
    </row>
    <row r="590" ht="14.25" customHeight="1">
      <c r="F590" s="187"/>
    </row>
    <row r="591" ht="14.25" customHeight="1">
      <c r="F591" s="187"/>
    </row>
    <row r="592" ht="14.25" customHeight="1">
      <c r="F592" s="187"/>
    </row>
    <row r="593" ht="14.25" customHeight="1">
      <c r="F593" s="187"/>
    </row>
    <row r="594" ht="14.25" customHeight="1">
      <c r="F594" s="187"/>
    </row>
    <row r="595" ht="14.25" customHeight="1">
      <c r="F595" s="187"/>
    </row>
    <row r="596" ht="14.25" customHeight="1">
      <c r="F596" s="187"/>
    </row>
    <row r="597" ht="14.25" customHeight="1">
      <c r="F597" s="187"/>
    </row>
    <row r="598" ht="14.25" customHeight="1">
      <c r="F598" s="187"/>
    </row>
    <row r="599" ht="14.25" customHeight="1">
      <c r="F599" s="187"/>
    </row>
    <row r="600" ht="14.25" customHeight="1">
      <c r="F600" s="187"/>
    </row>
    <row r="601" ht="14.25" customHeight="1">
      <c r="F601" s="187"/>
    </row>
    <row r="602" ht="14.25" customHeight="1">
      <c r="F602" s="187"/>
    </row>
    <row r="603" ht="14.25" customHeight="1">
      <c r="F603" s="187"/>
    </row>
    <row r="604" ht="14.25" customHeight="1">
      <c r="F604" s="187"/>
    </row>
    <row r="605" ht="14.25" customHeight="1">
      <c r="F605" s="187"/>
    </row>
    <row r="606" ht="14.25" customHeight="1">
      <c r="F606" s="187"/>
    </row>
    <row r="607" ht="14.25" customHeight="1">
      <c r="F607" s="187"/>
    </row>
    <row r="608" ht="14.25" customHeight="1">
      <c r="F608" s="187"/>
    </row>
    <row r="609" ht="14.25" customHeight="1">
      <c r="F609" s="187"/>
    </row>
    <row r="610" ht="14.25" customHeight="1">
      <c r="F610" s="187"/>
    </row>
    <row r="611" ht="14.25" customHeight="1">
      <c r="F611" s="187"/>
    </row>
    <row r="612" ht="14.25" customHeight="1">
      <c r="F612" s="187"/>
    </row>
    <row r="613" ht="14.25" customHeight="1">
      <c r="F613" s="187"/>
    </row>
    <row r="614" ht="14.25" customHeight="1">
      <c r="F614" s="187"/>
    </row>
    <row r="615" ht="14.25" customHeight="1">
      <c r="F615" s="187"/>
    </row>
    <row r="616" ht="14.25" customHeight="1">
      <c r="F616" s="187"/>
    </row>
    <row r="617" ht="14.25" customHeight="1">
      <c r="F617" s="187"/>
    </row>
    <row r="618" ht="14.25" customHeight="1">
      <c r="F618" s="187"/>
    </row>
    <row r="619" ht="14.25" customHeight="1">
      <c r="F619" s="187"/>
    </row>
    <row r="620" ht="14.25" customHeight="1">
      <c r="F620" s="187"/>
    </row>
    <row r="621" ht="14.25" customHeight="1">
      <c r="F621" s="187"/>
    </row>
    <row r="622" ht="14.25" customHeight="1">
      <c r="F622" s="187"/>
    </row>
    <row r="623" ht="14.25" customHeight="1">
      <c r="F623" s="187"/>
    </row>
    <row r="624" ht="14.25" customHeight="1">
      <c r="F624" s="187"/>
    </row>
    <row r="625" ht="14.25" customHeight="1">
      <c r="F625" s="187"/>
    </row>
    <row r="626" ht="14.25" customHeight="1">
      <c r="F626" s="187"/>
    </row>
    <row r="627" ht="14.25" customHeight="1">
      <c r="F627" s="187"/>
    </row>
    <row r="628" ht="14.25" customHeight="1">
      <c r="F628" s="187"/>
    </row>
    <row r="629" ht="14.25" customHeight="1">
      <c r="F629" s="187"/>
    </row>
    <row r="630" ht="14.25" customHeight="1">
      <c r="F630" s="187"/>
    </row>
    <row r="631" ht="14.25" customHeight="1">
      <c r="F631" s="187"/>
    </row>
    <row r="632" ht="14.25" customHeight="1">
      <c r="F632" s="187"/>
    </row>
    <row r="633" ht="14.25" customHeight="1">
      <c r="F633" s="187"/>
    </row>
    <row r="634" ht="14.25" customHeight="1">
      <c r="F634" s="187"/>
    </row>
    <row r="635" ht="14.25" customHeight="1">
      <c r="F635" s="187"/>
    </row>
    <row r="636" ht="14.25" customHeight="1">
      <c r="F636" s="187"/>
    </row>
    <row r="637" ht="14.25" customHeight="1">
      <c r="F637" s="187"/>
    </row>
    <row r="638" ht="14.25" customHeight="1">
      <c r="F638" s="187"/>
    </row>
    <row r="639" ht="14.25" customHeight="1">
      <c r="F639" s="187"/>
    </row>
    <row r="640" ht="14.25" customHeight="1">
      <c r="F640" s="187"/>
    </row>
    <row r="641" ht="14.25" customHeight="1">
      <c r="F641" s="187"/>
    </row>
    <row r="642" ht="14.25" customHeight="1">
      <c r="F642" s="187"/>
    </row>
    <row r="643" ht="14.25" customHeight="1">
      <c r="F643" s="187"/>
    </row>
    <row r="644" ht="14.25" customHeight="1">
      <c r="F644" s="187"/>
    </row>
    <row r="645" ht="14.25" customHeight="1">
      <c r="F645" s="187"/>
    </row>
    <row r="646" ht="14.25" customHeight="1">
      <c r="F646" s="187"/>
    </row>
    <row r="647" ht="14.25" customHeight="1">
      <c r="F647" s="187"/>
    </row>
    <row r="648" ht="14.25" customHeight="1">
      <c r="F648" s="187"/>
    </row>
    <row r="649" ht="14.25" customHeight="1">
      <c r="F649" s="187"/>
    </row>
    <row r="650" ht="14.25" customHeight="1">
      <c r="F650" s="187"/>
    </row>
    <row r="651" ht="14.25" customHeight="1">
      <c r="F651" s="187"/>
    </row>
    <row r="652" ht="14.25" customHeight="1">
      <c r="F652" s="187"/>
    </row>
    <row r="653" ht="14.25" customHeight="1">
      <c r="F653" s="187"/>
    </row>
    <row r="654" ht="14.25" customHeight="1">
      <c r="F654" s="187"/>
    </row>
    <row r="655" ht="14.25" customHeight="1">
      <c r="F655" s="187"/>
    </row>
    <row r="656" ht="14.25" customHeight="1">
      <c r="F656" s="187"/>
    </row>
    <row r="657" ht="14.25" customHeight="1">
      <c r="F657" s="187"/>
    </row>
    <row r="658" ht="14.25" customHeight="1">
      <c r="F658" s="187"/>
    </row>
    <row r="659" ht="14.25" customHeight="1">
      <c r="F659" s="187"/>
    </row>
    <row r="660" ht="14.25" customHeight="1">
      <c r="F660" s="187"/>
    </row>
    <row r="661" ht="14.25" customHeight="1">
      <c r="F661" s="187"/>
    </row>
    <row r="662" ht="14.25" customHeight="1">
      <c r="F662" s="187"/>
    </row>
    <row r="663" ht="14.25" customHeight="1">
      <c r="F663" s="187"/>
    </row>
    <row r="664" ht="14.25" customHeight="1">
      <c r="F664" s="187"/>
    </row>
    <row r="665" ht="14.25" customHeight="1">
      <c r="F665" s="187"/>
    </row>
    <row r="666" ht="14.25" customHeight="1">
      <c r="F666" s="187"/>
    </row>
    <row r="667" ht="14.25" customHeight="1">
      <c r="F667" s="187"/>
    </row>
    <row r="668" ht="14.25" customHeight="1">
      <c r="F668" s="187"/>
    </row>
    <row r="669" ht="14.25" customHeight="1">
      <c r="F669" s="187"/>
    </row>
    <row r="670" ht="14.25" customHeight="1">
      <c r="F670" s="187"/>
    </row>
    <row r="671" ht="14.25" customHeight="1">
      <c r="F671" s="187"/>
    </row>
    <row r="672" ht="14.25" customHeight="1">
      <c r="F672" s="187"/>
    </row>
    <row r="673" ht="14.25" customHeight="1">
      <c r="F673" s="187"/>
    </row>
    <row r="674" ht="14.25" customHeight="1">
      <c r="F674" s="187"/>
    </row>
    <row r="675" ht="14.25" customHeight="1">
      <c r="F675" s="187"/>
    </row>
    <row r="676" ht="14.25" customHeight="1">
      <c r="F676" s="187"/>
    </row>
    <row r="677" ht="14.25" customHeight="1">
      <c r="F677" s="187"/>
    </row>
    <row r="678" ht="14.25" customHeight="1">
      <c r="F678" s="187"/>
    </row>
    <row r="679" ht="14.25" customHeight="1">
      <c r="F679" s="187"/>
    </row>
    <row r="680" ht="14.25" customHeight="1">
      <c r="F680" s="187"/>
    </row>
    <row r="681" ht="14.25" customHeight="1">
      <c r="F681" s="187"/>
    </row>
    <row r="682" ht="14.25" customHeight="1">
      <c r="F682" s="187"/>
    </row>
    <row r="683" ht="14.25" customHeight="1">
      <c r="F683" s="187"/>
    </row>
    <row r="684" ht="14.25" customHeight="1">
      <c r="F684" s="187"/>
    </row>
    <row r="685" ht="14.25" customHeight="1">
      <c r="F685" s="187"/>
    </row>
    <row r="686" ht="14.25" customHeight="1">
      <c r="F686" s="187"/>
    </row>
    <row r="687" ht="14.25" customHeight="1">
      <c r="F687" s="187"/>
    </row>
    <row r="688" ht="14.25" customHeight="1">
      <c r="F688" s="187"/>
    </row>
    <row r="689" ht="14.25" customHeight="1">
      <c r="F689" s="187"/>
    </row>
    <row r="690" ht="14.25" customHeight="1">
      <c r="F690" s="187"/>
    </row>
    <row r="691" ht="14.25" customHeight="1">
      <c r="F691" s="187"/>
    </row>
    <row r="692" ht="14.25" customHeight="1">
      <c r="F692" s="187"/>
    </row>
    <row r="693" ht="14.25" customHeight="1">
      <c r="F693" s="187"/>
    </row>
    <row r="694" ht="14.25" customHeight="1">
      <c r="F694" s="187"/>
    </row>
    <row r="695" ht="14.25" customHeight="1">
      <c r="F695" s="187"/>
    </row>
    <row r="696" ht="14.25" customHeight="1">
      <c r="F696" s="187"/>
    </row>
    <row r="697" ht="14.25" customHeight="1">
      <c r="F697" s="187"/>
    </row>
    <row r="698" ht="14.25" customHeight="1">
      <c r="F698" s="187"/>
    </row>
    <row r="699" ht="14.25" customHeight="1">
      <c r="F699" s="187"/>
    </row>
    <row r="700" ht="14.25" customHeight="1">
      <c r="F700" s="187"/>
    </row>
    <row r="701" ht="14.25" customHeight="1">
      <c r="F701" s="187"/>
    </row>
    <row r="702" ht="14.25" customHeight="1">
      <c r="F702" s="187"/>
    </row>
    <row r="703" ht="14.25" customHeight="1">
      <c r="F703" s="187"/>
    </row>
    <row r="704" ht="14.25" customHeight="1">
      <c r="F704" s="187"/>
    </row>
    <row r="705" ht="14.25" customHeight="1">
      <c r="F705" s="187"/>
    </row>
    <row r="706" ht="14.25" customHeight="1">
      <c r="F706" s="187"/>
    </row>
    <row r="707" ht="14.25" customHeight="1">
      <c r="F707" s="187"/>
    </row>
    <row r="708" ht="14.25" customHeight="1">
      <c r="F708" s="187"/>
    </row>
    <row r="709" ht="14.25" customHeight="1">
      <c r="F709" s="187"/>
    </row>
    <row r="710" ht="14.25" customHeight="1">
      <c r="F710" s="187"/>
    </row>
    <row r="711" ht="14.25" customHeight="1">
      <c r="F711" s="187"/>
    </row>
    <row r="712" ht="14.25" customHeight="1">
      <c r="F712" s="187"/>
    </row>
    <row r="713" ht="14.25" customHeight="1">
      <c r="F713" s="187"/>
    </row>
    <row r="714" ht="14.25" customHeight="1">
      <c r="F714" s="187"/>
    </row>
    <row r="715" ht="14.25" customHeight="1">
      <c r="F715" s="187"/>
    </row>
    <row r="716" ht="14.25" customHeight="1">
      <c r="F716" s="187"/>
    </row>
    <row r="717" ht="14.25" customHeight="1">
      <c r="F717" s="187"/>
    </row>
    <row r="718" ht="14.25" customHeight="1">
      <c r="F718" s="187"/>
    </row>
    <row r="719" ht="14.25" customHeight="1">
      <c r="F719" s="187"/>
    </row>
    <row r="720" ht="14.25" customHeight="1">
      <c r="F720" s="187"/>
    </row>
    <row r="721" ht="14.25" customHeight="1">
      <c r="F721" s="187"/>
    </row>
    <row r="722" ht="14.25" customHeight="1">
      <c r="F722" s="187"/>
    </row>
    <row r="723" ht="14.25" customHeight="1">
      <c r="F723" s="187"/>
    </row>
    <row r="724" ht="14.25" customHeight="1">
      <c r="F724" s="187"/>
    </row>
    <row r="725" ht="14.25" customHeight="1">
      <c r="F725" s="187"/>
    </row>
    <row r="726" ht="14.25" customHeight="1">
      <c r="F726" s="187"/>
    </row>
    <row r="727" ht="14.25" customHeight="1">
      <c r="F727" s="187"/>
    </row>
    <row r="728" ht="14.25" customHeight="1">
      <c r="F728" s="187"/>
    </row>
    <row r="729" ht="14.25" customHeight="1">
      <c r="F729" s="187"/>
    </row>
    <row r="730" ht="14.25" customHeight="1">
      <c r="F730" s="187"/>
    </row>
    <row r="731" ht="14.25" customHeight="1">
      <c r="F731" s="187"/>
    </row>
    <row r="732" ht="14.25" customHeight="1">
      <c r="F732" s="187"/>
    </row>
    <row r="733" ht="14.25" customHeight="1">
      <c r="F733" s="187"/>
    </row>
    <row r="734" ht="14.25" customHeight="1">
      <c r="F734" s="187"/>
    </row>
    <row r="735" ht="14.25" customHeight="1">
      <c r="F735" s="187"/>
    </row>
    <row r="736" ht="14.25" customHeight="1">
      <c r="F736" s="187"/>
    </row>
    <row r="737" ht="14.25" customHeight="1">
      <c r="F737" s="187"/>
    </row>
    <row r="738" ht="14.25" customHeight="1">
      <c r="F738" s="187"/>
    </row>
    <row r="739" ht="14.25" customHeight="1">
      <c r="F739" s="187"/>
    </row>
    <row r="740" ht="14.25" customHeight="1">
      <c r="F740" s="187"/>
    </row>
    <row r="741" ht="14.25" customHeight="1">
      <c r="F741" s="187"/>
    </row>
    <row r="742" ht="14.25" customHeight="1">
      <c r="F742" s="187"/>
    </row>
    <row r="743" ht="14.25" customHeight="1">
      <c r="F743" s="187"/>
    </row>
    <row r="744" ht="14.25" customHeight="1">
      <c r="F744" s="187"/>
    </row>
    <row r="745" ht="14.25" customHeight="1">
      <c r="F745" s="187"/>
    </row>
    <row r="746" ht="14.25" customHeight="1">
      <c r="F746" s="187"/>
    </row>
    <row r="747" ht="14.25" customHeight="1">
      <c r="F747" s="187"/>
    </row>
    <row r="748" ht="14.25" customHeight="1">
      <c r="F748" s="187"/>
    </row>
    <row r="749" ht="14.25" customHeight="1">
      <c r="F749" s="187"/>
    </row>
    <row r="750" ht="14.25" customHeight="1">
      <c r="F750" s="187"/>
    </row>
    <row r="751" ht="14.25" customHeight="1">
      <c r="F751" s="187"/>
    </row>
    <row r="752" ht="14.25" customHeight="1">
      <c r="F752" s="187"/>
    </row>
    <row r="753" ht="14.25" customHeight="1">
      <c r="F753" s="187"/>
    </row>
    <row r="754" ht="14.25" customHeight="1">
      <c r="F754" s="187"/>
    </row>
    <row r="755" ht="14.25" customHeight="1">
      <c r="F755" s="187"/>
    </row>
    <row r="756" ht="14.25" customHeight="1">
      <c r="F756" s="187"/>
    </row>
    <row r="757" ht="14.25" customHeight="1">
      <c r="F757" s="187"/>
    </row>
    <row r="758" ht="14.25" customHeight="1">
      <c r="F758" s="187"/>
    </row>
    <row r="759" ht="14.25" customHeight="1">
      <c r="F759" s="187"/>
    </row>
    <row r="760" ht="14.25" customHeight="1">
      <c r="F760" s="187"/>
    </row>
    <row r="761" ht="14.25" customHeight="1">
      <c r="F761" s="187"/>
    </row>
    <row r="762" ht="14.25" customHeight="1">
      <c r="F762" s="187"/>
    </row>
    <row r="763" ht="14.25" customHeight="1">
      <c r="F763" s="187"/>
    </row>
    <row r="764" ht="14.25" customHeight="1">
      <c r="F764" s="187"/>
    </row>
    <row r="765" ht="14.25" customHeight="1">
      <c r="F765" s="187"/>
    </row>
    <row r="766" ht="14.25" customHeight="1">
      <c r="F766" s="187"/>
    </row>
    <row r="767" ht="14.25" customHeight="1">
      <c r="F767" s="187"/>
    </row>
    <row r="768" ht="14.25" customHeight="1">
      <c r="F768" s="187"/>
    </row>
    <row r="769" ht="14.25" customHeight="1">
      <c r="F769" s="187"/>
    </row>
    <row r="770" ht="14.25" customHeight="1">
      <c r="F770" s="187"/>
    </row>
    <row r="771" ht="14.25" customHeight="1">
      <c r="F771" s="187"/>
    </row>
    <row r="772" ht="14.25" customHeight="1">
      <c r="F772" s="187"/>
    </row>
    <row r="773" ht="14.25" customHeight="1">
      <c r="F773" s="187"/>
    </row>
    <row r="774" ht="14.25" customHeight="1">
      <c r="F774" s="187"/>
    </row>
    <row r="775" ht="14.25" customHeight="1">
      <c r="F775" s="187"/>
    </row>
    <row r="776" ht="14.25" customHeight="1">
      <c r="F776" s="187"/>
    </row>
    <row r="777" ht="14.25" customHeight="1">
      <c r="F777" s="187"/>
    </row>
    <row r="778" ht="14.25" customHeight="1">
      <c r="F778" s="187"/>
    </row>
    <row r="779" ht="14.25" customHeight="1">
      <c r="F779" s="187"/>
    </row>
    <row r="780" ht="14.25" customHeight="1">
      <c r="F780" s="187"/>
    </row>
    <row r="781" ht="14.25" customHeight="1">
      <c r="F781" s="187"/>
    </row>
    <row r="782" ht="14.25" customHeight="1">
      <c r="F782" s="187"/>
    </row>
    <row r="783" ht="14.25" customHeight="1">
      <c r="F783" s="187"/>
    </row>
    <row r="784" ht="14.25" customHeight="1">
      <c r="F784" s="187"/>
    </row>
    <row r="785" ht="14.25" customHeight="1">
      <c r="F785" s="187"/>
    </row>
    <row r="786" ht="14.25" customHeight="1">
      <c r="F786" s="187"/>
    </row>
    <row r="787" ht="14.25" customHeight="1">
      <c r="F787" s="187"/>
    </row>
    <row r="788" ht="14.25" customHeight="1">
      <c r="F788" s="187"/>
    </row>
    <row r="789" ht="14.25" customHeight="1">
      <c r="F789" s="187"/>
    </row>
    <row r="790" ht="14.25" customHeight="1">
      <c r="F790" s="187"/>
    </row>
    <row r="791" ht="14.25" customHeight="1">
      <c r="F791" s="187"/>
    </row>
    <row r="792" ht="14.25" customHeight="1">
      <c r="F792" s="187"/>
    </row>
    <row r="793" ht="14.25" customHeight="1">
      <c r="F793" s="187"/>
    </row>
    <row r="794" ht="14.25" customHeight="1">
      <c r="F794" s="187"/>
    </row>
    <row r="795" ht="14.25" customHeight="1">
      <c r="F795" s="187"/>
    </row>
    <row r="796" ht="14.25" customHeight="1">
      <c r="F796" s="187"/>
    </row>
    <row r="797" ht="14.25" customHeight="1">
      <c r="F797" s="187"/>
    </row>
    <row r="798" ht="14.25" customHeight="1">
      <c r="F798" s="187"/>
    </row>
    <row r="799" ht="14.25" customHeight="1">
      <c r="F799" s="187"/>
    </row>
    <row r="800" ht="14.25" customHeight="1">
      <c r="F800" s="187"/>
    </row>
    <row r="801" ht="14.25" customHeight="1">
      <c r="F801" s="187"/>
    </row>
    <row r="802" ht="14.25" customHeight="1">
      <c r="F802" s="187"/>
    </row>
    <row r="803" ht="14.25" customHeight="1">
      <c r="F803" s="187"/>
    </row>
    <row r="804" ht="14.25" customHeight="1">
      <c r="F804" s="187"/>
    </row>
    <row r="805" ht="14.25" customHeight="1">
      <c r="F805" s="187"/>
    </row>
    <row r="806" ht="14.25" customHeight="1">
      <c r="F806" s="187"/>
    </row>
    <row r="807" ht="14.25" customHeight="1">
      <c r="F807" s="187"/>
    </row>
    <row r="808" ht="14.25" customHeight="1">
      <c r="F808" s="187"/>
    </row>
    <row r="809" ht="14.25" customHeight="1">
      <c r="F809" s="187"/>
    </row>
    <row r="810" ht="14.25" customHeight="1">
      <c r="F810" s="187"/>
    </row>
    <row r="811" ht="14.25" customHeight="1">
      <c r="F811" s="187"/>
    </row>
    <row r="812" ht="14.25" customHeight="1">
      <c r="F812" s="187"/>
    </row>
    <row r="813" ht="14.25" customHeight="1">
      <c r="F813" s="187"/>
    </row>
    <row r="814" ht="14.25" customHeight="1">
      <c r="F814" s="187"/>
    </row>
    <row r="815" ht="14.25" customHeight="1">
      <c r="F815" s="187"/>
    </row>
    <row r="816" ht="14.25" customHeight="1">
      <c r="F816" s="187"/>
    </row>
    <row r="817" ht="14.25" customHeight="1">
      <c r="F817" s="187"/>
    </row>
    <row r="818" ht="14.25" customHeight="1">
      <c r="F818" s="187"/>
    </row>
    <row r="819" ht="14.25" customHeight="1">
      <c r="F819" s="187"/>
    </row>
    <row r="820" ht="14.25" customHeight="1">
      <c r="F820" s="187"/>
    </row>
    <row r="821" ht="14.25" customHeight="1">
      <c r="F821" s="187"/>
    </row>
    <row r="822" ht="14.25" customHeight="1">
      <c r="F822" s="187"/>
    </row>
    <row r="823" ht="14.25" customHeight="1">
      <c r="F823" s="187"/>
    </row>
    <row r="824" ht="14.25" customHeight="1">
      <c r="F824" s="187"/>
    </row>
    <row r="825" ht="14.25" customHeight="1">
      <c r="F825" s="187"/>
    </row>
    <row r="826" ht="14.25" customHeight="1">
      <c r="F826" s="187"/>
    </row>
    <row r="827" ht="14.25" customHeight="1">
      <c r="F827" s="187"/>
    </row>
    <row r="828" ht="14.25" customHeight="1">
      <c r="F828" s="187"/>
    </row>
    <row r="829" ht="14.25" customHeight="1">
      <c r="F829" s="187"/>
    </row>
    <row r="830" ht="14.25" customHeight="1">
      <c r="F830" s="187"/>
    </row>
    <row r="831" ht="14.25" customHeight="1">
      <c r="F831" s="187"/>
    </row>
    <row r="832" ht="14.25" customHeight="1">
      <c r="F832" s="187"/>
    </row>
    <row r="833" ht="14.25" customHeight="1">
      <c r="F833" s="187"/>
    </row>
    <row r="834" ht="14.25" customHeight="1">
      <c r="F834" s="187"/>
    </row>
    <row r="835" ht="14.25" customHeight="1">
      <c r="F835" s="187"/>
    </row>
    <row r="836" ht="14.25" customHeight="1">
      <c r="F836" s="187"/>
    </row>
    <row r="837" ht="14.25" customHeight="1">
      <c r="F837" s="187"/>
    </row>
    <row r="838" ht="14.25" customHeight="1">
      <c r="F838" s="187"/>
    </row>
    <row r="839" ht="14.25" customHeight="1">
      <c r="F839" s="187"/>
    </row>
    <row r="840" ht="14.25" customHeight="1">
      <c r="F840" s="187"/>
    </row>
    <row r="841" ht="14.25" customHeight="1">
      <c r="F841" s="187"/>
    </row>
    <row r="842" ht="14.25" customHeight="1">
      <c r="F842" s="187"/>
    </row>
    <row r="843" ht="14.25" customHeight="1">
      <c r="F843" s="187"/>
    </row>
    <row r="844" ht="14.25" customHeight="1">
      <c r="F844" s="187"/>
    </row>
    <row r="845" ht="14.25" customHeight="1">
      <c r="F845" s="187"/>
    </row>
    <row r="846" ht="14.25" customHeight="1">
      <c r="F846" s="187"/>
    </row>
    <row r="847" ht="14.25" customHeight="1">
      <c r="F847" s="187"/>
    </row>
    <row r="848" ht="14.25" customHeight="1">
      <c r="F848" s="187"/>
    </row>
    <row r="849" ht="14.25" customHeight="1">
      <c r="F849" s="187"/>
    </row>
    <row r="850" ht="14.25" customHeight="1">
      <c r="F850" s="187"/>
    </row>
    <row r="851" ht="14.25" customHeight="1">
      <c r="F851" s="187"/>
    </row>
    <row r="852" ht="14.25" customHeight="1">
      <c r="F852" s="187"/>
    </row>
    <row r="853" ht="14.25" customHeight="1">
      <c r="F853" s="187"/>
    </row>
    <row r="854" ht="14.25" customHeight="1">
      <c r="F854" s="187"/>
    </row>
    <row r="855" ht="14.25" customHeight="1">
      <c r="F855" s="187"/>
    </row>
    <row r="856" ht="14.25" customHeight="1">
      <c r="F856" s="187"/>
    </row>
    <row r="857" ht="14.25" customHeight="1">
      <c r="F857" s="187"/>
    </row>
    <row r="858" ht="14.25" customHeight="1">
      <c r="F858" s="187"/>
    </row>
    <row r="859" ht="14.25" customHeight="1">
      <c r="F859" s="187"/>
    </row>
    <row r="860" ht="14.25" customHeight="1">
      <c r="F860" s="187"/>
    </row>
    <row r="861" ht="14.25" customHeight="1">
      <c r="F861" s="187"/>
    </row>
    <row r="862" ht="14.25" customHeight="1">
      <c r="F862" s="187"/>
    </row>
    <row r="863" ht="14.25" customHeight="1">
      <c r="F863" s="187"/>
    </row>
    <row r="864" ht="14.25" customHeight="1">
      <c r="F864" s="187"/>
    </row>
    <row r="865" ht="14.25" customHeight="1">
      <c r="F865" s="187"/>
    </row>
    <row r="866" ht="14.25" customHeight="1">
      <c r="F866" s="187"/>
    </row>
    <row r="867" ht="14.25" customHeight="1">
      <c r="F867" s="187"/>
    </row>
    <row r="868" ht="14.25" customHeight="1">
      <c r="F868" s="187"/>
    </row>
    <row r="869" ht="14.25" customHeight="1">
      <c r="F869" s="187"/>
    </row>
    <row r="870" ht="14.25" customHeight="1">
      <c r="F870" s="187"/>
    </row>
    <row r="871" ht="14.25" customHeight="1">
      <c r="F871" s="187"/>
    </row>
    <row r="872" ht="14.25" customHeight="1">
      <c r="F872" s="187"/>
    </row>
    <row r="873" ht="14.25" customHeight="1">
      <c r="F873" s="187"/>
    </row>
    <row r="874" ht="14.25" customHeight="1">
      <c r="F874" s="187"/>
    </row>
    <row r="875" ht="14.25" customHeight="1">
      <c r="F875" s="187"/>
    </row>
    <row r="876" ht="14.25" customHeight="1">
      <c r="F876" s="187"/>
    </row>
    <row r="877" ht="14.25" customHeight="1">
      <c r="F877" s="187"/>
    </row>
    <row r="878" ht="14.25" customHeight="1">
      <c r="F878" s="187"/>
    </row>
    <row r="879" ht="14.25" customHeight="1">
      <c r="F879" s="187"/>
    </row>
    <row r="880" ht="14.25" customHeight="1">
      <c r="F880" s="187"/>
    </row>
    <row r="881" ht="14.25" customHeight="1">
      <c r="F881" s="187"/>
    </row>
    <row r="882" ht="14.25" customHeight="1">
      <c r="F882" s="187"/>
    </row>
    <row r="883" ht="14.25" customHeight="1">
      <c r="F883" s="187"/>
    </row>
    <row r="884" ht="14.25" customHeight="1">
      <c r="F884" s="187"/>
    </row>
    <row r="885" ht="14.25" customHeight="1">
      <c r="F885" s="187"/>
    </row>
    <row r="886" ht="14.25" customHeight="1">
      <c r="F886" s="187"/>
    </row>
    <row r="887" ht="14.25" customHeight="1">
      <c r="F887" s="187"/>
    </row>
    <row r="888" ht="14.25" customHeight="1">
      <c r="F888" s="187"/>
    </row>
    <row r="889" ht="14.25" customHeight="1">
      <c r="F889" s="187"/>
    </row>
    <row r="890" ht="14.25" customHeight="1">
      <c r="F890" s="187"/>
    </row>
    <row r="891" ht="14.25" customHeight="1">
      <c r="F891" s="187"/>
    </row>
    <row r="892" ht="14.25" customHeight="1">
      <c r="F892" s="187"/>
    </row>
    <row r="893" ht="14.25" customHeight="1">
      <c r="F893" s="187"/>
    </row>
    <row r="894" ht="14.25" customHeight="1">
      <c r="F894" s="187"/>
    </row>
    <row r="895" ht="14.25" customHeight="1">
      <c r="F895" s="187"/>
    </row>
    <row r="896" ht="14.25" customHeight="1">
      <c r="F896" s="187"/>
    </row>
    <row r="897" ht="14.25" customHeight="1">
      <c r="F897" s="187"/>
    </row>
    <row r="898" ht="14.25" customHeight="1">
      <c r="F898" s="187"/>
    </row>
    <row r="899" ht="14.25" customHeight="1">
      <c r="F899" s="187"/>
    </row>
    <row r="900" ht="14.25" customHeight="1">
      <c r="F900" s="187"/>
    </row>
    <row r="901" ht="14.25" customHeight="1">
      <c r="F901" s="187"/>
    </row>
    <row r="902" ht="14.25" customHeight="1">
      <c r="F902" s="187"/>
    </row>
    <row r="903" ht="14.25" customHeight="1">
      <c r="F903" s="187"/>
    </row>
    <row r="904" ht="14.25" customHeight="1">
      <c r="F904" s="187"/>
    </row>
    <row r="905" ht="14.25" customHeight="1">
      <c r="F905" s="187"/>
    </row>
    <row r="906" ht="14.25" customHeight="1">
      <c r="F906" s="187"/>
    </row>
    <row r="907" ht="14.25" customHeight="1">
      <c r="F907" s="187"/>
    </row>
    <row r="908" ht="14.25" customHeight="1">
      <c r="F908" s="187"/>
    </row>
    <row r="909" ht="14.25" customHeight="1">
      <c r="F909" s="187"/>
    </row>
    <row r="910" ht="14.25" customHeight="1">
      <c r="F910" s="187"/>
    </row>
    <row r="911" ht="14.25" customHeight="1">
      <c r="F911" s="187"/>
    </row>
    <row r="912" ht="14.25" customHeight="1">
      <c r="F912" s="187"/>
    </row>
    <row r="913" ht="14.25" customHeight="1">
      <c r="F913" s="187"/>
    </row>
    <row r="914" ht="14.25" customHeight="1">
      <c r="F914" s="187"/>
    </row>
    <row r="915" ht="14.25" customHeight="1">
      <c r="F915" s="187"/>
    </row>
    <row r="916" ht="14.25" customHeight="1">
      <c r="F916" s="187"/>
    </row>
    <row r="917" ht="14.25" customHeight="1">
      <c r="F917" s="187"/>
    </row>
    <row r="918" ht="14.25" customHeight="1">
      <c r="F918" s="187"/>
    </row>
    <row r="919" ht="14.25" customHeight="1">
      <c r="F919" s="187"/>
    </row>
    <row r="920" ht="14.25" customHeight="1">
      <c r="F920" s="187"/>
    </row>
    <row r="921" ht="14.25" customHeight="1">
      <c r="F921" s="187"/>
    </row>
    <row r="922" ht="14.25" customHeight="1">
      <c r="F922" s="187"/>
    </row>
    <row r="923" ht="14.25" customHeight="1">
      <c r="F923" s="187"/>
    </row>
    <row r="924" ht="14.25" customHeight="1">
      <c r="F924" s="187"/>
    </row>
    <row r="925" ht="14.25" customHeight="1">
      <c r="F925" s="187"/>
    </row>
    <row r="926" ht="14.25" customHeight="1">
      <c r="F926" s="187"/>
    </row>
    <row r="927" ht="14.25" customHeight="1">
      <c r="F927" s="187"/>
    </row>
    <row r="928" ht="14.25" customHeight="1">
      <c r="F928" s="187"/>
    </row>
    <row r="929" ht="14.25" customHeight="1">
      <c r="F929" s="187"/>
    </row>
    <row r="930" ht="14.25" customHeight="1">
      <c r="F930" s="187"/>
    </row>
    <row r="931" ht="14.25" customHeight="1">
      <c r="F931" s="187"/>
    </row>
    <row r="932" ht="14.25" customHeight="1">
      <c r="F932" s="187"/>
    </row>
    <row r="933" ht="14.25" customHeight="1">
      <c r="F933" s="187"/>
    </row>
    <row r="934" ht="14.25" customHeight="1">
      <c r="F934" s="187"/>
    </row>
    <row r="935" ht="14.25" customHeight="1">
      <c r="F935" s="187"/>
    </row>
    <row r="936" ht="14.25" customHeight="1">
      <c r="F936" s="187"/>
    </row>
    <row r="937" ht="14.25" customHeight="1">
      <c r="F937" s="187"/>
    </row>
    <row r="938" ht="14.25" customHeight="1">
      <c r="F938" s="187"/>
    </row>
    <row r="939" ht="14.25" customHeight="1">
      <c r="F939" s="187"/>
    </row>
    <row r="940" ht="14.25" customHeight="1">
      <c r="F940" s="187"/>
    </row>
    <row r="941" ht="14.25" customHeight="1">
      <c r="F941" s="187"/>
    </row>
    <row r="942" ht="14.25" customHeight="1">
      <c r="F942" s="187"/>
    </row>
    <row r="943" ht="14.25" customHeight="1">
      <c r="F943" s="187"/>
    </row>
    <row r="944" ht="14.25" customHeight="1">
      <c r="F944" s="187"/>
    </row>
    <row r="945" ht="14.25" customHeight="1">
      <c r="F945" s="187"/>
    </row>
    <row r="946" ht="14.25" customHeight="1">
      <c r="F946" s="187"/>
    </row>
    <row r="947" ht="14.25" customHeight="1">
      <c r="F947" s="187"/>
    </row>
    <row r="948" ht="14.25" customHeight="1">
      <c r="F948" s="187"/>
    </row>
    <row r="949" ht="14.25" customHeight="1">
      <c r="F949" s="187"/>
    </row>
    <row r="950" ht="14.25" customHeight="1">
      <c r="F950" s="187"/>
    </row>
    <row r="951" ht="14.25" customHeight="1">
      <c r="F951" s="187"/>
    </row>
    <row r="952" ht="14.25" customHeight="1">
      <c r="F952" s="187"/>
    </row>
    <row r="953" ht="14.25" customHeight="1">
      <c r="F953" s="187"/>
    </row>
    <row r="954" ht="14.25" customHeight="1">
      <c r="F954" s="187"/>
    </row>
    <row r="955" ht="14.25" customHeight="1">
      <c r="F955" s="187"/>
    </row>
    <row r="956" ht="14.25" customHeight="1">
      <c r="F956" s="187"/>
    </row>
    <row r="957" ht="14.25" customHeight="1">
      <c r="F957" s="187"/>
    </row>
    <row r="958" ht="14.25" customHeight="1">
      <c r="F958" s="187"/>
    </row>
    <row r="959" ht="14.25" customHeight="1">
      <c r="F959" s="187"/>
    </row>
    <row r="960" ht="14.25" customHeight="1">
      <c r="F960" s="187"/>
    </row>
    <row r="961" ht="14.25" customHeight="1">
      <c r="F961" s="187"/>
    </row>
    <row r="962" ht="14.25" customHeight="1">
      <c r="F962" s="187"/>
    </row>
    <row r="963" ht="14.25" customHeight="1">
      <c r="F963" s="187"/>
    </row>
    <row r="964" ht="14.25" customHeight="1">
      <c r="F964" s="187"/>
    </row>
    <row r="965" ht="14.25" customHeight="1">
      <c r="F965" s="187"/>
    </row>
    <row r="966" ht="14.25" customHeight="1">
      <c r="F966" s="187"/>
    </row>
    <row r="967" ht="14.25" customHeight="1">
      <c r="F967" s="187"/>
    </row>
    <row r="968" ht="14.25" customHeight="1">
      <c r="F968" s="187"/>
    </row>
    <row r="969" ht="14.25" customHeight="1">
      <c r="F969" s="187"/>
    </row>
    <row r="970" ht="14.25" customHeight="1">
      <c r="F970" s="187"/>
    </row>
    <row r="971" ht="14.25" customHeight="1">
      <c r="F971" s="187"/>
    </row>
    <row r="972" ht="14.25" customHeight="1">
      <c r="F972" s="187"/>
    </row>
    <row r="973" ht="14.25" customHeight="1">
      <c r="F973" s="187"/>
    </row>
    <row r="974" ht="14.25" customHeight="1">
      <c r="F974" s="187"/>
    </row>
    <row r="975" ht="14.25" customHeight="1">
      <c r="F975" s="187"/>
    </row>
    <row r="976" ht="14.25" customHeight="1">
      <c r="F976" s="187"/>
    </row>
    <row r="977" ht="14.25" customHeight="1">
      <c r="F977" s="187"/>
    </row>
    <row r="978" ht="14.25" customHeight="1">
      <c r="F978" s="187"/>
    </row>
    <row r="979" ht="14.25" customHeight="1">
      <c r="F979" s="187"/>
    </row>
    <row r="980" ht="14.25" customHeight="1">
      <c r="F980" s="187"/>
    </row>
    <row r="981" ht="14.25" customHeight="1">
      <c r="F981" s="187"/>
    </row>
    <row r="982" ht="14.25" customHeight="1">
      <c r="F982" s="187"/>
    </row>
    <row r="983" ht="14.25" customHeight="1">
      <c r="F983" s="187"/>
    </row>
    <row r="984" ht="14.25" customHeight="1">
      <c r="F984" s="187"/>
    </row>
    <row r="985" ht="14.25" customHeight="1">
      <c r="F985" s="187"/>
    </row>
    <row r="986" ht="14.25" customHeight="1">
      <c r="F986" s="187"/>
    </row>
    <row r="987" ht="14.25" customHeight="1">
      <c r="F987" s="187"/>
    </row>
    <row r="988" ht="14.25" customHeight="1">
      <c r="F988" s="187"/>
    </row>
    <row r="989" ht="14.25" customHeight="1">
      <c r="F989" s="187"/>
    </row>
    <row r="990" ht="14.25" customHeight="1">
      <c r="F990" s="187"/>
    </row>
    <row r="991" ht="14.25" customHeight="1">
      <c r="F991" s="187"/>
    </row>
    <row r="992" ht="14.25" customHeight="1">
      <c r="F992" s="187"/>
    </row>
    <row r="993" ht="14.25" customHeight="1">
      <c r="F993" s="187"/>
    </row>
    <row r="994" ht="14.25" customHeight="1">
      <c r="F994" s="187"/>
    </row>
    <row r="995" ht="14.25" customHeight="1">
      <c r="F995" s="187"/>
    </row>
    <row r="996" ht="14.25" customHeight="1">
      <c r="F996" s="187"/>
    </row>
    <row r="997" ht="14.25" customHeight="1">
      <c r="F997" s="187"/>
    </row>
    <row r="998" ht="14.25" customHeight="1">
      <c r="F998" s="187"/>
    </row>
    <row r="999" ht="14.25" customHeight="1">
      <c r="F999" s="187"/>
    </row>
    <row r="1000" ht="14.25" customHeight="1">
      <c r="F1000" s="187"/>
    </row>
  </sheetData>
  <mergeCells count="22">
    <mergeCell ref="A5:D5"/>
    <mergeCell ref="B6:B7"/>
    <mergeCell ref="C6:C7"/>
    <mergeCell ref="D6:D7"/>
    <mergeCell ref="E6:E7"/>
    <mergeCell ref="AK6:AK7"/>
    <mergeCell ref="AL6:AL7"/>
    <mergeCell ref="B44:F44"/>
    <mergeCell ref="B45:F45"/>
    <mergeCell ref="B46:F46"/>
    <mergeCell ref="A52:F52"/>
    <mergeCell ref="E56:F56"/>
    <mergeCell ref="M56:T56"/>
    <mergeCell ref="E58:F58"/>
    <mergeCell ref="E60:F60"/>
    <mergeCell ref="F6:F7"/>
    <mergeCell ref="F23:F29"/>
    <mergeCell ref="A35:A36"/>
    <mergeCell ref="B35:B36"/>
    <mergeCell ref="C35:C36"/>
    <mergeCell ref="D35:D36"/>
    <mergeCell ref="F35:F36"/>
  </mergeCells>
  <printOptions/>
  <pageMargins bottom="0.75" footer="0.0" header="0.0" left="0.7" right="0.7" top="0.75"/>
  <pageSetup orientation="landscape"/>
  <drawing r:id="rId1"/>
</worksheet>
</file>